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https://uniandes-my.sharepoint.com/personal/ca_daza10_uniandes_edu_co/Documents/2. Universidad Sistemas Full/Semestre 4 ISIS/1. Tesis/03. Wip/"/>
    </mc:Choice>
  </mc:AlternateContent>
  <xr:revisionPtr revIDLastSave="290" documentId="13_ncr:1_{F25F419A-193B-443D-AB20-3E0B150E3FA8}" xr6:coauthVersionLast="47" xr6:coauthVersionMax="47" xr10:uidLastSave="{B30CF666-DD6B-4A3D-91FB-7A8AAC9D18CB}"/>
  <bookViews>
    <workbookView xWindow="-108" yWindow="-108" windowWidth="23256" windowHeight="14016" activeTab="1" xr2:uid="{00000000-000D-0000-FFFF-FFFF00000000}"/>
  </bookViews>
  <sheets>
    <sheet name="Sheet2" sheetId="10" r:id="rId1"/>
    <sheet name="Datos" sheetId="1" r:id="rId2"/>
    <sheet name="Sheet4" sheetId="11" r:id="rId3"/>
    <sheet name="Resultados" sheetId="9" r:id="rId4"/>
    <sheet name="Lista Lideres" sheetId="6" r:id="rId5"/>
    <sheet name="Eliminados" sheetId="4" r:id="rId6"/>
    <sheet name="Sheet3" sheetId="7" r:id="rId7"/>
  </sheets>
  <definedNames>
    <definedName name="_xlnm._FilterDatabase" localSheetId="1" hidden="1">Datos!$A$1:$CP$233</definedName>
    <definedName name="_xlnm._FilterDatabase" localSheetId="4" hidden="1">'Lista Lideres'!$A$1:$A$233</definedName>
    <definedName name="_xlnm._FilterDatabase" localSheetId="6" hidden="1">Sheet3!$A$1:$A$233</definedName>
  </definedNames>
  <calcPr calcId="191029"/>
  <pivotCaches>
    <pivotCache cacheId="0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39" i="1" l="1"/>
  <c r="CP3" i="1"/>
  <c r="CP4" i="1"/>
  <c r="CP5" i="1"/>
  <c r="CP6" i="1"/>
  <c r="CP7" i="1"/>
  <c r="CP8" i="1"/>
  <c r="CP9" i="1"/>
  <c r="CP10" i="1"/>
  <c r="CP11" i="1"/>
  <c r="CP12" i="1"/>
  <c r="CP13" i="1"/>
  <c r="CP14" i="1"/>
  <c r="CP15" i="1"/>
  <c r="CP16" i="1"/>
  <c r="CP17" i="1"/>
  <c r="CP18" i="1"/>
  <c r="CP19" i="1"/>
  <c r="CP20" i="1"/>
  <c r="CP21" i="1"/>
  <c r="CP22" i="1"/>
  <c r="CP23" i="1"/>
  <c r="CP24" i="1"/>
  <c r="CP25" i="1"/>
  <c r="CP26" i="1"/>
  <c r="CP27" i="1"/>
  <c r="CP28" i="1"/>
  <c r="CP29" i="1"/>
  <c r="CP30" i="1"/>
  <c r="CP31" i="1"/>
  <c r="CP32" i="1"/>
  <c r="CP33" i="1"/>
  <c r="CP34" i="1"/>
  <c r="CP35" i="1"/>
  <c r="CP36" i="1"/>
  <c r="CP37" i="1"/>
  <c r="CP38" i="1"/>
  <c r="CP39" i="1"/>
  <c r="CP40" i="1"/>
  <c r="CP41" i="1"/>
  <c r="CP42" i="1"/>
  <c r="CP43" i="1"/>
  <c r="CP44" i="1"/>
  <c r="CP45" i="1"/>
  <c r="CP46" i="1"/>
  <c r="CP47" i="1"/>
  <c r="CP48" i="1"/>
  <c r="CP49" i="1"/>
  <c r="CP50" i="1"/>
  <c r="CP51" i="1"/>
  <c r="CP52" i="1"/>
  <c r="CP53" i="1"/>
  <c r="CP54" i="1"/>
  <c r="CP55" i="1"/>
  <c r="CP56" i="1"/>
  <c r="CP57" i="1"/>
  <c r="CP58" i="1"/>
  <c r="CP59" i="1"/>
  <c r="CP139" i="1"/>
  <c r="CP140" i="1"/>
  <c r="CP141" i="1"/>
  <c r="CP142" i="1"/>
  <c r="CP143" i="1"/>
  <c r="CP144" i="1"/>
  <c r="CP66" i="1"/>
  <c r="CP67" i="1"/>
  <c r="CP68" i="1"/>
  <c r="CP69" i="1"/>
  <c r="CP70" i="1"/>
  <c r="CP71" i="1"/>
  <c r="CP72" i="1"/>
  <c r="CP73" i="1"/>
  <c r="CP74" i="1"/>
  <c r="CP75" i="1"/>
  <c r="CP76" i="1"/>
  <c r="CP77" i="1"/>
  <c r="CP78" i="1"/>
  <c r="CP79" i="1"/>
  <c r="CP80" i="1"/>
  <c r="CP81" i="1"/>
  <c r="CP82" i="1"/>
  <c r="CP83" i="1"/>
  <c r="CP84" i="1"/>
  <c r="CP85" i="1"/>
  <c r="CP86" i="1"/>
  <c r="CP87" i="1"/>
  <c r="CP88" i="1"/>
  <c r="CP89" i="1"/>
  <c r="CP90" i="1"/>
  <c r="CP91" i="1"/>
  <c r="CP92" i="1"/>
  <c r="CP93" i="1"/>
  <c r="CP94" i="1"/>
  <c r="CP95" i="1"/>
  <c r="CP96" i="1"/>
  <c r="CP97" i="1"/>
  <c r="CP60" i="1"/>
  <c r="CP99" i="1"/>
  <c r="CP100" i="1"/>
  <c r="CP101" i="1"/>
  <c r="CP102" i="1"/>
  <c r="CP103" i="1"/>
  <c r="CP104" i="1"/>
  <c r="CP105" i="1"/>
  <c r="CP106" i="1"/>
  <c r="CP107" i="1"/>
  <c r="CP108" i="1"/>
  <c r="CP109" i="1"/>
  <c r="CP110" i="1"/>
  <c r="CP111" i="1"/>
  <c r="CP112" i="1"/>
  <c r="CP113" i="1"/>
  <c r="CP114" i="1"/>
  <c r="CP115" i="1"/>
  <c r="CP116" i="1"/>
  <c r="CP117" i="1"/>
  <c r="CP118" i="1"/>
  <c r="CP119" i="1"/>
  <c r="CP120" i="1"/>
  <c r="CP121" i="1"/>
  <c r="CP122" i="1"/>
  <c r="CP123" i="1"/>
  <c r="CP124" i="1"/>
  <c r="CP125" i="1"/>
  <c r="CP126" i="1"/>
  <c r="CP127" i="1"/>
  <c r="CP128" i="1"/>
  <c r="CP129" i="1"/>
  <c r="CP130" i="1"/>
  <c r="CP131" i="1"/>
  <c r="CP61" i="1"/>
  <c r="CP62" i="1"/>
  <c r="CP63" i="1"/>
  <c r="CP64" i="1"/>
  <c r="CP65" i="1"/>
  <c r="CP98" i="1"/>
  <c r="CP132" i="1"/>
  <c r="CP133" i="1"/>
  <c r="CP134" i="1"/>
  <c r="CP135" i="1"/>
  <c r="CP136" i="1"/>
  <c r="CP137" i="1"/>
  <c r="CP138" i="1"/>
  <c r="CP145" i="1"/>
  <c r="CP146" i="1"/>
  <c r="CP147" i="1"/>
  <c r="CP148" i="1"/>
  <c r="CP149" i="1"/>
  <c r="CP150" i="1"/>
  <c r="CP151" i="1"/>
  <c r="CP152" i="1"/>
  <c r="CP153" i="1"/>
  <c r="CP154" i="1"/>
  <c r="CP155" i="1"/>
  <c r="CP156" i="1"/>
  <c r="CP157" i="1"/>
  <c r="CP158" i="1"/>
  <c r="CP159" i="1"/>
  <c r="CP160" i="1"/>
  <c r="CP161" i="1"/>
  <c r="CP162" i="1"/>
  <c r="CP163" i="1"/>
  <c r="CP164" i="1"/>
  <c r="CP165" i="1"/>
  <c r="CP166" i="1"/>
  <c r="CP167" i="1"/>
  <c r="CP168" i="1"/>
  <c r="CP169" i="1"/>
  <c r="CP170" i="1"/>
  <c r="CP171" i="1"/>
  <c r="CP172" i="1"/>
  <c r="CP173" i="1"/>
  <c r="CP174" i="1"/>
  <c r="CP175" i="1"/>
  <c r="CP176" i="1"/>
  <c r="CP177" i="1"/>
  <c r="CP178" i="1"/>
  <c r="CP179" i="1"/>
  <c r="CP180" i="1"/>
  <c r="CP181" i="1"/>
  <c r="CP182" i="1"/>
  <c r="CP183" i="1"/>
  <c r="CP184" i="1"/>
  <c r="CP185" i="1"/>
  <c r="CP186" i="1"/>
  <c r="CP187" i="1"/>
  <c r="CP188" i="1"/>
  <c r="CP189" i="1"/>
  <c r="CP190" i="1"/>
  <c r="CP191" i="1"/>
  <c r="CP192" i="1"/>
  <c r="CP193" i="1"/>
  <c r="CP194" i="1"/>
  <c r="CP195" i="1"/>
  <c r="CP196" i="1"/>
  <c r="CP197" i="1"/>
  <c r="CP198" i="1"/>
  <c r="CP199" i="1"/>
  <c r="CP200" i="1"/>
  <c r="CP201" i="1"/>
  <c r="CP202" i="1"/>
  <c r="CP203" i="1"/>
  <c r="CP204" i="1"/>
  <c r="CP205" i="1"/>
  <c r="CP206" i="1"/>
  <c r="CP207" i="1"/>
  <c r="CP208" i="1"/>
  <c r="CP209" i="1"/>
  <c r="CP210" i="1"/>
  <c r="CP211" i="1"/>
  <c r="CP212" i="1"/>
  <c r="CP213" i="1"/>
  <c r="CP214" i="1"/>
  <c r="CP215" i="1"/>
  <c r="CP216" i="1"/>
  <c r="CP217" i="1"/>
  <c r="CP218" i="1"/>
  <c r="CP219" i="1"/>
  <c r="CP220" i="1"/>
  <c r="CP221" i="1"/>
  <c r="CP222" i="1"/>
  <c r="CP223" i="1"/>
  <c r="CP224" i="1"/>
  <c r="CP225" i="1"/>
  <c r="CP226" i="1"/>
  <c r="CP227" i="1"/>
  <c r="CP228" i="1"/>
  <c r="CP229" i="1"/>
  <c r="CP230" i="1"/>
  <c r="CP231" i="1"/>
  <c r="CP232" i="1"/>
  <c r="CP233" i="1"/>
  <c r="CP2" i="1"/>
  <c r="C3" i="7"/>
  <c r="C4" i="7"/>
  <c r="C5" i="7"/>
  <c r="C6" i="7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34" i="7"/>
  <c r="C35" i="7"/>
  <c r="C36" i="7"/>
  <c r="C37" i="7"/>
  <c r="C38" i="7"/>
  <c r="C39" i="7"/>
  <c r="C40" i="7"/>
  <c r="C41" i="7"/>
  <c r="C42" i="7"/>
  <c r="C43" i="7"/>
  <c r="C44" i="7"/>
  <c r="C45" i="7"/>
  <c r="C46" i="7"/>
  <c r="C47" i="7"/>
  <c r="C48" i="7"/>
  <c r="C49" i="7"/>
  <c r="C50" i="7"/>
  <c r="C51" i="7"/>
  <c r="C52" i="7"/>
  <c r="C53" i="7"/>
  <c r="C54" i="7"/>
  <c r="C55" i="7"/>
  <c r="C56" i="7"/>
  <c r="C57" i="7"/>
  <c r="C58" i="7"/>
  <c r="C59" i="7"/>
  <c r="C60" i="7"/>
  <c r="C61" i="7"/>
  <c r="C62" i="7"/>
  <c r="C63" i="7"/>
  <c r="C64" i="7"/>
  <c r="C65" i="7"/>
  <c r="C66" i="7"/>
  <c r="C67" i="7"/>
  <c r="C68" i="7"/>
  <c r="C69" i="7"/>
  <c r="C70" i="7"/>
  <c r="C71" i="7"/>
  <c r="C72" i="7"/>
  <c r="C73" i="7"/>
  <c r="C74" i="7"/>
  <c r="C75" i="7"/>
  <c r="C76" i="7"/>
  <c r="C77" i="7"/>
  <c r="C78" i="7"/>
  <c r="C79" i="7"/>
  <c r="C80" i="7"/>
  <c r="C81" i="7"/>
  <c r="C82" i="7"/>
  <c r="C83" i="7"/>
  <c r="C84" i="7"/>
  <c r="C85" i="7"/>
  <c r="C86" i="7"/>
  <c r="C87" i="7"/>
  <c r="C88" i="7"/>
  <c r="C89" i="7"/>
  <c r="C90" i="7"/>
  <c r="C91" i="7"/>
  <c r="C92" i="7"/>
  <c r="C93" i="7"/>
  <c r="C94" i="7"/>
  <c r="C95" i="7"/>
  <c r="C96" i="7"/>
  <c r="C97" i="7"/>
  <c r="C98" i="7"/>
  <c r="C99" i="7"/>
  <c r="C100" i="7"/>
  <c r="C101" i="7"/>
  <c r="C102" i="7"/>
  <c r="C103" i="7"/>
  <c r="C104" i="7"/>
  <c r="C105" i="7"/>
  <c r="C106" i="7"/>
  <c r="C107" i="7"/>
  <c r="C108" i="7"/>
  <c r="C109" i="7"/>
  <c r="C110" i="7"/>
  <c r="C111" i="7"/>
  <c r="C112" i="7"/>
  <c r="C113" i="7"/>
  <c r="C114" i="7"/>
  <c r="C115" i="7"/>
  <c r="C116" i="7"/>
  <c r="C117" i="7"/>
  <c r="C118" i="7"/>
  <c r="C119" i="7"/>
  <c r="C120" i="7"/>
  <c r="C121" i="7"/>
  <c r="C122" i="7"/>
  <c r="C123" i="7"/>
  <c r="C124" i="7"/>
  <c r="C125" i="7"/>
  <c r="C126" i="7"/>
  <c r="C127" i="7"/>
  <c r="C128" i="7"/>
  <c r="C129" i="7"/>
  <c r="C130" i="7"/>
  <c r="C131" i="7"/>
  <c r="C132" i="7"/>
  <c r="C133" i="7"/>
  <c r="C134" i="7"/>
  <c r="C135" i="7"/>
  <c r="C136" i="7"/>
  <c r="C137" i="7"/>
  <c r="C138" i="7"/>
  <c r="C139" i="7"/>
  <c r="C140" i="7"/>
  <c r="C141" i="7"/>
  <c r="C142" i="7"/>
  <c r="C143" i="7"/>
  <c r="C144" i="7"/>
  <c r="C145" i="7"/>
  <c r="C146" i="7"/>
  <c r="C147" i="7"/>
  <c r="C148" i="7"/>
  <c r="C149" i="7"/>
  <c r="C150" i="7"/>
  <c r="C151" i="7"/>
  <c r="C152" i="7"/>
  <c r="C153" i="7"/>
  <c r="C154" i="7"/>
  <c r="C155" i="7"/>
  <c r="C156" i="7"/>
  <c r="C157" i="7"/>
  <c r="C158" i="7"/>
  <c r="C159" i="7"/>
  <c r="C160" i="7"/>
  <c r="C161" i="7"/>
  <c r="C162" i="7"/>
  <c r="C163" i="7"/>
  <c r="C164" i="7"/>
  <c r="C165" i="7"/>
  <c r="C166" i="7"/>
  <c r="C167" i="7"/>
  <c r="C168" i="7"/>
  <c r="C169" i="7"/>
  <c r="C170" i="7"/>
  <c r="C171" i="7"/>
  <c r="C172" i="7"/>
  <c r="C173" i="7"/>
  <c r="C174" i="7"/>
  <c r="C175" i="7"/>
  <c r="C176" i="7"/>
  <c r="C177" i="7"/>
  <c r="C178" i="7"/>
  <c r="C179" i="7"/>
  <c r="C180" i="7"/>
  <c r="C181" i="7"/>
  <c r="C182" i="7"/>
  <c r="C183" i="7"/>
  <c r="C184" i="7"/>
  <c r="C185" i="7"/>
  <c r="C186" i="7"/>
  <c r="C187" i="7"/>
  <c r="C188" i="7"/>
  <c r="C189" i="7"/>
  <c r="C190" i="7"/>
  <c r="C191" i="7"/>
  <c r="C192" i="7"/>
  <c r="C193" i="7"/>
  <c r="C194" i="7"/>
  <c r="C195" i="7"/>
  <c r="C196" i="7"/>
  <c r="C197" i="7"/>
  <c r="C198" i="7"/>
  <c r="C199" i="7"/>
  <c r="C200" i="7"/>
  <c r="C201" i="7"/>
  <c r="C202" i="7"/>
  <c r="C203" i="7"/>
  <c r="C204" i="7"/>
  <c r="C205" i="7"/>
  <c r="C206" i="7"/>
  <c r="C207" i="7"/>
  <c r="C208" i="7"/>
  <c r="C209" i="7"/>
  <c r="C210" i="7"/>
  <c r="C211" i="7"/>
  <c r="C212" i="7"/>
  <c r="C213" i="7"/>
  <c r="C214" i="7"/>
  <c r="C215" i="7"/>
  <c r="C216" i="7"/>
  <c r="C217" i="7"/>
  <c r="C218" i="7"/>
  <c r="C219" i="7"/>
  <c r="C220" i="7"/>
  <c r="C221" i="7"/>
  <c r="C222" i="7"/>
  <c r="C223" i="7"/>
  <c r="C224" i="7"/>
  <c r="C225" i="7"/>
  <c r="C226" i="7"/>
  <c r="C227" i="7"/>
  <c r="C228" i="7"/>
  <c r="C229" i="7"/>
  <c r="C230" i="7"/>
  <c r="C231" i="7"/>
  <c r="C232" i="7"/>
  <c r="C233" i="7"/>
  <c r="C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Camilo Daza</author>
  </authors>
  <commentList>
    <comment ref="AL1" authorId="0" shapeId="0" xr:uid="{D3C50762-DA8F-40EE-9842-A937361E1500}">
      <text>
        <r>
          <rPr>
            <b/>
            <sz val="9"/>
            <color indexed="81"/>
            <rFont val="Tahoma"/>
            <family val="2"/>
          </rPr>
          <t>Camilo Daza:</t>
        </r>
        <r>
          <rPr>
            <sz val="9"/>
            <color indexed="81"/>
            <rFont val="Tahoma"/>
            <family val="2"/>
          </rPr>
          <t xml:space="preserve">
INCLUIR</t>
        </r>
      </text>
    </comment>
    <comment ref="AM1" authorId="0" shapeId="0" xr:uid="{31FD8067-0656-4022-8140-141197FE9606}">
      <text>
        <r>
          <rPr>
            <b/>
            <sz val="9"/>
            <color indexed="81"/>
            <rFont val="Tahoma"/>
            <family val="2"/>
          </rPr>
          <t>INCLÑUIR</t>
        </r>
      </text>
    </comment>
    <comment ref="AN1" authorId="0" shapeId="0" xr:uid="{2ED55653-93BD-488A-A0F1-FE9B014A4398}">
      <text>
        <r>
          <rPr>
            <b/>
            <sz val="9"/>
            <color indexed="81"/>
            <rFont val="Tahoma"/>
            <family val="2"/>
          </rPr>
          <t>Camilo Daza:</t>
        </r>
        <r>
          <rPr>
            <sz val="9"/>
            <color indexed="81"/>
            <rFont val="Tahoma"/>
            <family val="2"/>
          </rPr>
          <t xml:space="preserve">
INCLUIR</t>
        </r>
      </text>
    </comment>
    <comment ref="AS1" authorId="0" shapeId="0" xr:uid="{52C5A4FE-8ACC-41A4-B7E4-722C8D752775}">
      <text>
        <r>
          <rPr>
            <b/>
            <sz val="9"/>
            <color indexed="81"/>
            <rFont val="Tahoma"/>
            <family val="2"/>
          </rPr>
          <t>Camilo Daza:</t>
        </r>
        <r>
          <rPr>
            <sz val="9"/>
            <color indexed="81"/>
            <rFont val="Tahoma"/>
            <family val="2"/>
          </rPr>
          <t xml:space="preserve">
INCLUIR</t>
        </r>
      </text>
    </comment>
    <comment ref="BL1" authorId="0" shapeId="0" xr:uid="{F1D11B18-AB52-44AC-97DD-A6E02B3E1A45}">
      <text>
        <r>
          <rPr>
            <b/>
            <sz val="9"/>
            <color indexed="81"/>
            <rFont val="Tahoma"/>
            <family val="2"/>
          </rPr>
          <t>Camilo Daza:</t>
        </r>
        <r>
          <rPr>
            <sz val="9"/>
            <color indexed="81"/>
            <rFont val="Tahoma"/>
            <family val="2"/>
          </rPr>
          <t xml:space="preserve">
INCLUIR</t>
        </r>
      </text>
    </comment>
    <comment ref="BQ1" authorId="0" shapeId="0" xr:uid="{049C6713-2A56-4FC4-870E-FF4F5D7A4950}">
      <text>
        <r>
          <rPr>
            <b/>
            <sz val="9"/>
            <color indexed="81"/>
            <rFont val="Tahoma"/>
            <family val="2"/>
          </rPr>
          <t>Camilo Daza:</t>
        </r>
        <r>
          <rPr>
            <sz val="9"/>
            <color indexed="81"/>
            <rFont val="Tahoma"/>
            <family val="2"/>
          </rPr>
          <t xml:space="preserve">
INCLUIR</t>
        </r>
      </text>
    </comment>
    <comment ref="BV1" authorId="0" shapeId="0" xr:uid="{D9025AA0-B5CB-460A-8164-0ABE06D6ADA6}">
      <text>
        <r>
          <rPr>
            <b/>
            <sz val="9"/>
            <color indexed="81"/>
            <rFont val="Tahoma"/>
            <family val="2"/>
          </rPr>
          <t>Camilo Daza:</t>
        </r>
        <r>
          <rPr>
            <sz val="9"/>
            <color indexed="81"/>
            <rFont val="Tahoma"/>
            <family val="2"/>
          </rPr>
          <t xml:space="preserve">
INCLUIR
</t>
        </r>
      </text>
    </comment>
    <comment ref="CK1" authorId="0" shapeId="0" xr:uid="{6DBA4B85-236A-4F63-86EE-954A47A6FBF6}">
      <text>
        <r>
          <rPr>
            <b/>
            <sz val="9"/>
            <color indexed="81"/>
            <rFont val="Tahoma"/>
            <family val="2"/>
          </rPr>
          <t>Camilo Daza:</t>
        </r>
        <r>
          <rPr>
            <sz val="9"/>
            <color indexed="81"/>
            <rFont val="Tahoma"/>
            <family val="2"/>
          </rPr>
          <t xml:space="preserve">
INCLUIR</t>
        </r>
      </text>
    </comment>
  </commentList>
</comments>
</file>

<file path=xl/sharedStrings.xml><?xml version="1.0" encoding="utf-8"?>
<sst xmlns="http://schemas.openxmlformats.org/spreadsheetml/2006/main" count="25400" uniqueCount="1852">
  <si>
    <t>Marca temporal</t>
  </si>
  <si>
    <t>¿En qué país resides?</t>
  </si>
  <si>
    <t>Tu edad está dentro del rango:</t>
  </si>
  <si>
    <t>¿Tu género es?</t>
  </si>
  <si>
    <t>Indica tu nivel de estudios:</t>
  </si>
  <si>
    <t>Indica los años de experiencia trabajando en empresas de desarrollo de software:</t>
  </si>
  <si>
    <r>
      <rPr>
        <sz val="10"/>
        <color rgb="FFFFFFFF"/>
        <rFont val="Aptos Narrow"/>
      </rPr>
      <t xml:space="preserve">Por favor indica el puesto que ocupabas </t>
    </r>
    <r>
      <rPr>
        <b/>
        <sz val="10"/>
        <color rgb="FFFFFFFF"/>
        <rFont val="Arial"/>
      </rPr>
      <t>cuando trabajabas presencialmente</t>
    </r>
    <r>
      <rPr>
        <sz val="10"/>
        <color rgb="FFFFFFFF"/>
        <rFont val="Arial"/>
      </rPr>
      <t xml:space="preserve"> en la empresa:</t>
    </r>
  </si>
  <si>
    <r>
      <rPr>
        <sz val="10"/>
        <color rgb="FFFFFFFF"/>
        <rFont val="Aptos Narrow"/>
      </rPr>
      <t xml:space="preserve">Por favor indica el puesto que ocupas </t>
    </r>
    <r>
      <rPr>
        <b/>
        <sz val="10"/>
        <color rgb="FFFFFFFF"/>
        <rFont val="Arial"/>
      </rPr>
      <t>actualmente</t>
    </r>
    <r>
      <rPr>
        <sz val="10"/>
        <color rgb="FFFFFFFF"/>
        <rFont val="Arial"/>
      </rPr>
      <t xml:space="preserve"> en la empresa:</t>
    </r>
  </si>
  <si>
    <t>Tamaño de la compañía</t>
  </si>
  <si>
    <t>Tipo de empresa:</t>
  </si>
  <si>
    <t>Tu empresa es:</t>
  </si>
  <si>
    <t>¿En tu trabajo te comunicas con personas de distintos países?</t>
  </si>
  <si>
    <t>NIVEL HOMEOFFICE</t>
  </si>
  <si>
    <r>
      <rPr>
        <sz val="10"/>
        <color rgb="FFFFFFFF"/>
        <rFont val="Aptos Narrow"/>
      </rPr>
      <t xml:space="preserve">¿Cuántos días a la semana trabajas </t>
    </r>
    <r>
      <rPr>
        <b/>
        <sz val="10"/>
        <color rgb="FFFFFFFF"/>
        <rFont val="Arial"/>
      </rPr>
      <t>desde casa actualmente</t>
    </r>
    <r>
      <rPr>
        <sz val="10"/>
        <color rgb="FFFFFFFF"/>
        <rFont val="Arial"/>
      </rPr>
      <t>?</t>
    </r>
  </si>
  <si>
    <r>
      <rPr>
        <sz val="10"/>
        <color rgb="FFFFFFFF"/>
        <rFont val="Aptos Narrow"/>
      </rPr>
      <t xml:space="preserve">¿Cuántos días a la semana </t>
    </r>
    <r>
      <rPr>
        <b/>
        <sz val="10"/>
        <color rgb="FFFFFFFF"/>
        <rFont val="Arial"/>
      </rPr>
      <t>vas a la oficina actualmente</t>
    </r>
    <r>
      <rPr>
        <sz val="10"/>
        <color rgb="FFFFFFFF"/>
        <rFont val="Arial"/>
      </rPr>
      <t>?</t>
    </r>
  </si>
  <si>
    <r>
      <rPr>
        <sz val="10"/>
        <color rgb="FFFFFFFF"/>
        <rFont val="Aptos Narrow"/>
      </rPr>
      <t xml:space="preserve">¿Qué modalidad de trabajo </t>
    </r>
    <r>
      <rPr>
        <b/>
        <sz val="10"/>
        <color rgb="FFFFFFFF"/>
        <rFont val="Arial"/>
      </rPr>
      <t>prefieres</t>
    </r>
    <r>
      <rPr>
        <sz val="10"/>
        <color rgb="FFFFFFFF"/>
        <rFont val="Arial"/>
      </rPr>
      <t>?</t>
    </r>
  </si>
  <si>
    <r>
      <rPr>
        <sz val="10"/>
        <color rgb="FFFFFFFF"/>
        <rFont val="Aptos Narrow"/>
      </rPr>
      <t xml:space="preserve">La </t>
    </r>
    <r>
      <rPr>
        <b/>
        <sz val="10"/>
        <color rgb="FFFFFFFF"/>
        <rFont val="Arial"/>
      </rPr>
      <t>modalidad</t>
    </r>
    <r>
      <rPr>
        <sz val="10"/>
        <color rgb="FFFFFFFF"/>
        <rFont val="Arial"/>
      </rPr>
      <t xml:space="preserve"> que </t>
    </r>
    <r>
      <rPr>
        <b/>
        <sz val="10"/>
        <color rgb="FFFFFFFF"/>
        <rFont val="Arial"/>
      </rPr>
      <t>actualmente</t>
    </r>
    <r>
      <rPr>
        <sz val="10"/>
        <color rgb="FFFFFFFF"/>
        <rFont val="Arial"/>
      </rPr>
      <t xml:space="preserve"> tienes </t>
    </r>
    <r>
      <rPr>
        <b/>
        <sz val="10"/>
        <color rgb="FFFFFFFF"/>
        <rFont val="Arial"/>
      </rPr>
      <t>fue</t>
    </r>
    <r>
      <rPr>
        <sz val="10"/>
        <color rgb="FFFFFFFF"/>
        <rFont val="Arial"/>
      </rPr>
      <t>:</t>
    </r>
  </si>
  <si>
    <r>
      <rPr>
        <sz val="10"/>
        <color rgb="FFFFFFFF"/>
        <rFont val="Aptos Narrow"/>
      </rPr>
      <t xml:space="preserve">Trabajo la </t>
    </r>
    <r>
      <rPr>
        <b/>
        <sz val="10"/>
        <color rgb="FFFFFFFF"/>
        <rFont val="Arial"/>
      </rPr>
      <t>misma cantidad de horas</t>
    </r>
    <r>
      <rPr>
        <sz val="10"/>
        <color rgb="FFFFFFFF"/>
        <rFont val="Arial"/>
      </rPr>
      <t xml:space="preserve"> que cuando </t>
    </r>
    <r>
      <rPr>
        <b/>
        <sz val="10"/>
        <color rgb="FFFFFFFF"/>
        <rFont val="Arial"/>
      </rPr>
      <t>trabajaba todos los días en la oficina</t>
    </r>
  </si>
  <si>
    <r>
      <rPr>
        <sz val="10"/>
        <color rgb="FFFFFFFF"/>
        <rFont val="Aptos Narrow"/>
      </rPr>
      <t>El</t>
    </r>
    <r>
      <rPr>
        <b/>
        <sz val="10"/>
        <color rgb="FFFFFFFF"/>
        <rFont val="Arial"/>
      </rPr>
      <t xml:space="preserve"> intercambio de conocimiento </t>
    </r>
    <r>
      <rPr>
        <sz val="10"/>
        <color rgb="FFFFFFFF"/>
        <rFont val="Arial"/>
      </rPr>
      <t xml:space="preserve">con mis </t>
    </r>
    <r>
      <rPr>
        <b/>
        <sz val="10"/>
        <color rgb="FFFFFFFF"/>
        <rFont val="Arial"/>
      </rPr>
      <t>compañeros</t>
    </r>
    <r>
      <rPr>
        <sz val="10"/>
        <color rgb="FFFFFFFF"/>
        <rFont val="Arial"/>
      </rPr>
      <t xml:space="preserve"> de proyecto es </t>
    </r>
    <r>
      <rPr>
        <b/>
        <sz val="10"/>
        <color rgb="FFFFFFFF"/>
        <rFont val="Arial"/>
      </rPr>
      <t>ahora</t>
    </r>
    <r>
      <rPr>
        <sz val="10"/>
        <color rgb="FFFFFFFF"/>
        <rFont val="Arial"/>
      </rPr>
      <t>:</t>
    </r>
  </si>
  <si>
    <r>
      <rPr>
        <sz val="10"/>
        <color rgb="FFFFFFFF"/>
        <rFont val="Aptos Narrow"/>
      </rPr>
      <t xml:space="preserve">La </t>
    </r>
    <r>
      <rPr>
        <b/>
        <sz val="10"/>
        <color rgb="FFFFFFFF"/>
        <rFont val="Arial"/>
      </rPr>
      <t>comunicación en general con mis compañeros de proyecto es ahora</t>
    </r>
  </si>
  <si>
    <r>
      <rPr>
        <sz val="10"/>
        <color rgb="FFFFFFFF"/>
        <rFont val="Aptos Narrow"/>
      </rPr>
      <t xml:space="preserve">La </t>
    </r>
    <r>
      <rPr>
        <b/>
        <sz val="10"/>
        <color rgb="FFFFFFFF"/>
        <rFont val="Arial"/>
      </rPr>
      <t xml:space="preserve">comunicación </t>
    </r>
    <r>
      <rPr>
        <sz val="10"/>
        <color rgb="FFFFFFFF"/>
        <rFont val="Arial"/>
      </rPr>
      <t xml:space="preserve">con mis </t>
    </r>
    <r>
      <rPr>
        <b/>
        <sz val="10"/>
        <color rgb="FFFFFFFF"/>
        <rFont val="Arial"/>
      </rPr>
      <t>jefes</t>
    </r>
    <r>
      <rPr>
        <sz val="10"/>
        <color rgb="FFFFFFFF"/>
        <rFont val="Arial"/>
      </rPr>
      <t xml:space="preserve"> es </t>
    </r>
    <r>
      <rPr>
        <b/>
        <sz val="10"/>
        <color rgb="FFFFFFFF"/>
        <rFont val="Arial"/>
      </rPr>
      <t>ahora</t>
    </r>
  </si>
  <si>
    <r>
      <rPr>
        <sz val="10"/>
        <color rgb="FFFFFFFF"/>
        <rFont val="Aptos Narrow"/>
      </rPr>
      <t xml:space="preserve">Tus </t>
    </r>
    <r>
      <rPr>
        <b/>
        <sz val="10"/>
        <color rgb="FFFFFFFF"/>
        <rFont val="Arial"/>
      </rPr>
      <t xml:space="preserve">horarios </t>
    </r>
    <r>
      <rPr>
        <sz val="10"/>
        <color rgb="FFFFFFFF"/>
        <rFont val="Arial"/>
      </rPr>
      <t xml:space="preserve">de trabajo </t>
    </r>
    <r>
      <rPr>
        <b/>
        <sz val="10"/>
        <color rgb="FFFFFFFF"/>
        <rFont val="Arial"/>
      </rPr>
      <t>ahora</t>
    </r>
    <r>
      <rPr>
        <sz val="10"/>
        <color rgb="FFFFFFFF"/>
        <rFont val="Arial"/>
      </rPr>
      <t xml:space="preserve"> son:</t>
    </r>
  </si>
  <si>
    <r>
      <rPr>
        <sz val="10"/>
        <color rgb="FFFFFFFF"/>
        <rFont val="Aptos Narrow"/>
      </rPr>
      <t xml:space="preserve">Mis </t>
    </r>
    <r>
      <rPr>
        <b/>
        <sz val="10"/>
        <color rgb="FFFFFFFF"/>
        <rFont val="Arial"/>
      </rPr>
      <t>reuniones ahora</t>
    </r>
    <r>
      <rPr>
        <sz val="10"/>
        <color rgb="FFFFFFFF"/>
        <rFont val="Arial"/>
      </rPr>
      <t xml:space="preserve"> son:</t>
    </r>
  </si>
  <si>
    <r>
      <rPr>
        <sz val="10"/>
        <color rgb="FFFFFFFF"/>
        <rFont val="Aptos Narrow"/>
      </rPr>
      <t xml:space="preserve">El </t>
    </r>
    <r>
      <rPr>
        <b/>
        <sz val="10"/>
        <color rgb="FFFFFFFF"/>
        <rFont val="Arial"/>
      </rPr>
      <t xml:space="preserve">cansancio </t>
    </r>
    <r>
      <rPr>
        <sz val="10"/>
        <color rgb="FFFFFFFF"/>
        <rFont val="Arial"/>
      </rPr>
      <t xml:space="preserve">después de una </t>
    </r>
    <r>
      <rPr>
        <b/>
        <sz val="10"/>
        <color rgb="FFFFFFFF"/>
        <rFont val="Arial"/>
      </rPr>
      <t>reunión online</t>
    </r>
    <r>
      <rPr>
        <sz val="10"/>
        <color rgb="FFFFFFFF"/>
        <rFont val="Arial"/>
      </rPr>
      <t xml:space="preserve"> es ahora:</t>
    </r>
  </si>
  <si>
    <r>
      <rPr>
        <sz val="10"/>
        <color rgb="FFFFFFFF"/>
        <rFont val="Aptos Narrow"/>
      </rPr>
      <t xml:space="preserve">Siento que mi rendimiento </t>
    </r>
    <r>
      <rPr>
        <b/>
        <sz val="10"/>
        <color rgb="FFFFFFFF"/>
        <rFont val="Arial"/>
      </rPr>
      <t>ahora</t>
    </r>
    <r>
      <rPr>
        <sz val="10"/>
        <color rgb="FFFFFFFF"/>
        <rFont val="Arial"/>
      </rPr>
      <t xml:space="preserve"> es:</t>
    </r>
  </si>
  <si>
    <r>
      <rPr>
        <sz val="10"/>
        <color rgb="FFFFFFFF"/>
        <rFont val="Aptos Narrow"/>
      </rPr>
      <t xml:space="preserve">Siento que la </t>
    </r>
    <r>
      <rPr>
        <b/>
        <sz val="10"/>
        <color rgb="FFFFFFFF"/>
        <rFont val="Arial"/>
      </rPr>
      <t xml:space="preserve">productividad </t>
    </r>
    <r>
      <rPr>
        <sz val="10"/>
        <color rgb="FFFFFFFF"/>
        <rFont val="Arial"/>
      </rPr>
      <t xml:space="preserve">de mi </t>
    </r>
    <r>
      <rPr>
        <b/>
        <sz val="10"/>
        <color rgb="FFFFFFFF"/>
        <rFont val="Arial"/>
      </rPr>
      <t>equipo</t>
    </r>
    <r>
      <rPr>
        <sz val="10"/>
        <color rgb="FFFFFFFF"/>
        <rFont val="Arial"/>
      </rPr>
      <t xml:space="preserve"> es:</t>
    </r>
  </si>
  <si>
    <r>
      <rPr>
        <sz val="10"/>
        <color rgb="FFFFFFFF"/>
        <rFont val="Aptos Narrow"/>
      </rPr>
      <t xml:space="preserve">Siento que la </t>
    </r>
    <r>
      <rPr>
        <b/>
        <sz val="10"/>
        <color rgb="FFFFFFFF"/>
        <rFont val="Arial"/>
      </rPr>
      <t xml:space="preserve">capacidad </t>
    </r>
    <r>
      <rPr>
        <sz val="10"/>
        <color rgb="FFFFFFFF"/>
        <rFont val="Arial"/>
      </rPr>
      <t xml:space="preserve">de mi </t>
    </r>
    <r>
      <rPr>
        <b/>
        <sz val="10"/>
        <color rgb="FFFFFFFF"/>
        <rFont val="Arial"/>
      </rPr>
      <t>equipo</t>
    </r>
    <r>
      <rPr>
        <sz val="10"/>
        <color rgb="FFFFFFFF"/>
        <rFont val="Arial"/>
      </rPr>
      <t xml:space="preserve"> para cumplir hitos es:</t>
    </r>
  </si>
  <si>
    <r>
      <rPr>
        <sz val="10"/>
        <color rgb="FFFFFFFF"/>
        <rFont val="Aptos Narrow"/>
      </rPr>
      <t xml:space="preserve">Siento que mi </t>
    </r>
    <r>
      <rPr>
        <b/>
        <sz val="10"/>
        <color rgb="FFFFFFFF"/>
        <rFont val="Arial"/>
      </rPr>
      <t>concentración</t>
    </r>
    <r>
      <rPr>
        <sz val="10"/>
        <color rgb="FFFFFFFF"/>
        <rFont val="Arial"/>
      </rPr>
      <t xml:space="preserve"> cuando estoy trabajando es:</t>
    </r>
  </si>
  <si>
    <r>
      <rPr>
        <sz val="10"/>
        <color rgb="FFFFFFFF"/>
        <rFont val="Aptos Narrow"/>
      </rPr>
      <t xml:space="preserve">Siento que la </t>
    </r>
    <r>
      <rPr>
        <b/>
        <sz val="10"/>
        <color rgb="FFFFFFFF"/>
        <rFont val="Arial"/>
      </rPr>
      <t>velocidad</t>
    </r>
    <r>
      <rPr>
        <sz val="10"/>
        <color rgb="FFFFFFFF"/>
        <rFont val="Arial"/>
      </rPr>
      <t xml:space="preserve"> de mi conexión a </t>
    </r>
    <r>
      <rPr>
        <b/>
        <sz val="10"/>
        <color rgb="FFFFFFFF"/>
        <rFont val="Arial"/>
      </rPr>
      <t>Internet</t>
    </r>
    <r>
      <rPr>
        <sz val="10"/>
        <color rgb="FFFFFFFF"/>
        <rFont val="Arial"/>
      </rPr>
      <t xml:space="preserve"> es</t>
    </r>
  </si>
  <si>
    <r>
      <rPr>
        <sz val="10"/>
        <color rgb="FFFFFFFF"/>
        <rFont val="Aptos Narrow"/>
      </rPr>
      <t xml:space="preserve">Siento que la </t>
    </r>
    <r>
      <rPr>
        <b/>
        <sz val="10"/>
        <color rgb="FFFFFFFF"/>
        <rFont val="Arial"/>
      </rPr>
      <t xml:space="preserve">eficiencia </t>
    </r>
    <r>
      <rPr>
        <sz val="10"/>
        <color rgb="FFFFFFFF"/>
        <rFont val="Arial"/>
      </rPr>
      <t xml:space="preserve">de la conexión a </t>
    </r>
    <r>
      <rPr>
        <b/>
        <sz val="10"/>
        <color rgb="FFFFFFFF"/>
        <rFont val="Arial"/>
      </rPr>
      <t>Internet</t>
    </r>
    <r>
      <rPr>
        <sz val="10"/>
        <color rgb="FFFFFFFF"/>
        <rFont val="Arial"/>
      </rPr>
      <t xml:space="preserve"> me influye:</t>
    </r>
  </si>
  <si>
    <r>
      <rPr>
        <sz val="10"/>
        <color rgb="FFFFFFFF"/>
        <rFont val="Aptos Narrow"/>
      </rPr>
      <t xml:space="preserve">Las </t>
    </r>
    <r>
      <rPr>
        <b/>
        <sz val="10"/>
        <color rgb="FFFFFFFF"/>
        <rFont val="Arial"/>
      </rPr>
      <t xml:space="preserve">herramientas de comunicación </t>
    </r>
    <r>
      <rPr>
        <sz val="10"/>
        <color rgb="FFFFFFFF"/>
        <rFont val="Arial"/>
      </rPr>
      <t xml:space="preserve">(Teams, Zoom, Slack,...) utilizadas </t>
    </r>
    <r>
      <rPr>
        <b/>
        <sz val="10"/>
        <color rgb="FFFFFFFF"/>
        <rFont val="Arial"/>
      </rPr>
      <t>por mi empresa</t>
    </r>
    <r>
      <rPr>
        <sz val="10"/>
        <color rgb="FFFFFFFF"/>
        <rFont val="Arial"/>
      </rPr>
      <t xml:space="preserve">, desde </t>
    </r>
    <r>
      <rPr>
        <b/>
        <sz val="10"/>
        <color rgb="FFFFFFFF"/>
        <rFont val="Arial"/>
      </rPr>
      <t>casa</t>
    </r>
    <r>
      <rPr>
        <sz val="10"/>
        <color rgb="FFFFFFFF"/>
        <rFont val="Arial"/>
      </rPr>
      <t>:</t>
    </r>
  </si>
  <si>
    <r>
      <rPr>
        <sz val="10"/>
        <color rgb="FFFFFFFF"/>
        <rFont val="Aptos Narrow"/>
      </rPr>
      <t xml:space="preserve">Siento que la </t>
    </r>
    <r>
      <rPr>
        <b/>
        <sz val="10"/>
        <color rgb="FFFFFFFF"/>
        <rFont val="Arial"/>
      </rPr>
      <t>facilidad</t>
    </r>
    <r>
      <rPr>
        <sz val="10"/>
        <color rgb="FFFFFFFF"/>
        <rFont val="Arial"/>
      </rPr>
      <t xml:space="preserve"> para </t>
    </r>
    <r>
      <rPr>
        <b/>
        <sz val="10"/>
        <color rgb="FFFFFFFF"/>
        <rFont val="Arial"/>
      </rPr>
      <t>compartir conocimiento ahora</t>
    </r>
    <r>
      <rPr>
        <sz val="10"/>
        <color rgb="FFFFFFFF"/>
        <rFont val="Arial"/>
      </rPr>
      <t xml:space="preserve"> es: </t>
    </r>
  </si>
  <si>
    <r>
      <rPr>
        <sz val="10"/>
        <color rgb="FFFFFFFF"/>
        <rFont val="Aptos Narrow"/>
      </rPr>
      <t xml:space="preserve">Siento que el impacto de la </t>
    </r>
    <r>
      <rPr>
        <b/>
        <sz val="10"/>
        <color rgb="FFFFFFFF"/>
        <rFont val="Arial"/>
      </rPr>
      <t xml:space="preserve">rotación </t>
    </r>
    <r>
      <rPr>
        <sz val="10"/>
        <color rgb="FFFFFFFF"/>
        <rFont val="Arial"/>
      </rPr>
      <t xml:space="preserve">de personal en la empresa </t>
    </r>
    <r>
      <rPr>
        <b/>
        <sz val="10"/>
        <color rgb="FFFFFFFF"/>
        <rFont val="Arial"/>
      </rPr>
      <t>ahora es</t>
    </r>
    <r>
      <rPr>
        <sz val="10"/>
        <color rgb="FFFFFFFF"/>
        <rFont val="Arial"/>
      </rPr>
      <t xml:space="preserve">: </t>
    </r>
  </si>
  <si>
    <r>
      <rPr>
        <sz val="10"/>
        <color rgb="FFFFFFFF"/>
        <rFont val="Aptos Narrow"/>
      </rPr>
      <t xml:space="preserve">Siento que la </t>
    </r>
    <r>
      <rPr>
        <b/>
        <sz val="10"/>
        <color rgb="FFFFFFFF"/>
        <rFont val="Arial"/>
      </rPr>
      <t>falta de compromiso</t>
    </r>
    <r>
      <rPr>
        <sz val="10"/>
        <color rgb="FFFFFFFF"/>
        <rFont val="Arial"/>
      </rPr>
      <t xml:space="preserve"> por parte de los </t>
    </r>
    <r>
      <rPr>
        <b/>
        <sz val="10"/>
        <color rgb="FFFFFFFF"/>
        <rFont val="Arial"/>
      </rPr>
      <t>empleados</t>
    </r>
    <r>
      <rPr>
        <sz val="10"/>
        <color rgb="FFFFFFFF"/>
        <rFont val="Arial"/>
      </rPr>
      <t xml:space="preserve">, afecta a la </t>
    </r>
    <r>
      <rPr>
        <b/>
        <sz val="10"/>
        <color rgb="FFFFFFFF"/>
        <rFont val="Arial"/>
      </rPr>
      <t>productividad</t>
    </r>
    <r>
      <rPr>
        <sz val="10"/>
        <color rgb="FFFFFFFF"/>
        <rFont val="Arial"/>
      </rPr>
      <t>:</t>
    </r>
  </si>
  <si>
    <r>
      <rPr>
        <sz val="10"/>
        <color rgb="FFFFFFFF"/>
        <rFont val="Aptos Narrow"/>
      </rPr>
      <t xml:space="preserve">Siento que el hecho de trabajar con personas de </t>
    </r>
    <r>
      <rPr>
        <b/>
        <sz val="10"/>
        <color rgb="FFFFFFFF"/>
        <rFont val="Arial"/>
      </rPr>
      <t>distintas culturas</t>
    </r>
    <r>
      <rPr>
        <sz val="10"/>
        <color rgb="FFFFFFFF"/>
        <rFont val="Arial"/>
      </rPr>
      <t xml:space="preserve"> afecta a la </t>
    </r>
    <r>
      <rPr>
        <b/>
        <sz val="10"/>
        <color rgb="FFFFFFFF"/>
        <rFont val="Arial"/>
      </rPr>
      <t>productividad</t>
    </r>
    <r>
      <rPr>
        <sz val="10"/>
        <color rgb="FFFFFFFF"/>
        <rFont val="Arial"/>
      </rPr>
      <t>:</t>
    </r>
  </si>
  <si>
    <r>
      <rPr>
        <sz val="10"/>
        <color rgb="FFFFFFFF"/>
        <rFont val="Aptos Narrow"/>
      </rPr>
      <t xml:space="preserve">Siento que el hecho de trabajar con personas que tienen </t>
    </r>
    <r>
      <rPr>
        <b/>
        <sz val="10"/>
        <color rgb="FFFFFFFF"/>
        <rFont val="Arial"/>
      </rPr>
      <t>otros horarios</t>
    </r>
    <r>
      <rPr>
        <sz val="10"/>
        <color rgb="FFFFFFFF"/>
        <rFont val="Arial"/>
      </rPr>
      <t xml:space="preserve"> afecta a la </t>
    </r>
    <r>
      <rPr>
        <b/>
        <sz val="10"/>
        <color rgb="FFFFFFFF"/>
        <rFont val="Arial"/>
      </rPr>
      <t>productividad</t>
    </r>
  </si>
  <si>
    <r>
      <rPr>
        <sz val="10"/>
        <color rgb="FFFFFFFF"/>
        <rFont val="Aptos Narrow"/>
      </rPr>
      <t xml:space="preserve">Siento que el hecho de trabajar con personas que se </t>
    </r>
    <r>
      <rPr>
        <b/>
        <sz val="10"/>
        <color rgb="FFFFFFFF"/>
        <rFont val="Arial"/>
      </rPr>
      <t>encuentran geográficamente distribuidas afecta a la productividad:</t>
    </r>
  </si>
  <si>
    <r>
      <rPr>
        <sz val="10"/>
        <color rgb="FFFFFFFF"/>
        <rFont val="Aptos Narrow"/>
      </rPr>
      <t xml:space="preserve">Siento que la </t>
    </r>
    <r>
      <rPr>
        <b/>
        <sz val="10"/>
        <color rgb="FFFFFFFF"/>
        <rFont val="Arial"/>
      </rPr>
      <t>falta de confianza</t>
    </r>
    <r>
      <rPr>
        <sz val="10"/>
        <color rgb="FFFFFFFF"/>
        <rFont val="Arial"/>
      </rPr>
      <t xml:space="preserve"> entre los </t>
    </r>
    <r>
      <rPr>
        <b/>
        <sz val="10"/>
        <color rgb="FFFFFFFF"/>
        <rFont val="Arial"/>
      </rPr>
      <t>miembros del equipo</t>
    </r>
    <r>
      <rPr>
        <sz val="10"/>
        <color rgb="FFFFFFFF"/>
        <rFont val="Arial"/>
      </rPr>
      <t xml:space="preserve"> afecta la </t>
    </r>
    <r>
      <rPr>
        <b/>
        <sz val="10"/>
        <color rgb="FFFFFFFF"/>
        <rFont val="Arial"/>
      </rPr>
      <t>productividad</t>
    </r>
  </si>
  <si>
    <r>
      <rPr>
        <sz val="10"/>
        <color rgb="FFFFFFFF"/>
        <rFont val="Aptos Narrow"/>
      </rPr>
      <t xml:space="preserve">Siento que la </t>
    </r>
    <r>
      <rPr>
        <b/>
        <sz val="10"/>
        <color rgb="FFFFFFFF"/>
        <rFont val="Arial"/>
      </rPr>
      <t xml:space="preserve">falta </t>
    </r>
    <r>
      <rPr>
        <sz val="10"/>
        <color rgb="FFFFFFFF"/>
        <rFont val="Arial"/>
      </rPr>
      <t xml:space="preserve">de </t>
    </r>
    <r>
      <rPr>
        <b/>
        <sz val="10"/>
        <color rgb="FFFFFFFF"/>
        <rFont val="Arial"/>
      </rPr>
      <t>colaboración</t>
    </r>
    <r>
      <rPr>
        <sz val="10"/>
        <color rgb="FFFFFFFF"/>
        <rFont val="Arial"/>
      </rPr>
      <t xml:space="preserve"> entre los </t>
    </r>
    <r>
      <rPr>
        <b/>
        <sz val="10"/>
        <color rgb="FFFFFFFF"/>
        <rFont val="Arial"/>
      </rPr>
      <t>miembros del equipo</t>
    </r>
    <r>
      <rPr>
        <sz val="10"/>
        <color rgb="FFFFFFFF"/>
        <rFont val="Arial"/>
      </rPr>
      <t xml:space="preserve"> afecta la </t>
    </r>
    <r>
      <rPr>
        <b/>
        <sz val="10"/>
        <color rgb="FFFFFFFF"/>
        <rFont val="Arial"/>
      </rPr>
      <t>productividad</t>
    </r>
    <r>
      <rPr>
        <sz val="10"/>
        <color rgb="FFFFFFFF"/>
        <rFont val="Arial"/>
      </rPr>
      <t>:</t>
    </r>
  </si>
  <si>
    <r>
      <rPr>
        <sz val="10"/>
        <color rgb="FFFFFFFF"/>
        <rFont val="Aptos Narrow"/>
      </rPr>
      <t xml:space="preserve">Siento que la </t>
    </r>
    <r>
      <rPr>
        <b/>
        <sz val="10"/>
        <color rgb="FFFFFFFF"/>
        <rFont val="Arial"/>
      </rPr>
      <t xml:space="preserve">falta </t>
    </r>
    <r>
      <rPr>
        <sz val="10"/>
        <color rgb="FFFFFFFF"/>
        <rFont val="Arial"/>
      </rPr>
      <t xml:space="preserve">de </t>
    </r>
    <r>
      <rPr>
        <b/>
        <sz val="10"/>
        <color rgb="FFFFFFFF"/>
        <rFont val="Arial"/>
      </rPr>
      <t>relaciones personales</t>
    </r>
    <r>
      <rPr>
        <sz val="10"/>
        <color rgb="FFFFFFFF"/>
        <rFont val="Arial"/>
      </rPr>
      <t xml:space="preserve"> entre los </t>
    </r>
    <r>
      <rPr>
        <b/>
        <sz val="10"/>
        <color rgb="FFFFFFFF"/>
        <rFont val="Arial"/>
      </rPr>
      <t>miembros del equipo</t>
    </r>
    <r>
      <rPr>
        <sz val="10"/>
        <color rgb="FFFFFFFF"/>
        <rFont val="Arial"/>
      </rPr>
      <t xml:space="preserve"> afecta la </t>
    </r>
    <r>
      <rPr>
        <b/>
        <sz val="10"/>
        <color rgb="FFFFFFFF"/>
        <rFont val="Arial"/>
      </rPr>
      <t>productividad</t>
    </r>
    <r>
      <rPr>
        <sz val="10"/>
        <color rgb="FFFFFFFF"/>
        <rFont val="Arial"/>
      </rPr>
      <t>:</t>
    </r>
  </si>
  <si>
    <r>
      <rPr>
        <sz val="10"/>
        <color rgb="FFFFFFFF"/>
        <rFont val="Aptos Narrow"/>
      </rPr>
      <t>Siento que la</t>
    </r>
    <r>
      <rPr>
        <b/>
        <sz val="10"/>
        <color rgb="FFFFFFFF"/>
        <rFont val="Arial"/>
      </rPr>
      <t xml:space="preserve"> falta de cohesión</t>
    </r>
    <r>
      <rPr>
        <sz val="10"/>
        <color rgb="FFFFFFFF"/>
        <rFont val="Arial"/>
      </rPr>
      <t xml:space="preserve"> y de </t>
    </r>
    <r>
      <rPr>
        <b/>
        <sz val="10"/>
        <color rgb="FFFFFFFF"/>
        <rFont val="Arial"/>
      </rPr>
      <t>espíritu</t>
    </r>
    <r>
      <rPr>
        <sz val="10"/>
        <color rgb="FFFFFFFF"/>
        <rFont val="Arial"/>
      </rPr>
      <t xml:space="preserve"> de </t>
    </r>
    <r>
      <rPr>
        <b/>
        <sz val="10"/>
        <color rgb="FFFFFFFF"/>
        <rFont val="Arial"/>
      </rPr>
      <t>grupo</t>
    </r>
    <r>
      <rPr>
        <sz val="10"/>
        <color rgb="FFFFFFFF"/>
        <rFont val="Arial"/>
      </rPr>
      <t xml:space="preserve"> afecta la </t>
    </r>
    <r>
      <rPr>
        <b/>
        <sz val="10"/>
        <color rgb="FFFFFFFF"/>
        <rFont val="Arial"/>
      </rPr>
      <t>productividad</t>
    </r>
  </si>
  <si>
    <r>
      <rPr>
        <sz val="10"/>
        <color rgb="FFFFFFFF"/>
        <rFont val="Aptos Narrow"/>
      </rPr>
      <t xml:space="preserve">Siento que los </t>
    </r>
    <r>
      <rPr>
        <b/>
        <sz val="10"/>
        <color rgb="FFFFFFFF"/>
        <rFont val="Arial"/>
      </rPr>
      <t>problemas de liderazgo</t>
    </r>
    <r>
      <rPr>
        <sz val="10"/>
        <color rgb="FFFFFFFF"/>
        <rFont val="Arial"/>
      </rPr>
      <t xml:space="preserve"> afectan la </t>
    </r>
    <r>
      <rPr>
        <b/>
        <sz val="10"/>
        <color rgb="FFFFFFFF"/>
        <rFont val="Arial"/>
      </rPr>
      <t>productividad</t>
    </r>
  </si>
  <si>
    <r>
      <rPr>
        <sz val="10"/>
        <color rgb="FFFFFFFF"/>
        <rFont val="Aptos Narrow"/>
      </rPr>
      <t xml:space="preserve">Siento que el nivel de la </t>
    </r>
    <r>
      <rPr>
        <b/>
        <sz val="10"/>
        <color rgb="FFFFFFFF"/>
        <rFont val="Arial"/>
      </rPr>
      <t>definición de los requisitos de software y su calidad</t>
    </r>
    <r>
      <rPr>
        <sz val="10"/>
        <color rgb="FFFFFFFF"/>
        <rFont val="Arial"/>
      </rPr>
      <t xml:space="preserve"> son </t>
    </r>
    <r>
      <rPr>
        <b/>
        <sz val="10"/>
        <color rgb="FFFFFFFF"/>
        <rFont val="Arial"/>
      </rPr>
      <t>ahora</t>
    </r>
    <r>
      <rPr>
        <sz val="10"/>
        <color rgb="FFFFFFFF"/>
        <rFont val="Arial"/>
      </rPr>
      <t>:</t>
    </r>
  </si>
  <si>
    <r>
      <rPr>
        <sz val="10"/>
        <color rgb="FFFFFFFF"/>
        <rFont val="Aptos Narrow"/>
      </rPr>
      <t xml:space="preserve">Siento que el </t>
    </r>
    <r>
      <rPr>
        <b/>
        <sz val="10"/>
        <color rgb="FFFFFFFF"/>
        <rFont val="Arial"/>
      </rPr>
      <t>control</t>
    </r>
    <r>
      <rPr>
        <sz val="10"/>
        <color rgb="FFFFFFFF"/>
        <rFont val="Arial"/>
      </rPr>
      <t xml:space="preserve"> de los </t>
    </r>
    <r>
      <rPr>
        <b/>
        <sz val="10"/>
        <color rgb="FFFFFFFF"/>
        <rFont val="Arial"/>
      </rPr>
      <t>cambios de los requisitos</t>
    </r>
    <r>
      <rPr>
        <sz val="10"/>
        <color rgb="FFFFFFFF"/>
        <rFont val="Arial"/>
      </rPr>
      <t xml:space="preserve"> es </t>
    </r>
    <r>
      <rPr>
        <b/>
        <sz val="10"/>
        <color rgb="FFFFFFFF"/>
        <rFont val="Arial"/>
      </rPr>
      <t>ahora</t>
    </r>
    <r>
      <rPr>
        <sz val="10"/>
        <color rgb="FFFFFFFF"/>
        <rFont val="Arial"/>
      </rPr>
      <t>:</t>
    </r>
  </si>
  <si>
    <r>
      <rPr>
        <sz val="10"/>
        <color rgb="FFFFFFFF"/>
        <rFont val="Aptos Narrow"/>
      </rPr>
      <t xml:space="preserve">Siento que la </t>
    </r>
    <r>
      <rPr>
        <b/>
        <sz val="10"/>
        <color rgb="FFFFFFFF"/>
        <rFont val="Arial"/>
      </rPr>
      <t xml:space="preserve">cantidad </t>
    </r>
    <r>
      <rPr>
        <sz val="10"/>
        <color rgb="FFFFFFFF"/>
        <rFont val="Arial"/>
      </rPr>
      <t xml:space="preserve">de </t>
    </r>
    <r>
      <rPr>
        <b/>
        <sz val="10"/>
        <color rgb="FFFFFFFF"/>
        <rFont val="Arial"/>
      </rPr>
      <t xml:space="preserve">personal cualificado </t>
    </r>
    <r>
      <rPr>
        <sz val="10"/>
        <color rgb="FFFFFFFF"/>
        <rFont val="Arial"/>
      </rPr>
      <t xml:space="preserve">en la empresa es </t>
    </r>
    <r>
      <rPr>
        <b/>
        <sz val="10"/>
        <color rgb="FFFFFFFF"/>
        <rFont val="Arial"/>
      </rPr>
      <t>ahora</t>
    </r>
    <r>
      <rPr>
        <sz val="10"/>
        <color rgb="FFFFFFFF"/>
        <rFont val="Arial"/>
      </rPr>
      <t>:</t>
    </r>
  </si>
  <si>
    <r>
      <rPr>
        <sz val="10"/>
        <color rgb="FFFF0000"/>
        <rFont val="Arial"/>
      </rPr>
      <t xml:space="preserve">Siento que mi </t>
    </r>
    <r>
      <rPr>
        <b/>
        <sz val="10"/>
        <color rgb="FFFF0000"/>
        <rFont val="Arial"/>
      </rPr>
      <t>nivel de estrés</t>
    </r>
    <r>
      <rPr>
        <sz val="10"/>
        <color rgb="FFFF0000"/>
        <rFont val="Arial"/>
      </rPr>
      <t xml:space="preserve"> es:</t>
    </r>
  </si>
  <si>
    <r>
      <rPr>
        <sz val="10"/>
        <color rgb="FFFFFFFF"/>
        <rFont val="Aptos Narrow"/>
      </rPr>
      <t xml:space="preserve">Siento que mi </t>
    </r>
    <r>
      <rPr>
        <b/>
        <sz val="10"/>
        <color rgb="FFFFFFFF"/>
        <rFont val="Arial"/>
      </rPr>
      <t xml:space="preserve">nivel </t>
    </r>
    <r>
      <rPr>
        <sz val="10"/>
        <color rgb="FFFFFFFF"/>
        <rFont val="Arial"/>
      </rPr>
      <t xml:space="preserve">de </t>
    </r>
    <r>
      <rPr>
        <b/>
        <sz val="10"/>
        <color rgb="FFFFFFFF"/>
        <rFont val="Arial"/>
      </rPr>
      <t xml:space="preserve">confianza </t>
    </r>
    <r>
      <rPr>
        <sz val="10"/>
        <color rgb="FFFFFFFF"/>
        <rFont val="Arial"/>
      </rPr>
      <t xml:space="preserve">para enfrentarme a los retos del trabajo es: </t>
    </r>
  </si>
  <si>
    <r>
      <rPr>
        <sz val="10"/>
        <color rgb="FFFFFFFF"/>
        <rFont val="Aptos Narrow"/>
      </rPr>
      <t xml:space="preserve">Siento que mi nivel de </t>
    </r>
    <r>
      <rPr>
        <b/>
        <sz val="10"/>
        <color rgb="FFFFFFFF"/>
        <rFont val="Arial"/>
      </rPr>
      <t>frustración</t>
    </r>
    <r>
      <rPr>
        <sz val="10"/>
        <color rgb="FFFFFFFF"/>
        <rFont val="Arial"/>
      </rPr>
      <t xml:space="preserve"> con relación al </t>
    </r>
    <r>
      <rPr>
        <b/>
        <sz val="10"/>
        <color rgb="FFFFFFFF"/>
        <rFont val="Arial"/>
      </rPr>
      <t>trabajo</t>
    </r>
    <r>
      <rPr>
        <sz val="10"/>
        <color rgb="FFFFFFFF"/>
        <rFont val="Arial"/>
      </rPr>
      <t xml:space="preserve"> es: </t>
    </r>
  </si>
  <si>
    <r>
      <rPr>
        <sz val="10"/>
        <color rgb="FFFFFFFF"/>
        <rFont val="Aptos Narrow"/>
      </rPr>
      <t xml:space="preserve">Siento que el nivel de </t>
    </r>
    <r>
      <rPr>
        <b/>
        <sz val="10"/>
        <color rgb="FFFFFFFF"/>
        <rFont val="Arial"/>
      </rPr>
      <t>presión</t>
    </r>
    <r>
      <rPr>
        <sz val="10"/>
        <color rgb="FFFFFFFF"/>
        <rFont val="Arial"/>
      </rPr>
      <t xml:space="preserve"> por </t>
    </r>
    <r>
      <rPr>
        <b/>
        <sz val="10"/>
        <color rgb="FFFFFFFF"/>
        <rFont val="Arial"/>
      </rPr>
      <t>terminar las tareas</t>
    </r>
    <r>
      <rPr>
        <sz val="10"/>
        <color rgb="FFFFFFFF"/>
        <rFont val="Arial"/>
      </rPr>
      <t xml:space="preserve"> ahora es:</t>
    </r>
  </si>
  <si>
    <r>
      <rPr>
        <sz val="10"/>
        <color rgb="FFFFFFFF"/>
        <rFont val="Aptos Narrow"/>
      </rPr>
      <t xml:space="preserve">Siento que la </t>
    </r>
    <r>
      <rPr>
        <b/>
        <sz val="10"/>
        <color rgb="FFFFFFFF"/>
        <rFont val="Arial"/>
      </rPr>
      <t xml:space="preserve">flexibilidad </t>
    </r>
    <r>
      <rPr>
        <sz val="10"/>
        <color rgb="FFFFFFFF"/>
        <rFont val="Arial"/>
      </rPr>
      <t xml:space="preserve">de mi </t>
    </r>
    <r>
      <rPr>
        <b/>
        <sz val="10"/>
        <color rgb="FFFFFFFF"/>
        <rFont val="Arial"/>
      </rPr>
      <t>trabajo ahora</t>
    </r>
    <r>
      <rPr>
        <sz val="10"/>
        <color rgb="FFFFFFFF"/>
        <rFont val="Arial"/>
      </rPr>
      <t xml:space="preserve"> es:</t>
    </r>
  </si>
  <si>
    <r>
      <rPr>
        <sz val="10"/>
        <color rgb="FFFFFFFF"/>
        <rFont val="Aptos Narrow"/>
      </rPr>
      <t>Siento que los</t>
    </r>
    <r>
      <rPr>
        <b/>
        <sz val="10"/>
        <color rgb="FFFFFFFF"/>
        <rFont val="Arial"/>
      </rPr>
      <t xml:space="preserve"> problemas tecnológicos ahora </t>
    </r>
    <r>
      <rPr>
        <sz val="10"/>
        <color rgb="FFFFFFFF"/>
        <rFont val="Arial"/>
      </rPr>
      <t>son:</t>
    </r>
  </si>
  <si>
    <r>
      <rPr>
        <sz val="10"/>
        <color rgb="FFFFFFFF"/>
        <rFont val="Aptos Narrow"/>
      </rPr>
      <t xml:space="preserve">Siento que la </t>
    </r>
    <r>
      <rPr>
        <b/>
        <sz val="10"/>
        <color rgb="FFFFFFFF"/>
        <rFont val="Arial"/>
      </rPr>
      <t xml:space="preserve">facilidad </t>
    </r>
    <r>
      <rPr>
        <sz val="10"/>
        <color rgb="FFFFFFFF"/>
        <rFont val="Arial"/>
      </rPr>
      <t xml:space="preserve">para trabajar en </t>
    </r>
    <r>
      <rPr>
        <b/>
        <sz val="10"/>
        <color rgb="FFFFFFFF"/>
        <rFont val="Arial"/>
      </rPr>
      <t>equipos distribuidos</t>
    </r>
    <r>
      <rPr>
        <sz val="10"/>
        <color rgb="FFFFFFFF"/>
        <rFont val="Arial"/>
      </rPr>
      <t xml:space="preserve"> es:</t>
    </r>
  </si>
  <si>
    <r>
      <rPr>
        <sz val="10"/>
        <color rgb="FFFFFFFF"/>
        <rFont val="Aptos Narrow"/>
      </rPr>
      <t xml:space="preserve">Siento que los </t>
    </r>
    <r>
      <rPr>
        <b/>
        <sz val="10"/>
        <color rgb="FFFFFFFF"/>
        <rFont val="Arial"/>
      </rPr>
      <t xml:space="preserve">problemas </t>
    </r>
    <r>
      <rPr>
        <sz val="10"/>
        <color rgb="FFFFFFFF"/>
        <rFont val="Arial"/>
      </rPr>
      <t xml:space="preserve">que aparecen por las </t>
    </r>
    <r>
      <rPr>
        <b/>
        <sz val="10"/>
        <color rgb="FFFFFFFF"/>
        <rFont val="Arial"/>
      </rPr>
      <t>diferencias culturales</t>
    </r>
    <r>
      <rPr>
        <sz val="10"/>
        <color rgb="FFFFFFFF"/>
        <rFont val="Arial"/>
      </rPr>
      <t xml:space="preserve"> ahora son:</t>
    </r>
  </si>
  <si>
    <r>
      <rPr>
        <sz val="10"/>
        <color rgb="FFFFFFFF"/>
        <rFont val="Aptos Narrow"/>
      </rPr>
      <t xml:space="preserve">Siento que la aplicación de </t>
    </r>
    <r>
      <rPr>
        <b/>
        <sz val="10"/>
        <color rgb="FFFFFFFF"/>
        <rFont val="Arial"/>
      </rPr>
      <t>metodología ágiles ahora</t>
    </r>
    <r>
      <rPr>
        <sz val="10"/>
        <color rgb="FFFFFFFF"/>
        <rFont val="Arial"/>
      </rPr>
      <t xml:space="preserve"> es:</t>
    </r>
  </si>
  <si>
    <r>
      <rPr>
        <sz val="10"/>
        <color rgb="FFFFFFFF"/>
        <rFont val="Aptos Narrow"/>
      </rPr>
      <t xml:space="preserve">Siento que los </t>
    </r>
    <r>
      <rPr>
        <b/>
        <sz val="10"/>
        <color rgb="FFFFFFFF"/>
        <rFont val="Arial"/>
      </rPr>
      <t xml:space="preserve">problemas </t>
    </r>
    <r>
      <rPr>
        <sz val="10"/>
        <color rgb="FFFFFFFF"/>
        <rFont val="Arial"/>
      </rPr>
      <t xml:space="preserve">de </t>
    </r>
    <r>
      <rPr>
        <b/>
        <sz val="10"/>
        <color rgb="FFFFFFFF"/>
        <rFont val="Arial"/>
      </rPr>
      <t>comunicación</t>
    </r>
    <r>
      <rPr>
        <sz val="10"/>
        <color rgb="FFFFFFFF"/>
        <rFont val="Arial"/>
      </rPr>
      <t xml:space="preserve"> ahora son:</t>
    </r>
  </si>
  <si>
    <r>
      <rPr>
        <sz val="10"/>
        <color rgb="FFFFFFFF"/>
        <rFont val="Aptos Narrow"/>
      </rPr>
      <t xml:space="preserve">Siento que los </t>
    </r>
    <r>
      <rPr>
        <b/>
        <sz val="10"/>
        <color rgb="FFFFFFFF"/>
        <rFont val="Arial"/>
      </rPr>
      <t>problemas</t>
    </r>
    <r>
      <rPr>
        <sz val="10"/>
        <color rgb="FFFFFFFF"/>
        <rFont val="Arial"/>
      </rPr>
      <t xml:space="preserve"> por usar </t>
    </r>
    <r>
      <rPr>
        <b/>
        <sz val="10"/>
        <color rgb="FFFFFFFF"/>
        <rFont val="Arial"/>
      </rPr>
      <t xml:space="preserve">distintos idiomas </t>
    </r>
    <r>
      <rPr>
        <sz val="10"/>
        <color rgb="FFFFFFFF"/>
        <rFont val="Arial"/>
      </rPr>
      <t>ahora son:</t>
    </r>
  </si>
  <si>
    <r>
      <rPr>
        <sz val="10"/>
        <color rgb="FFFFFFFF"/>
        <rFont val="Aptos Narrow"/>
      </rPr>
      <t xml:space="preserve">Siento que el hecho de trabajar con personas que tienen </t>
    </r>
    <r>
      <rPr>
        <b/>
        <sz val="10"/>
        <color rgb="FFFFFFFF"/>
        <rFont val="Arial"/>
      </rPr>
      <t>otros horarios</t>
    </r>
    <r>
      <rPr>
        <sz val="10"/>
        <color rgb="FFFFFFFF"/>
        <rFont val="Arial"/>
      </rPr>
      <t xml:space="preserve"> afecta a mi </t>
    </r>
    <r>
      <rPr>
        <b/>
        <sz val="10"/>
        <color rgb="FFFFFFFF"/>
        <rFont val="Arial"/>
      </rPr>
      <t>estrés</t>
    </r>
    <r>
      <rPr>
        <sz val="10"/>
        <color rgb="FFFFFFFF"/>
        <rFont val="Arial"/>
      </rPr>
      <t>:</t>
    </r>
  </si>
  <si>
    <r>
      <rPr>
        <sz val="10"/>
        <color rgb="FFFFFFFF"/>
        <rFont val="Aptos Narrow"/>
      </rPr>
      <t xml:space="preserve">Siento que la </t>
    </r>
    <r>
      <rPr>
        <b/>
        <sz val="10"/>
        <color rgb="FFFFFFFF"/>
        <rFont val="Arial"/>
      </rPr>
      <t>generación de confianza</t>
    </r>
    <r>
      <rPr>
        <sz val="10"/>
        <color rgb="FFFFFFFF"/>
        <rFont val="Arial"/>
      </rPr>
      <t xml:space="preserve"> entre los </t>
    </r>
    <r>
      <rPr>
        <b/>
        <sz val="10"/>
        <color rgb="FFFFFFFF"/>
        <rFont val="Arial"/>
      </rPr>
      <t>miembros del equipo</t>
    </r>
    <r>
      <rPr>
        <sz val="10"/>
        <color rgb="FFFFFFFF"/>
        <rFont val="Arial"/>
      </rPr>
      <t xml:space="preserve"> ahora es:</t>
    </r>
  </si>
  <si>
    <r>
      <rPr>
        <sz val="10"/>
        <color rgb="FFFFFFFF"/>
        <rFont val="Aptos Narrow"/>
      </rPr>
      <t xml:space="preserve">Siento que las interrupciones </t>
    </r>
    <r>
      <rPr>
        <b/>
        <sz val="10"/>
        <color rgb="FFFFFFFF"/>
        <rFont val="Arial"/>
      </rPr>
      <t xml:space="preserve">externas </t>
    </r>
    <r>
      <rPr>
        <sz val="10"/>
        <color rgb="FFFFFFFF"/>
        <rFont val="Arial"/>
      </rPr>
      <t>ahora son:</t>
    </r>
  </si>
  <si>
    <r>
      <rPr>
        <sz val="10"/>
        <color rgb="FFFFFFFF"/>
        <rFont val="Aptos Narrow"/>
      </rPr>
      <t xml:space="preserve">Siento que </t>
    </r>
    <r>
      <rPr>
        <b/>
        <sz val="10"/>
        <color rgb="FFFFFFFF"/>
        <rFont val="Arial"/>
      </rPr>
      <t>ahora mi manejo del tiempo</t>
    </r>
    <r>
      <rPr>
        <sz val="10"/>
        <color rgb="FFFFFFFF"/>
        <rFont val="Arial"/>
      </rPr>
      <t xml:space="preserve"> en general es:</t>
    </r>
  </si>
  <si>
    <r>
      <rPr>
        <sz val="10"/>
        <color rgb="FFFFFFFF"/>
        <rFont val="Aptos Narrow"/>
      </rPr>
      <t xml:space="preserve">Siento que la </t>
    </r>
    <r>
      <rPr>
        <b/>
        <sz val="10"/>
        <color rgb="FFFFFFFF"/>
        <rFont val="Arial"/>
      </rPr>
      <t>falta de compañerismo</t>
    </r>
    <r>
      <rPr>
        <sz val="10"/>
        <color rgb="FFFFFFFF"/>
        <rFont val="Arial"/>
      </rPr>
      <t xml:space="preserve"> ahora es:</t>
    </r>
  </si>
  <si>
    <r>
      <rPr>
        <sz val="10"/>
        <color rgb="FFFFFFFF"/>
        <rFont val="Aptos Narrow"/>
      </rPr>
      <t xml:space="preserve">Siento que los </t>
    </r>
    <r>
      <rPr>
        <b/>
        <sz val="10"/>
        <color rgb="FFFFFFFF"/>
        <rFont val="Arial"/>
      </rPr>
      <t>problemas de coordinación</t>
    </r>
    <r>
      <rPr>
        <sz val="10"/>
        <color rgb="FFFFFFFF"/>
        <rFont val="Arial"/>
      </rPr>
      <t xml:space="preserve"> afectan a mi </t>
    </r>
    <r>
      <rPr>
        <b/>
        <sz val="10"/>
        <color rgb="FFFFFFFF"/>
        <rFont val="Arial"/>
      </rPr>
      <t>estrés</t>
    </r>
    <r>
      <rPr>
        <sz val="10"/>
        <color rgb="FFFFFFFF"/>
        <rFont val="Arial"/>
      </rPr>
      <t>:</t>
    </r>
  </si>
  <si>
    <r>
      <rPr>
        <sz val="10"/>
        <color rgb="FFFFFFFF"/>
        <rFont val="Aptos Narrow"/>
      </rPr>
      <t xml:space="preserve">Siento que los </t>
    </r>
    <r>
      <rPr>
        <b/>
        <sz val="10"/>
        <color rgb="FFFFFFFF"/>
        <rFont val="Arial"/>
      </rPr>
      <t xml:space="preserve">problemas </t>
    </r>
    <r>
      <rPr>
        <sz val="10"/>
        <color rgb="FFFFFFFF"/>
        <rFont val="Arial"/>
      </rPr>
      <t xml:space="preserve">vinculados con la </t>
    </r>
    <r>
      <rPr>
        <b/>
        <sz val="10"/>
        <color rgb="FFFFFFFF"/>
        <rFont val="Arial"/>
      </rPr>
      <t xml:space="preserve">gestión del proyecto </t>
    </r>
    <r>
      <rPr>
        <sz val="10"/>
        <color rgb="FFFFFFFF"/>
        <rFont val="Arial"/>
      </rPr>
      <t>ahora son:</t>
    </r>
  </si>
  <si>
    <r>
      <rPr>
        <sz val="10"/>
        <color rgb="FFFFFFFF"/>
        <rFont val="Aptos Narrow"/>
      </rPr>
      <t xml:space="preserve">Siento que la </t>
    </r>
    <r>
      <rPr>
        <b/>
        <sz val="10"/>
        <color rgb="FFFFFFFF"/>
        <rFont val="Arial"/>
      </rPr>
      <t>asignación de tareas</t>
    </r>
    <r>
      <rPr>
        <sz val="10"/>
        <color rgb="FFFFFFFF"/>
        <rFont val="Arial"/>
      </rPr>
      <t xml:space="preserve"> entre los miembros del equipo </t>
    </r>
    <r>
      <rPr>
        <b/>
        <sz val="10"/>
        <color rgb="FFFFFFFF"/>
        <rFont val="Arial"/>
      </rPr>
      <t xml:space="preserve">ahora </t>
    </r>
    <r>
      <rPr>
        <sz val="10"/>
        <color rgb="FFFFFFFF"/>
        <rFont val="Arial"/>
      </rPr>
      <t>es:</t>
    </r>
  </si>
  <si>
    <r>
      <rPr>
        <sz val="10"/>
        <color rgb="FFFFFFFF"/>
        <rFont val="Aptos Narrow"/>
      </rPr>
      <t xml:space="preserve">Siento que mi </t>
    </r>
    <r>
      <rPr>
        <b/>
        <sz val="10"/>
        <color rgb="FFFFFFFF"/>
        <rFont val="Arial"/>
      </rPr>
      <t>nivel de motivación</t>
    </r>
    <r>
      <rPr>
        <sz val="10"/>
        <color rgb="FFFFFFFF"/>
        <rFont val="Arial"/>
      </rPr>
      <t xml:space="preserve"> en el trabajo es:</t>
    </r>
  </si>
  <si>
    <r>
      <rPr>
        <sz val="10"/>
        <color rgb="FFFFFFFF"/>
        <rFont val="Aptos Narrow"/>
      </rPr>
      <t xml:space="preserve">Mi </t>
    </r>
    <r>
      <rPr>
        <b/>
        <sz val="10"/>
        <color rgb="FFFFFFFF"/>
        <rFont val="Arial"/>
      </rPr>
      <t>concentración ahora</t>
    </r>
    <r>
      <rPr>
        <sz val="10"/>
        <color rgb="FFFFFFFF"/>
        <rFont val="Arial"/>
      </rPr>
      <t xml:space="preserve"> cuando estoy trabajando es:</t>
    </r>
  </si>
  <si>
    <r>
      <rPr>
        <sz val="10"/>
        <color rgb="FFFFFFFF"/>
        <rFont val="Aptos Narrow"/>
      </rPr>
      <t xml:space="preserve">Mi </t>
    </r>
    <r>
      <rPr>
        <b/>
        <sz val="10"/>
        <color rgb="FFFFFFFF"/>
        <rFont val="Arial"/>
      </rPr>
      <t>comodidad ahora</t>
    </r>
    <r>
      <rPr>
        <sz val="10"/>
        <color rgb="FFFFFFFF"/>
        <rFont val="Arial"/>
      </rPr>
      <t xml:space="preserve"> cuando estoy trabajando es:</t>
    </r>
  </si>
  <si>
    <r>
      <rPr>
        <sz val="10"/>
        <color rgb="FFFFFFFF"/>
        <rFont val="Aptos Narrow"/>
      </rPr>
      <t xml:space="preserve">Mi </t>
    </r>
    <r>
      <rPr>
        <b/>
        <sz val="10"/>
        <color rgb="FFFFFFFF"/>
        <rFont val="Arial"/>
      </rPr>
      <t>seguridad/ confianza</t>
    </r>
    <r>
      <rPr>
        <sz val="10"/>
        <color rgb="FFFFFFFF"/>
        <rFont val="Arial"/>
      </rPr>
      <t xml:space="preserve"> a la hora de</t>
    </r>
    <r>
      <rPr>
        <b/>
        <sz val="10"/>
        <color rgb="FFFFFFFF"/>
        <rFont val="Arial"/>
      </rPr>
      <t xml:space="preserve"> preguntar </t>
    </r>
    <r>
      <rPr>
        <sz val="10"/>
        <color rgb="FFFFFFFF"/>
        <rFont val="Arial"/>
      </rPr>
      <t xml:space="preserve">a un </t>
    </r>
    <r>
      <rPr>
        <b/>
        <sz val="10"/>
        <color rgb="FFFFFFFF"/>
        <rFont val="Arial"/>
      </rPr>
      <t>compañero</t>
    </r>
    <r>
      <rPr>
        <sz val="10"/>
        <color rgb="FFFFFFFF"/>
        <rFont val="Arial"/>
      </rPr>
      <t xml:space="preserve"> ahora es:</t>
    </r>
  </si>
  <si>
    <r>
      <rPr>
        <sz val="10"/>
        <color rgb="FFFFFFFF"/>
        <rFont val="Aptos Narrow"/>
      </rPr>
      <t xml:space="preserve">Mi </t>
    </r>
    <r>
      <rPr>
        <b/>
        <sz val="10"/>
        <color rgb="FFFFFFFF"/>
        <rFont val="Arial"/>
      </rPr>
      <t xml:space="preserve">confianza </t>
    </r>
    <r>
      <rPr>
        <sz val="10"/>
        <color rgb="FFFFFFFF"/>
        <rFont val="Arial"/>
      </rPr>
      <t xml:space="preserve">para hacer </t>
    </r>
    <r>
      <rPr>
        <b/>
        <sz val="10"/>
        <color rgb="FFFFFFFF"/>
        <rFont val="Arial"/>
      </rPr>
      <t>preguntas</t>
    </r>
    <r>
      <rPr>
        <sz val="10"/>
        <color rgb="FFFFFFFF"/>
        <rFont val="Arial"/>
      </rPr>
      <t xml:space="preserve"> a un </t>
    </r>
    <r>
      <rPr>
        <b/>
        <sz val="10"/>
        <color rgb="FFFFFFFF"/>
        <rFont val="Arial"/>
      </rPr>
      <t xml:space="preserve">superior </t>
    </r>
    <r>
      <rPr>
        <sz val="10"/>
        <color rgb="FFFFFFFF"/>
        <rFont val="Arial"/>
      </rPr>
      <t>ahora es:</t>
    </r>
  </si>
  <si>
    <r>
      <rPr>
        <sz val="10"/>
        <color rgb="FFFFFFFF"/>
        <rFont val="Aptos Narrow"/>
      </rPr>
      <t xml:space="preserve">Mi </t>
    </r>
    <r>
      <rPr>
        <b/>
        <sz val="10"/>
        <color rgb="FFFFFFFF"/>
        <rFont val="Arial"/>
      </rPr>
      <t xml:space="preserve">habilidad </t>
    </r>
    <r>
      <rPr>
        <sz val="10"/>
        <color rgb="FFFFFFFF"/>
        <rFont val="Arial"/>
      </rPr>
      <t xml:space="preserve">para </t>
    </r>
    <r>
      <rPr>
        <b/>
        <sz val="10"/>
        <color rgb="FFFFFFFF"/>
        <rFont val="Arial"/>
      </rPr>
      <t>resolver problemas</t>
    </r>
    <r>
      <rPr>
        <sz val="10"/>
        <color rgb="FFFFFFFF"/>
        <rFont val="Arial"/>
      </rPr>
      <t xml:space="preserve"> ahora es:</t>
    </r>
  </si>
  <si>
    <r>
      <rPr>
        <sz val="10"/>
        <color rgb="FFFFFFFF"/>
        <rFont val="Aptos Narrow"/>
      </rPr>
      <t xml:space="preserve">En términos de </t>
    </r>
    <r>
      <rPr>
        <b/>
        <sz val="10"/>
        <color rgb="FFFFFFFF"/>
        <rFont val="Arial"/>
      </rPr>
      <t>disfrute en el trabajo</t>
    </r>
    <r>
      <rPr>
        <sz val="10"/>
        <color rgb="FFFFFFFF"/>
        <rFont val="Arial"/>
      </rPr>
      <t xml:space="preserve"> siento que ahora es:</t>
    </r>
  </si>
  <si>
    <r>
      <rPr>
        <sz val="10"/>
        <color rgb="FFFFFFFF"/>
        <rFont val="Aptos Narrow"/>
      </rPr>
      <t xml:space="preserve">Siento que el </t>
    </r>
    <r>
      <rPr>
        <b/>
        <sz val="10"/>
        <color rgb="FFFFFFFF"/>
        <rFont val="Arial"/>
      </rPr>
      <t>nivel de interés</t>
    </r>
    <r>
      <rPr>
        <sz val="10"/>
        <color rgb="FFFFFFFF"/>
        <rFont val="Arial"/>
      </rPr>
      <t xml:space="preserve"> hacia mi trabajo </t>
    </r>
    <r>
      <rPr>
        <b/>
        <sz val="10"/>
        <color rgb="FFFFFFFF"/>
        <rFont val="Arial"/>
      </rPr>
      <t>ahora</t>
    </r>
    <r>
      <rPr>
        <sz val="10"/>
        <color rgb="FFFFFFFF"/>
        <rFont val="Arial"/>
      </rPr>
      <t xml:space="preserve"> es: </t>
    </r>
  </si>
  <si>
    <r>
      <rPr>
        <sz val="10"/>
        <color rgb="FFFFFFFF"/>
        <rFont val="Aptos Narrow"/>
      </rPr>
      <t xml:space="preserve">Siento que la </t>
    </r>
    <r>
      <rPr>
        <b/>
        <sz val="10"/>
        <color rgb="FFFFFFFF"/>
        <rFont val="Arial"/>
      </rPr>
      <t>falta de conocimiento</t>
    </r>
    <r>
      <rPr>
        <sz val="10"/>
        <color rgb="FFFFFFFF"/>
        <rFont val="Arial"/>
      </rPr>
      <t xml:space="preserve"> sobre el </t>
    </r>
    <r>
      <rPr>
        <b/>
        <sz val="10"/>
        <color rgb="FFFFFFFF"/>
        <rFont val="Arial"/>
      </rPr>
      <t xml:space="preserve">rol </t>
    </r>
    <r>
      <rPr>
        <sz val="10"/>
        <color rgb="FFFFFFFF"/>
        <rFont val="Arial"/>
      </rPr>
      <t xml:space="preserve">de </t>
    </r>
    <r>
      <rPr>
        <b/>
        <sz val="10"/>
        <color rgb="FFFFFFFF"/>
        <rFont val="Arial"/>
      </rPr>
      <t>cada miembro</t>
    </r>
    <r>
      <rPr>
        <sz val="10"/>
        <color rgb="FFFFFFFF"/>
        <rFont val="Arial"/>
      </rPr>
      <t xml:space="preserve"> del equipo ahora es:</t>
    </r>
  </si>
  <si>
    <r>
      <rPr>
        <sz val="10"/>
        <color rgb="FFFFFFFF"/>
        <rFont val="Aptos Narrow"/>
      </rPr>
      <t xml:space="preserve">Siento que </t>
    </r>
    <r>
      <rPr>
        <b/>
        <sz val="10"/>
        <color rgb="FFFFFFFF"/>
        <rFont val="Arial"/>
      </rPr>
      <t>mi empresa</t>
    </r>
    <r>
      <rPr>
        <sz val="10"/>
        <color rgb="FFFFFFFF"/>
        <rFont val="Arial"/>
      </rPr>
      <t xml:space="preserve"> me </t>
    </r>
    <r>
      <rPr>
        <b/>
        <sz val="10"/>
        <color rgb="FFFFFFFF"/>
        <rFont val="Arial"/>
      </rPr>
      <t>aprecia</t>
    </r>
    <r>
      <rPr>
        <sz val="10"/>
        <color rgb="FFFFFFFF"/>
        <rFont val="Arial"/>
      </rPr>
      <t>:</t>
    </r>
  </si>
  <si>
    <r>
      <rPr>
        <sz val="10"/>
        <color rgb="FFFFFFFF"/>
        <rFont val="Aptos Narrow"/>
      </rPr>
      <t xml:space="preserve">Siento que las acciones de </t>
    </r>
    <r>
      <rPr>
        <b/>
        <sz val="10"/>
        <color rgb="FFFFFFFF"/>
        <rFont val="Arial"/>
      </rPr>
      <t xml:space="preserve">motivación </t>
    </r>
    <r>
      <rPr>
        <sz val="10"/>
        <color rgb="FFFFFFFF"/>
        <rFont val="Arial"/>
      </rPr>
      <t xml:space="preserve">de </t>
    </r>
    <r>
      <rPr>
        <b/>
        <sz val="10"/>
        <color rgb="FFFFFFFF"/>
        <rFont val="Arial"/>
      </rPr>
      <t>personal de mi empresa</t>
    </r>
    <r>
      <rPr>
        <sz val="10"/>
        <color rgb="FFFFFFFF"/>
        <rFont val="Arial"/>
      </rPr>
      <t xml:space="preserve"> son:</t>
    </r>
  </si>
  <si>
    <r>
      <rPr>
        <sz val="10"/>
        <color rgb="FFFFFFFF"/>
        <rFont val="Aptos Narrow"/>
      </rPr>
      <t xml:space="preserve">Siento que la </t>
    </r>
    <r>
      <rPr>
        <b/>
        <sz val="10"/>
        <color rgb="FFFFFFFF"/>
        <rFont val="Arial"/>
      </rPr>
      <t>calidad</t>
    </r>
    <r>
      <rPr>
        <sz val="10"/>
        <color rgb="FFFFFFFF"/>
        <rFont val="Arial"/>
      </rPr>
      <t xml:space="preserve"> del </t>
    </r>
    <r>
      <rPr>
        <b/>
        <sz val="10"/>
        <color rgb="FFFFFFFF"/>
        <rFont val="Arial"/>
      </rPr>
      <t>desarrollo de software</t>
    </r>
    <r>
      <rPr>
        <sz val="10"/>
        <color rgb="FFFFFFFF"/>
        <rFont val="Arial"/>
      </rPr>
      <t xml:space="preserve"> es ahora:</t>
    </r>
  </si>
  <si>
    <r>
      <rPr>
        <sz val="10"/>
        <color rgb="FFFFFFFF"/>
        <rFont val="Aptos Narrow"/>
      </rPr>
      <t xml:space="preserve">Siento que el </t>
    </r>
    <r>
      <rPr>
        <b/>
        <sz val="10"/>
        <color rgb="FFFFFFFF"/>
        <rFont val="Arial"/>
      </rPr>
      <t>equilibrio vida personal - trabajo</t>
    </r>
    <r>
      <rPr>
        <sz val="10"/>
        <color rgb="FFFFFFFF"/>
        <rFont val="Arial"/>
      </rPr>
      <t xml:space="preserve"> es ahora:</t>
    </r>
  </si>
  <si>
    <r>
      <rPr>
        <sz val="10"/>
        <color rgb="FFFFFFFF"/>
        <rFont val="Aptos Narrow"/>
      </rPr>
      <t xml:space="preserve">Siento que ahora la </t>
    </r>
    <r>
      <rPr>
        <b/>
        <sz val="10"/>
        <color rgb="FFFFFFFF"/>
        <rFont val="Arial"/>
      </rPr>
      <t>retroalimentación</t>
    </r>
    <r>
      <rPr>
        <sz val="10"/>
        <color rgb="FFFFFFFF"/>
        <rFont val="Arial"/>
      </rPr>
      <t xml:space="preserve"> que recibo por parte de mis </t>
    </r>
    <r>
      <rPr>
        <b/>
        <sz val="10"/>
        <color rgb="FFFFFFFF"/>
        <rFont val="Arial"/>
      </rPr>
      <t xml:space="preserve">compañeros </t>
    </r>
    <r>
      <rPr>
        <sz val="10"/>
        <color rgb="FFFFFFFF"/>
        <rFont val="Arial"/>
      </rPr>
      <t xml:space="preserve">y </t>
    </r>
    <r>
      <rPr>
        <b/>
        <sz val="10"/>
        <color rgb="FFFFFFFF"/>
        <rFont val="Arial"/>
      </rPr>
      <t>superiores</t>
    </r>
    <r>
      <rPr>
        <sz val="10"/>
        <color rgb="FFFFFFFF"/>
        <rFont val="Arial"/>
      </rPr>
      <t xml:space="preserve"> es:</t>
    </r>
  </si>
  <si>
    <r>
      <rPr>
        <sz val="10"/>
        <color rgb="FFFFFFFF"/>
        <rFont val="Aptos Narrow"/>
      </rPr>
      <t xml:space="preserve">Siento que mi nivel de </t>
    </r>
    <r>
      <rPr>
        <b/>
        <sz val="10"/>
        <color rgb="FFFFFFFF"/>
        <rFont val="Arial"/>
      </rPr>
      <t>aburrimiento en el trabajo</t>
    </r>
    <r>
      <rPr>
        <sz val="10"/>
        <color rgb="FFFFFFFF"/>
        <rFont val="Arial"/>
      </rPr>
      <t xml:space="preserve"> es ahora:</t>
    </r>
  </si>
  <si>
    <r>
      <rPr>
        <sz val="10"/>
        <color rgb="FFFFFFFF"/>
        <rFont val="Aptos Narrow"/>
      </rPr>
      <t xml:space="preserve">Siento que mi nivel de </t>
    </r>
    <r>
      <rPr>
        <b/>
        <sz val="10"/>
        <color rgb="FFFFFFFF"/>
        <rFont val="Arial"/>
      </rPr>
      <t xml:space="preserve">atención </t>
    </r>
    <r>
      <rPr>
        <sz val="10"/>
        <color rgb="FFFFFFFF"/>
        <rFont val="Arial"/>
      </rPr>
      <t xml:space="preserve">a </t>
    </r>
    <r>
      <rPr>
        <b/>
        <sz val="10"/>
        <color rgb="FFFFFFFF"/>
        <rFont val="Arial"/>
      </rPr>
      <t>cada individuo</t>
    </r>
    <r>
      <rPr>
        <sz val="10"/>
        <color rgb="FFFFFFFF"/>
        <rFont val="Arial"/>
      </rPr>
      <t xml:space="preserve"> es ahora:</t>
    </r>
  </si>
  <si>
    <r>
      <rPr>
        <sz val="10"/>
        <color rgb="FFFFFFFF"/>
        <rFont val="Aptos Narrow"/>
      </rPr>
      <t xml:space="preserve">Siento que mi </t>
    </r>
    <r>
      <rPr>
        <b/>
        <sz val="10"/>
        <color rgb="FFFFFFFF"/>
        <rFont val="Arial"/>
      </rPr>
      <t xml:space="preserve">miedo </t>
    </r>
    <r>
      <rPr>
        <sz val="10"/>
        <color rgb="FFFFFFFF"/>
        <rFont val="Arial"/>
      </rPr>
      <t>a</t>
    </r>
    <r>
      <rPr>
        <b/>
        <sz val="10"/>
        <color rgb="FFFFFFFF"/>
        <rFont val="Arial"/>
      </rPr>
      <t xml:space="preserve"> perder el trabajo</t>
    </r>
    <r>
      <rPr>
        <sz val="10"/>
        <color rgb="FFFFFFFF"/>
        <rFont val="Arial"/>
      </rPr>
      <t xml:space="preserve"> es ahora:</t>
    </r>
  </si>
  <si>
    <r>
      <rPr>
        <sz val="10"/>
        <color rgb="FFFFFFFF"/>
        <rFont val="Aptos Narrow"/>
      </rPr>
      <t xml:space="preserve">Siento que el </t>
    </r>
    <r>
      <rPr>
        <b/>
        <sz val="10"/>
        <color rgb="FFFFFFFF"/>
        <rFont val="Arial"/>
      </rPr>
      <t xml:space="preserve">ambiente </t>
    </r>
    <r>
      <rPr>
        <sz val="10"/>
        <color rgb="FFFFFFFF"/>
        <rFont val="Arial"/>
      </rPr>
      <t xml:space="preserve">de </t>
    </r>
    <r>
      <rPr>
        <b/>
        <sz val="10"/>
        <color rgb="FFFFFFFF"/>
        <rFont val="Arial"/>
      </rPr>
      <t>trabajo</t>
    </r>
    <r>
      <rPr>
        <sz val="10"/>
        <color rgb="FFFFFFFF"/>
        <rFont val="Arial"/>
      </rPr>
      <t xml:space="preserve"> ahora es:</t>
    </r>
  </si>
  <si>
    <r>
      <rPr>
        <sz val="10"/>
        <color rgb="FFFFFFFF"/>
        <rFont val="Aptos Narrow"/>
      </rPr>
      <t xml:space="preserve">Siento que mi </t>
    </r>
    <r>
      <rPr>
        <b/>
        <sz val="10"/>
        <color rgb="FFFFFFFF"/>
        <rFont val="Arial"/>
      </rPr>
      <t>nivel</t>
    </r>
    <r>
      <rPr>
        <sz val="10"/>
        <color rgb="FFFFFFFF"/>
        <rFont val="Arial"/>
      </rPr>
      <t xml:space="preserve"> de </t>
    </r>
    <r>
      <rPr>
        <b/>
        <sz val="10"/>
        <color rgb="FFFFFFFF"/>
        <rFont val="Arial"/>
      </rPr>
      <t xml:space="preserve">influencia </t>
    </r>
    <r>
      <rPr>
        <sz val="10"/>
        <color rgb="FFFFFFFF"/>
        <rFont val="Arial"/>
      </rPr>
      <t xml:space="preserve">en mi </t>
    </r>
    <r>
      <rPr>
        <b/>
        <sz val="10"/>
        <color rgb="FFFFFFFF"/>
        <rFont val="Arial"/>
      </rPr>
      <t>equipo</t>
    </r>
    <r>
      <rPr>
        <sz val="10"/>
        <color rgb="FFFFFFFF"/>
        <rFont val="Arial"/>
      </rPr>
      <t xml:space="preserve"> de trabajo es ahora:</t>
    </r>
  </si>
  <si>
    <r>
      <rPr>
        <sz val="10"/>
        <color rgb="FFFFFFFF"/>
        <rFont val="Aptos Narrow"/>
      </rPr>
      <t>Siento que la</t>
    </r>
    <r>
      <rPr>
        <b/>
        <sz val="10"/>
        <color rgb="FFFFFFFF"/>
        <rFont val="Arial"/>
      </rPr>
      <t xml:space="preserve"> facilidad para desarrollar relaciones personales</t>
    </r>
    <r>
      <rPr>
        <sz val="10"/>
        <color rgb="FFFFFFFF"/>
        <rFont val="Arial"/>
      </rPr>
      <t xml:space="preserve"> entre los </t>
    </r>
    <r>
      <rPr>
        <b/>
        <sz val="10"/>
        <color rgb="FFFFFFFF"/>
        <rFont val="Arial"/>
      </rPr>
      <t>compañeros</t>
    </r>
    <r>
      <rPr>
        <sz val="10"/>
        <color rgb="FFFFFFFF"/>
        <rFont val="Arial"/>
      </rPr>
      <t xml:space="preserve"> de trabajo es ahora</t>
    </r>
  </si>
  <si>
    <r>
      <rPr>
        <sz val="10"/>
        <color rgb="FFFFFFFF"/>
        <rFont val="Aptos Narrow"/>
      </rPr>
      <t xml:space="preserve">Siento que la </t>
    </r>
    <r>
      <rPr>
        <b/>
        <sz val="10"/>
        <color rgb="FFFFFFFF"/>
        <rFont val="Arial"/>
      </rPr>
      <t>participación</t>
    </r>
    <r>
      <rPr>
        <sz val="10"/>
        <color rgb="FFFFFFFF"/>
        <rFont val="Arial"/>
      </rPr>
      <t xml:space="preserve"> de los </t>
    </r>
    <r>
      <rPr>
        <b/>
        <sz val="10"/>
        <color rgb="FFFFFFFF"/>
        <rFont val="Arial"/>
      </rPr>
      <t xml:space="preserve">miembros </t>
    </r>
    <r>
      <rPr>
        <sz val="10"/>
        <color rgb="FFFFFFFF"/>
        <rFont val="Arial"/>
      </rPr>
      <t>en los proyectos de mi equipo es ahora:</t>
    </r>
  </si>
  <si>
    <r>
      <rPr>
        <sz val="10"/>
        <color rgb="FFFFFFFF"/>
        <rFont val="Aptos Narrow"/>
      </rPr>
      <t xml:space="preserve">Siento que el nivel de </t>
    </r>
    <r>
      <rPr>
        <b/>
        <sz val="10"/>
        <color rgb="FFFFFFFF"/>
        <rFont val="Arial"/>
      </rPr>
      <t xml:space="preserve">autonomía </t>
    </r>
    <r>
      <rPr>
        <sz val="10"/>
        <color rgb="FFFFFFFF"/>
        <rFont val="Arial"/>
      </rPr>
      <t xml:space="preserve">en el trabajo es </t>
    </r>
    <r>
      <rPr>
        <b/>
        <sz val="10"/>
        <color rgb="FFFFFFFF"/>
        <rFont val="Arial"/>
      </rPr>
      <t>ahora</t>
    </r>
  </si>
  <si>
    <r>
      <rPr>
        <sz val="10"/>
        <color rgb="FFFFFFFF"/>
        <rFont val="Aptos Narrow"/>
      </rPr>
      <t xml:space="preserve">Siento que el nivel de </t>
    </r>
    <r>
      <rPr>
        <b/>
        <sz val="10"/>
        <color rgb="FFFFFFFF"/>
        <rFont val="Arial"/>
      </rPr>
      <t>relaciones conflictivas</t>
    </r>
    <r>
      <rPr>
        <sz val="10"/>
        <color rgb="FFFFFFFF"/>
        <rFont val="Arial"/>
      </rPr>
      <t xml:space="preserve"> entre </t>
    </r>
    <r>
      <rPr>
        <b/>
        <sz val="10"/>
        <color rgb="FFFFFFFF"/>
        <rFont val="Arial"/>
      </rPr>
      <t xml:space="preserve">compañeros </t>
    </r>
    <r>
      <rPr>
        <sz val="10"/>
        <color rgb="FFFFFFFF"/>
        <rFont val="Arial"/>
      </rPr>
      <t xml:space="preserve">es </t>
    </r>
    <r>
      <rPr>
        <b/>
        <sz val="10"/>
        <color rgb="FFFFFFFF"/>
        <rFont val="Arial"/>
      </rPr>
      <t>ahora:</t>
    </r>
  </si>
  <si>
    <r>
      <rPr>
        <sz val="10"/>
        <color rgb="FFFFFFFF"/>
        <rFont val="Aptos Narrow"/>
      </rPr>
      <t xml:space="preserve">Siento que los </t>
    </r>
    <r>
      <rPr>
        <b/>
        <sz val="10"/>
        <color rgb="FFFFFFFF"/>
        <rFont val="Arial"/>
      </rPr>
      <t>problemas</t>
    </r>
    <r>
      <rPr>
        <sz val="10"/>
        <color rgb="FFFFFFFF"/>
        <rFont val="Arial"/>
      </rPr>
      <t xml:space="preserve"> relacionados con el </t>
    </r>
    <r>
      <rPr>
        <b/>
        <sz val="10"/>
        <color rgb="FFFFFFFF"/>
        <rFont val="Arial"/>
      </rPr>
      <t>liderazgo compartido</t>
    </r>
    <r>
      <rPr>
        <sz val="10"/>
        <color rgb="FFFFFFFF"/>
        <rFont val="Arial"/>
      </rPr>
      <t xml:space="preserve"> son </t>
    </r>
    <r>
      <rPr>
        <b/>
        <sz val="10"/>
        <color rgb="FFFFFFFF"/>
        <rFont val="Arial"/>
      </rPr>
      <t>ahora</t>
    </r>
    <r>
      <rPr>
        <sz val="10"/>
        <color rgb="FFFFFFFF"/>
        <rFont val="Arial"/>
      </rPr>
      <t>:</t>
    </r>
  </si>
  <si>
    <r>
      <rPr>
        <sz val="10"/>
        <color rgb="FFFFFFFF"/>
        <rFont val="Aptos Narrow"/>
      </rPr>
      <t xml:space="preserve">El sentimiento de </t>
    </r>
    <r>
      <rPr>
        <b/>
        <sz val="10"/>
        <color rgb="FFFFFFFF"/>
        <rFont val="Arial"/>
      </rPr>
      <t xml:space="preserve">pertenencia </t>
    </r>
    <r>
      <rPr>
        <sz val="10"/>
        <color rgb="FFFFFFFF"/>
        <rFont val="Arial"/>
      </rPr>
      <t xml:space="preserve">a mi </t>
    </r>
    <r>
      <rPr>
        <b/>
        <sz val="10"/>
        <color rgb="FFFFFFFF"/>
        <rFont val="Arial"/>
      </rPr>
      <t>empresa</t>
    </r>
    <r>
      <rPr>
        <sz val="10"/>
        <color rgb="FFFFFFFF"/>
        <rFont val="Arial"/>
      </rPr>
      <t xml:space="preserve"> es ahora</t>
    </r>
  </si>
  <si>
    <r>
      <rPr>
        <sz val="10"/>
        <color rgb="FFFFFFFF"/>
        <rFont val="Aptos Narrow"/>
      </rPr>
      <t xml:space="preserve">Siento que mi </t>
    </r>
    <r>
      <rPr>
        <b/>
        <sz val="10"/>
        <color rgb="FFFFFFFF"/>
        <rFont val="Arial"/>
      </rPr>
      <t xml:space="preserve">creatividad </t>
    </r>
    <r>
      <rPr>
        <sz val="10"/>
        <color rgb="FFFFFFFF"/>
        <rFont val="Arial"/>
      </rPr>
      <t>es:</t>
    </r>
  </si>
  <si>
    <t>Correo electrónico para recibir resultados (opcional)</t>
  </si>
  <si>
    <t>Argentina</t>
  </si>
  <si>
    <t>25-35 años</t>
  </si>
  <si>
    <t>Masculino</t>
  </si>
  <si>
    <t>Universitarios completo</t>
  </si>
  <si>
    <t>Como empleado de una empresa</t>
  </si>
  <si>
    <t>5-10 años</t>
  </si>
  <si>
    <t>&lt;5 años</t>
  </si>
  <si>
    <t>Desarrollador de Software</t>
  </si>
  <si>
    <t xml:space="preserve">Líder Técnico </t>
  </si>
  <si>
    <t>&gt;500 empleados.</t>
  </si>
  <si>
    <t>Empresa que desarrolla software a medida partiendo desde cero</t>
  </si>
  <si>
    <t>Multinacional</t>
  </si>
  <si>
    <t>Muy Frecuentemente</t>
  </si>
  <si>
    <t>Alto</t>
  </si>
  <si>
    <t>&gt;5 días</t>
  </si>
  <si>
    <t>Ninguno</t>
  </si>
  <si>
    <t>Remota ( todos los días en casa)</t>
  </si>
  <si>
    <t>Consensuada por las dos partes</t>
  </si>
  <si>
    <t>En desacuerdo</t>
  </si>
  <si>
    <t>Igual que cuando iba todos los días a la oficina</t>
  </si>
  <si>
    <t>Mayor que cuando iba todos los días a la oficina</t>
  </si>
  <si>
    <t>Diferentes que cuando iba todos los días a la oficina, ahora necesito menos horas para hacer lo mismo</t>
  </si>
  <si>
    <t>Todas por videoconferencia</t>
  </si>
  <si>
    <t>Igual que cuando eran en la oficina</t>
  </si>
  <si>
    <t>Mucho Mayor que cuando iba todos los días a la oficina</t>
  </si>
  <si>
    <t>Mucho Mejor que cuando iba todos los días a la oficina</t>
  </si>
  <si>
    <t>Mejora mucho mi desempeño en el trabajo</t>
  </si>
  <si>
    <t>Mejoran mi productividad</t>
  </si>
  <si>
    <t>Menor que cuando iba todos los días a la oficina</t>
  </si>
  <si>
    <t>Mucho mayor que cuando iba todos los días a la oficina</t>
  </si>
  <si>
    <t>Mucho menos que cuando iba todos los días a la oficina</t>
  </si>
  <si>
    <t>Más que cuando iba todos los días a la oficina</t>
  </si>
  <si>
    <t>Mas que cuando iba todos los días a la oficina</t>
  </si>
  <si>
    <t>Mayores que cuando iba todos los días a la oficina</t>
  </si>
  <si>
    <t>Menores que cuando iba todos los días a la oficina</t>
  </si>
  <si>
    <t>Iguales que cuando iba todos los días a la oficina</t>
  </si>
  <si>
    <t>Mejor que cuando iba todos los días a la oficina</t>
  </si>
  <si>
    <t>Menos que cuando iba todos los días a la oficina</t>
  </si>
  <si>
    <t>Mucho menor que cuando iba todos los días a la oficina</t>
  </si>
  <si>
    <t>juan.delafuente@fi.uncoma.edu.ar</t>
  </si>
  <si>
    <t>Femenino</t>
  </si>
  <si>
    <t>Universitarios</t>
  </si>
  <si>
    <t>Ing. En yacimiento digital</t>
  </si>
  <si>
    <t>Developer</t>
  </si>
  <si>
    <t>A veces</t>
  </si>
  <si>
    <t>Muy diferentes que cuando iba todos los días a la oficina, ahora necesito muchas menos horas para hacer lo mismo</t>
  </si>
  <si>
    <t>Mejora mi desempeño en el trabajo</t>
  </si>
  <si>
    <t>No afectan a mi productividad</t>
  </si>
  <si>
    <t>No hay diferencias culturales en mi equipo</t>
  </si>
  <si>
    <t>No tengo que utilizar diferentes idiomas en mi trabajo</t>
  </si>
  <si>
    <t>No trabajo con personas con distintos horarios</t>
  </si>
  <si>
    <t>Mucho menores que cuando iba todos los días a la oficina</t>
  </si>
  <si>
    <t>36-45 años</t>
  </si>
  <si>
    <t>universitario</t>
  </si>
  <si>
    <t>De ambas formas</t>
  </si>
  <si>
    <t>21-30 años</t>
  </si>
  <si>
    <t>Referente IT</t>
  </si>
  <si>
    <t>COO</t>
  </si>
  <si>
    <t>&lt;50 empleados</t>
  </si>
  <si>
    <t>Casi Nunca</t>
  </si>
  <si>
    <t>Decidida por ti</t>
  </si>
  <si>
    <t>Casi todas por videoconferencia</t>
  </si>
  <si>
    <t>Menor que cuando eran en la oficina</t>
  </si>
  <si>
    <t>No trabajo con personas de distintas culturas</t>
  </si>
  <si>
    <t>baeza.natalia@gmail.com</t>
  </si>
  <si>
    <t>Universitario completo</t>
  </si>
  <si>
    <t>Estados Unidos</t>
  </si>
  <si>
    <t>10-20 años</t>
  </si>
  <si>
    <t>Software Engineer</t>
  </si>
  <si>
    <t>Senior Software Engineer</t>
  </si>
  <si>
    <t>51-150 empleados</t>
  </si>
  <si>
    <t>Frecuentemente</t>
  </si>
  <si>
    <t>Impuesta por la empresa</t>
  </si>
  <si>
    <t>De acuerdo</t>
  </si>
  <si>
    <t>Mucho menor que cuando eran en la oficina</t>
  </si>
  <si>
    <t>No me influye</t>
  </si>
  <si>
    <t>Mejoran mucho mi productividad</t>
  </si>
  <si>
    <t>No tengo la información para contestar a la pregunta</t>
  </si>
  <si>
    <t>Colombia</t>
  </si>
  <si>
    <t>Magister</t>
  </si>
  <si>
    <t>11-20 años</t>
  </si>
  <si>
    <t>Arquitecto de Datos</t>
  </si>
  <si>
    <t>Empresa que subcontrata (outsourcing) los servicios de otra del mismo país</t>
  </si>
  <si>
    <t>Nacional (múltiples sedes en el mismo país)</t>
  </si>
  <si>
    <t>Híbrida casa (más días en casa que en la oficina)</t>
  </si>
  <si>
    <t>Totalmente de acuerdo</t>
  </si>
  <si>
    <t>Mucho más que cuando iba todos los días a la oficina</t>
  </si>
  <si>
    <t>Mucho mas que cuando iba todos los días a la oficina</t>
  </si>
  <si>
    <t>e.jayo@uniandes.edu.co</t>
  </si>
  <si>
    <t>Pregrado</t>
  </si>
  <si>
    <t>México</t>
  </si>
  <si>
    <t>Backend Developer</t>
  </si>
  <si>
    <t>Empresa que subcontrata (outsourcing) los servicios de otra empresa situada en otro país</t>
  </si>
  <si>
    <t>Totalmente en desacuerdo</t>
  </si>
  <si>
    <t>Disminuyen mi productividad</t>
  </si>
  <si>
    <t>Mucho mejor que cuando iba todos los días a la oficina</t>
  </si>
  <si>
    <t>Profesional</t>
  </si>
  <si>
    <t>Desarollador junior</t>
  </si>
  <si>
    <t>Líder técnico de desarrollo</t>
  </si>
  <si>
    <t>151-300 empleados</t>
  </si>
  <si>
    <t>Local</t>
  </si>
  <si>
    <t>de.escobarc1@uniandes.edu.co</t>
  </si>
  <si>
    <t>Postgrado</t>
  </si>
  <si>
    <t>Tech Lead</t>
  </si>
  <si>
    <t>301-500 empleados</t>
  </si>
  <si>
    <t>Fábrica de Software</t>
  </si>
  <si>
    <t>No trabajo con personas con un horario distinto al mío</t>
  </si>
  <si>
    <t>xavigonpa@gmail.com</t>
  </si>
  <si>
    <t>Maestria</t>
  </si>
  <si>
    <t>Software Designer</t>
  </si>
  <si>
    <t>Ninguna</t>
  </si>
  <si>
    <t>Mucho Mayor que cuando eran en la oficina</t>
  </si>
  <si>
    <t>Mucho Mayores que cuando iba todos los días a la oficina</t>
  </si>
  <si>
    <t>Universitario</t>
  </si>
  <si>
    <t>Desarrollador de software</t>
  </si>
  <si>
    <t>Menor cuando iba todos los días a la oficina</t>
  </si>
  <si>
    <t>Carrera Universitaria</t>
  </si>
  <si>
    <t>Ingeniero de software</t>
  </si>
  <si>
    <t>Peor que cuando iba todos los días a la oficina</t>
  </si>
  <si>
    <t>alvarezsoto13@gmail.com</t>
  </si>
  <si>
    <t xml:space="preserve">Profesional </t>
  </si>
  <si>
    <t xml:space="preserve">Desarrollador de software </t>
  </si>
  <si>
    <t>Nunca</t>
  </si>
  <si>
    <t>Mucho mayores que cuando iba todos los días a la oficina</t>
  </si>
  <si>
    <t>Desarrollador full-stack</t>
  </si>
  <si>
    <t>Ingeniero de software senior</t>
  </si>
  <si>
    <t>fabio.a.lopez@outlook.com</t>
  </si>
  <si>
    <t>46-55 años</t>
  </si>
  <si>
    <t>maestria</t>
  </si>
  <si>
    <t>desarrollador senior 3</t>
  </si>
  <si>
    <t>Negativamente a la hora de desempeñar mi trabajo</t>
  </si>
  <si>
    <t>sanalejo1974@gmail.com</t>
  </si>
  <si>
    <t>Desarrollador Senior y Líder Técnico</t>
  </si>
  <si>
    <t>Director de Tecnología y Desarrollo de Software</t>
  </si>
  <si>
    <t>No trabajo  con personas que se encuentran geográficamente distribuidas</t>
  </si>
  <si>
    <t>miguel.vega.ruiz@gmail.com</t>
  </si>
  <si>
    <t>Desarrolladora y gerente de ingeniería</t>
  </si>
  <si>
    <t xml:space="preserve">Gerente de Ingeniería  </t>
  </si>
  <si>
    <t xml:space="preserve">Maestria - Terminando  </t>
  </si>
  <si>
    <t>Líder Técnico</t>
  </si>
  <si>
    <t>na.rodriguez2@uniandes.edu.co</t>
  </si>
  <si>
    <t>Fullstack developer</t>
  </si>
  <si>
    <t xml:space="preserve">Web UI Software Designer </t>
  </si>
  <si>
    <t>NA</t>
  </si>
  <si>
    <t>Mayor que cuando eran en la oficina</t>
  </si>
  <si>
    <t>Maestría</t>
  </si>
  <si>
    <t>Gerente general</t>
  </si>
  <si>
    <t>gcarrillo@sinerware.com</t>
  </si>
  <si>
    <t>Programador Junior</t>
  </si>
  <si>
    <t>Programador Senior</t>
  </si>
  <si>
    <t>QA Tester</t>
  </si>
  <si>
    <t>NInguno</t>
  </si>
  <si>
    <t>rdpcm82@gmail.com</t>
  </si>
  <si>
    <t>PhD</t>
  </si>
  <si>
    <t>Developer Support Engineer</t>
  </si>
  <si>
    <t>Posgrado</t>
  </si>
  <si>
    <t>Technical Manager</t>
  </si>
  <si>
    <t>dxcorzo@gmail.com</t>
  </si>
  <si>
    <t>Web Team Lead</t>
  </si>
  <si>
    <t>CTO</t>
  </si>
  <si>
    <t>encuestauniandes@estebandalelr.co</t>
  </si>
  <si>
    <t>España</t>
  </si>
  <si>
    <t>Máster universitario</t>
  </si>
  <si>
    <t>Analista de ciberseguridad</t>
  </si>
  <si>
    <t>Grado en Ingeniería Informática</t>
  </si>
  <si>
    <t>Consultor software</t>
  </si>
  <si>
    <t>acasado@madrija.com</t>
  </si>
  <si>
    <t xml:space="preserve">Estudios universitarios </t>
  </si>
  <si>
    <t xml:space="preserve">Consultora dé Calidad </t>
  </si>
  <si>
    <t>Consultora de Calidad</t>
  </si>
  <si>
    <t>Graduado</t>
  </si>
  <si>
    <t>Desarrollador analista</t>
  </si>
  <si>
    <t xml:space="preserve">Desarrollador analista </t>
  </si>
  <si>
    <t>Híbrida oficina (más días en la oficina que en casa)</t>
  </si>
  <si>
    <t>Master</t>
  </si>
  <si>
    <t>Desarrollador, Project Manager, Agile Coach</t>
  </si>
  <si>
    <t>Agile Coach / Delivery Manager</t>
  </si>
  <si>
    <t>joseanmp@gmail.com</t>
  </si>
  <si>
    <t>superiores</t>
  </si>
  <si>
    <t>Gerente</t>
  </si>
  <si>
    <t>No</t>
  </si>
  <si>
    <t xml:space="preserve">Ingeniero </t>
  </si>
  <si>
    <t xml:space="preserve">Ing. Senior </t>
  </si>
  <si>
    <t>ramonsanchezlozano@gmail.com</t>
  </si>
  <si>
    <t>Educación superior de posgrado</t>
  </si>
  <si>
    <t>Ingeniero Software</t>
  </si>
  <si>
    <t>Ingeniero Software Senior</t>
  </si>
  <si>
    <t>javier.parrapatino@gmail.com</t>
  </si>
  <si>
    <t>Ingenieria en informatica</t>
  </si>
  <si>
    <t>Lider tecnico</t>
  </si>
  <si>
    <t>Project Manager</t>
  </si>
  <si>
    <t>1-2 días</t>
  </si>
  <si>
    <t xml:space="preserve">Grado universitario </t>
  </si>
  <si>
    <t>Product owner</t>
  </si>
  <si>
    <t>Desarrolladora frontend</t>
  </si>
  <si>
    <t>FP superior</t>
  </si>
  <si>
    <t>Regular Software Engineer</t>
  </si>
  <si>
    <t>Senior Project Manager</t>
  </si>
  <si>
    <t>Head of Engineering</t>
  </si>
  <si>
    <t xml:space="preserve">Gerente de Desarrollo </t>
  </si>
  <si>
    <t>Farruza@gmail.com</t>
  </si>
  <si>
    <t>Administrador de Infrastructura</t>
  </si>
  <si>
    <t>Ingeniero DevOps</t>
  </si>
  <si>
    <t>Analista de Información</t>
  </si>
  <si>
    <t>Analista BI</t>
  </si>
  <si>
    <t xml:space="preserve">Universidad </t>
  </si>
  <si>
    <t xml:space="preserve">Analista de Transformación </t>
  </si>
  <si>
    <t xml:space="preserve">Gerente </t>
  </si>
  <si>
    <t>andresbernalc@live.com.mx</t>
  </si>
  <si>
    <t>Doctorado</t>
  </si>
  <si>
    <t>Cientifico de Datos</t>
  </si>
  <si>
    <t>Ingeniero de lenguaje</t>
  </si>
  <si>
    <t>male141@hotmail.com</t>
  </si>
  <si>
    <t>Licenciatura</t>
  </si>
  <si>
    <t>Mexico</t>
  </si>
  <si>
    <t>renancarrillo@gmail.com</t>
  </si>
  <si>
    <t>Cloud Full Stack Developer</t>
  </si>
  <si>
    <t>Comidas</t>
  </si>
  <si>
    <t>crizlucero@gmail.com</t>
  </si>
  <si>
    <t>Consultor de Software</t>
  </si>
  <si>
    <t>juliogalla12@gmail.com</t>
  </si>
  <si>
    <t>Desarrollador full stack</t>
  </si>
  <si>
    <t>Desarrollador fullstack</t>
  </si>
  <si>
    <t>No sé</t>
  </si>
  <si>
    <t>Desarrollador Jr/ Mid</t>
  </si>
  <si>
    <t>Desarrollador Sr.</t>
  </si>
  <si>
    <t>emmanuel.fdz.g@gmail.com</t>
  </si>
  <si>
    <t xml:space="preserve">Desarrollo de software </t>
  </si>
  <si>
    <t xml:space="preserve">Desarrollador </t>
  </si>
  <si>
    <t>Diferentes que cuando iba todos los días a la oficina, ahora necesito más horas para hacer lo mismo</t>
  </si>
  <si>
    <t>Front End Junior</t>
  </si>
  <si>
    <t>Creative Director</t>
  </si>
  <si>
    <t>clubdecinecc@gmail.com</t>
  </si>
  <si>
    <t xml:space="preserve">Carrera universitaria </t>
  </si>
  <si>
    <t>Ingeniero de calidad de software</t>
  </si>
  <si>
    <t>Staff Software QA engineer</t>
  </si>
  <si>
    <t>Ingeniero de Calidad Senior</t>
  </si>
  <si>
    <t>Desarrollador en Pruebas de Software III</t>
  </si>
  <si>
    <t>pascual.rodriguez.serrano@gmail.com</t>
  </si>
  <si>
    <t>Maestria en ciencia</t>
  </si>
  <si>
    <t>Ingeniero de datos Sr</t>
  </si>
  <si>
    <t>Carfk19@gmail.com</t>
  </si>
  <si>
    <t>roxdurazo@gmail.comn</t>
  </si>
  <si>
    <t>MLOps Engineer</t>
  </si>
  <si>
    <t>jjups96@gmail.com</t>
  </si>
  <si>
    <t xml:space="preserve">Licenciatura </t>
  </si>
  <si>
    <t xml:space="preserve">Marketing Director </t>
  </si>
  <si>
    <t xml:space="preserve">Marketing Expert - Account Manager </t>
  </si>
  <si>
    <t>vmadrigalguevara@gmail.com</t>
  </si>
  <si>
    <t>Programador Analista</t>
  </si>
  <si>
    <t>Data Engineer</t>
  </si>
  <si>
    <t>Licenciatura inconclusa</t>
  </si>
  <si>
    <t xml:space="preserve">Senior Software Engineer </t>
  </si>
  <si>
    <t>Jernestojsalazar@gmail.com</t>
  </si>
  <si>
    <t>Supervisor de operacion</t>
  </si>
  <si>
    <t>Senior Project Management Analyst</t>
  </si>
  <si>
    <t>Alvarop_guzman@hotmail.com</t>
  </si>
  <si>
    <t>Universitario de Grado</t>
  </si>
  <si>
    <t>Analista</t>
  </si>
  <si>
    <t>Analista Técnico Funcional Senior</t>
  </si>
  <si>
    <t>Bajo</t>
  </si>
  <si>
    <t>3-4 días</t>
  </si>
  <si>
    <t>marcos.cruz@fi.uncoma.edu.ar</t>
  </si>
  <si>
    <t>Terciario</t>
  </si>
  <si>
    <t xml:space="preserve">Analista funcional </t>
  </si>
  <si>
    <t>Analista funcional-PO</t>
  </si>
  <si>
    <t>Analista junior</t>
  </si>
  <si>
    <t>Analista semi senior</t>
  </si>
  <si>
    <t>nataliaedithroldan@gmail.com</t>
  </si>
  <si>
    <t>Consultor de soluciones móviles y análisis de datos</t>
  </si>
  <si>
    <t>Desarrollador</t>
  </si>
  <si>
    <t>Product Owner</t>
  </si>
  <si>
    <t>La Mitad por videoconferencia y la mitad presencial</t>
  </si>
  <si>
    <t>slucero26@gmail.com</t>
  </si>
  <si>
    <t xml:space="preserve">Universitario </t>
  </si>
  <si>
    <t xml:space="preserve">Analista programador </t>
  </si>
  <si>
    <t>Director de ingeniería</t>
  </si>
  <si>
    <t>crodriguez@asesoftware.com</t>
  </si>
  <si>
    <t>Gerente de Arquitectura</t>
  </si>
  <si>
    <t>danserrano@gmail.com</t>
  </si>
  <si>
    <t>instructor - Arquitecto de software</t>
  </si>
  <si>
    <t>Profesor asistente</t>
  </si>
  <si>
    <t>yamidr@gmail.com</t>
  </si>
  <si>
    <t>Soporte</t>
  </si>
  <si>
    <t>Salesforce Admin</t>
  </si>
  <si>
    <t>Superiores</t>
  </si>
  <si>
    <t>Analísta de sistemas</t>
  </si>
  <si>
    <t>Analista de sistemas</t>
  </si>
  <si>
    <t>La mayoría presenciales</t>
  </si>
  <si>
    <t>FP</t>
  </si>
  <si>
    <t>Grado y máster</t>
  </si>
  <si>
    <t>Analyst</t>
  </si>
  <si>
    <t>Technical lead</t>
  </si>
  <si>
    <t>Cris.ie91@gmail.com</t>
  </si>
  <si>
    <t>Doctor</t>
  </si>
  <si>
    <t>Consultor</t>
  </si>
  <si>
    <t xml:space="preserve">Grado superior </t>
  </si>
  <si>
    <t>4-5 días</t>
  </si>
  <si>
    <t>hectorg1304@gmail.com</t>
  </si>
  <si>
    <t>Técnico responsable</t>
  </si>
  <si>
    <t>&lt;25 años</t>
  </si>
  <si>
    <t>Universitarios sin finalizar</t>
  </si>
  <si>
    <t>Desarrollador Junior</t>
  </si>
  <si>
    <t>Ingeniero</t>
  </si>
  <si>
    <t xml:space="preserve">Desarrollador software </t>
  </si>
  <si>
    <t>Ingeniero superior</t>
  </si>
  <si>
    <t>Director de Proyecto</t>
  </si>
  <si>
    <t>Mucho peor que cuando iba todos los días a la oficina</t>
  </si>
  <si>
    <t>angel.suarezbarcena@gmail.com</t>
  </si>
  <si>
    <t xml:space="preserve">Ingeniero de software </t>
  </si>
  <si>
    <t>Ingeniero + MBA</t>
  </si>
  <si>
    <t>Manager</t>
  </si>
  <si>
    <t>Director</t>
  </si>
  <si>
    <t>Grado Universitario</t>
  </si>
  <si>
    <t>Monitor de gimnasio</t>
  </si>
  <si>
    <t>Data scientist</t>
  </si>
  <si>
    <t>Principal Engineer</t>
  </si>
  <si>
    <t>josel.espinosa@ubotica.com</t>
  </si>
  <si>
    <t>Ingeniería Informática</t>
  </si>
  <si>
    <t>Scrum Master y Analista de Datos</t>
  </si>
  <si>
    <t>Conreal@gmail.com</t>
  </si>
  <si>
    <t>Grado de Ingenería Informática</t>
  </si>
  <si>
    <t>Técnico de Sistemas</t>
  </si>
  <si>
    <t>Técnico de Sistema</t>
  </si>
  <si>
    <t>sergio.ruiz@gmail.com</t>
  </si>
  <si>
    <t>Licenciado</t>
  </si>
  <si>
    <t>&gt;30 años</t>
  </si>
  <si>
    <t>Técnico I</t>
  </si>
  <si>
    <t>INGENIERIA TECNICA</t>
  </si>
  <si>
    <t>TECNICO TIC</t>
  </si>
  <si>
    <t>AI Engineer</t>
  </si>
  <si>
    <t>jozmdzz@gmail.com</t>
  </si>
  <si>
    <t>Analista de Datos</t>
  </si>
  <si>
    <t>No binario</t>
  </si>
  <si>
    <t>Científico de Datos</t>
  </si>
  <si>
    <t xml:space="preserve">Maestría </t>
  </si>
  <si>
    <t xml:space="preserve">Coordinador business intelligence </t>
  </si>
  <si>
    <t xml:space="preserve">celiahc823@gmail.com </t>
  </si>
  <si>
    <t>Todas son presenciales</t>
  </si>
  <si>
    <t>live.alvarez98@gmail.com</t>
  </si>
  <si>
    <t>Desarrollador SR</t>
  </si>
  <si>
    <t>MTS Software Engineer</t>
  </si>
  <si>
    <t>victor.ibarra.encinas@gmail.com</t>
  </si>
  <si>
    <t>Licenciatura (LCC)</t>
  </si>
  <si>
    <t>Sr. Test Engineer</t>
  </si>
  <si>
    <t>Sr. Staff Software QA Engineer</t>
  </si>
  <si>
    <t>claudio.canseco@gmail.com</t>
  </si>
  <si>
    <t>Técnico de Proyectos</t>
  </si>
  <si>
    <t>Técnico de proyectos</t>
  </si>
  <si>
    <t>Desarrollador Full Stack Angular TS</t>
  </si>
  <si>
    <t>Líder técnico</t>
  </si>
  <si>
    <t>pentacool+andes@gmail.com</t>
  </si>
  <si>
    <t>Especialización</t>
  </si>
  <si>
    <t>Analista de Aplicaciones</t>
  </si>
  <si>
    <t>Arquitecto de Aplicaciones</t>
  </si>
  <si>
    <t>jesteban.ruiz9@gmail.com</t>
  </si>
  <si>
    <t>Estudiante Maestria</t>
  </si>
  <si>
    <t>Back office</t>
  </si>
  <si>
    <t>Desarrollador Jr</t>
  </si>
  <si>
    <t>Ca.ariasv1@uniandes.edu.co</t>
  </si>
  <si>
    <t>Consultor HCM</t>
  </si>
  <si>
    <t>Consultor Jr</t>
  </si>
  <si>
    <t>danimorenod92@gmail.com</t>
  </si>
  <si>
    <t>Coordinador Sistemas de Apoyo</t>
  </si>
  <si>
    <t>Coordinador CRM y Sitios Web</t>
  </si>
  <si>
    <t>ya.garcia25@uniandes.edu.co</t>
  </si>
  <si>
    <t>Director de Arquitectura e Innovación</t>
  </si>
  <si>
    <t>Chief Architecture and Innovation Officer</t>
  </si>
  <si>
    <t>irobayab@banrep.gov.co</t>
  </si>
  <si>
    <t>Ingeniero de desarrollo senior</t>
  </si>
  <si>
    <t>Ingeniero especializado DevOps</t>
  </si>
  <si>
    <t>felipeurrego@gmail.com</t>
  </si>
  <si>
    <t xml:space="preserve">Especialista </t>
  </si>
  <si>
    <t xml:space="preserve">Arquitecto de software </t>
  </si>
  <si>
    <t>johndanyosorio@gmail.com</t>
  </si>
  <si>
    <t xml:space="preserve">Ingeniero integrador </t>
  </si>
  <si>
    <t>SRE</t>
  </si>
  <si>
    <t xml:space="preserve">Senior software developer </t>
  </si>
  <si>
    <t xml:space="preserve">Director of technology </t>
  </si>
  <si>
    <t>Diplomado</t>
  </si>
  <si>
    <t>Adjunto dirección</t>
  </si>
  <si>
    <t>Desarrollador web</t>
  </si>
  <si>
    <t>Estudios superiores</t>
  </si>
  <si>
    <t>Desarrollo</t>
  </si>
  <si>
    <t>Ingenieria</t>
  </si>
  <si>
    <t xml:space="preserve">Gestor de proyectos </t>
  </si>
  <si>
    <t>Gestor de proyectos</t>
  </si>
  <si>
    <t>lllmarivi@gmail.com</t>
  </si>
  <si>
    <t xml:space="preserve">Grado </t>
  </si>
  <si>
    <t xml:space="preserve">IT Consultant AML </t>
  </si>
  <si>
    <t>IT BI Consultant</t>
  </si>
  <si>
    <t>miguel.ampuero.ls@gmail.com</t>
  </si>
  <si>
    <t>Ingeniero informático</t>
  </si>
  <si>
    <t>Junior/Senior Developer</t>
  </si>
  <si>
    <t>Senior Developer/ Project Manager</t>
  </si>
  <si>
    <t>Graduado en Ingeniería Informática</t>
  </si>
  <si>
    <t>No he estado nunca en esa situación</t>
  </si>
  <si>
    <t>Junior Engineer</t>
  </si>
  <si>
    <t>Preparatoria terminada</t>
  </si>
  <si>
    <t>Account Research Specialist</t>
  </si>
  <si>
    <t>Data Steward</t>
  </si>
  <si>
    <t>Carrera tecnica</t>
  </si>
  <si>
    <t>Auxiliar</t>
  </si>
  <si>
    <t xml:space="preserve">Desarrollador de aplicaciones móviles </t>
  </si>
  <si>
    <t>Data Analyst</t>
  </si>
  <si>
    <t xml:space="preserve">Data Analyst </t>
  </si>
  <si>
    <t>martinpreciado6@gmail.com</t>
  </si>
  <si>
    <t>licenciatura</t>
  </si>
  <si>
    <t>Data analyst</t>
  </si>
  <si>
    <t>data engineer</t>
  </si>
  <si>
    <t>Presencial (todos los días en la oficina)</t>
  </si>
  <si>
    <t>UNIVERSITARIO</t>
  </si>
  <si>
    <t xml:space="preserve">Desarollador de software </t>
  </si>
  <si>
    <t>celestegpee@gmail.com</t>
  </si>
  <si>
    <t xml:space="preserve">Maestria </t>
  </si>
  <si>
    <t>Gerencia</t>
  </si>
  <si>
    <t>Direccion</t>
  </si>
  <si>
    <t>jannetita@gmail.com</t>
  </si>
  <si>
    <t>Project Manager Jr</t>
  </si>
  <si>
    <t>Manager de IA</t>
  </si>
  <si>
    <t>gallo9nitsuga@gmail.com</t>
  </si>
  <si>
    <t>Senior QA Engineer</t>
  </si>
  <si>
    <t>Lead SDET</t>
  </si>
  <si>
    <t>Soporte administrativo</t>
  </si>
  <si>
    <t>administrativo</t>
  </si>
  <si>
    <t>Soporte primer nivel</t>
  </si>
  <si>
    <t>rmartinezpe@minsait.com</t>
  </si>
  <si>
    <t>Technical Lead</t>
  </si>
  <si>
    <t>Engineering Manager</t>
  </si>
  <si>
    <t>Desarrollador y Analista Funcional</t>
  </si>
  <si>
    <t>josericoterito@gmail.com</t>
  </si>
  <si>
    <t>Analista Tecnico</t>
  </si>
  <si>
    <t>guido.insa@gmail.com</t>
  </si>
  <si>
    <t>giuliani.diego@gmail.com</t>
  </si>
  <si>
    <t>gastonmuzas@gmail.com</t>
  </si>
  <si>
    <t>facundo.giardino@gmail.com</t>
  </si>
  <si>
    <t>Grado</t>
  </si>
  <si>
    <t>Ingeniero de Software</t>
  </si>
  <si>
    <t>de grado</t>
  </si>
  <si>
    <t>Ingeniero Devops / SRE</t>
  </si>
  <si>
    <t>devops</t>
  </si>
  <si>
    <t>PM</t>
  </si>
  <si>
    <t>BA</t>
  </si>
  <si>
    <t>TERCIARIO</t>
  </si>
  <si>
    <t>PROGRAMADOR</t>
  </si>
  <si>
    <t>munozda87@hotmail.com</t>
  </si>
  <si>
    <t>Tecnicatura universitaria completa, lic incomp.</t>
  </si>
  <si>
    <t>Software Dev, Team leader</t>
  </si>
  <si>
    <t>jauregui79@gmail.com</t>
  </si>
  <si>
    <t>Programador de software</t>
  </si>
  <si>
    <t>Muy Negativamente a la hora de desempeñar mi trabajo</t>
  </si>
  <si>
    <t>natalia.huenchuman@gmail.com</t>
  </si>
  <si>
    <t>Desarrollador front end</t>
  </si>
  <si>
    <t>nicodinolfo@gmail.com</t>
  </si>
  <si>
    <t>Application Support Specialist</t>
  </si>
  <si>
    <t>Customer Support Specialist</t>
  </si>
  <si>
    <t>jf.garcia@uniandes.edu.co</t>
  </si>
  <si>
    <t>Arquitecto de Software</t>
  </si>
  <si>
    <t>jguevara@assist.com.co</t>
  </si>
  <si>
    <t>Arquitecto de software</t>
  </si>
  <si>
    <t>Consultor Preventa</t>
  </si>
  <si>
    <t>Coordinado de proyectos BIM</t>
  </si>
  <si>
    <t>Cloud engineer</t>
  </si>
  <si>
    <t>POSTGRADOS</t>
  </si>
  <si>
    <t>COORDINADOR MEDICO</t>
  </si>
  <si>
    <t>COORDINADOR DE DATA CLINICAL ANALYTICS</t>
  </si>
  <si>
    <t>Ingeniero de desarrollo</t>
  </si>
  <si>
    <t>c.ramirezr2@uniandes.edu.co</t>
  </si>
  <si>
    <t>Arquitecto de soluciones</t>
  </si>
  <si>
    <t>julio.castellanos@gravity9.com</t>
  </si>
  <si>
    <t>helvertw@gmail.com</t>
  </si>
  <si>
    <t>Desarrollador Experto</t>
  </si>
  <si>
    <t>jm.garciad1@uniandes.edu.co</t>
  </si>
  <si>
    <t>En una empresa anterior era Arquitecta SAS</t>
  </si>
  <si>
    <t>Arquitecta Cloud</t>
  </si>
  <si>
    <t>iyepes0120@gmail.com</t>
  </si>
  <si>
    <t>Phd</t>
  </si>
  <si>
    <t>Gerente de TI</t>
  </si>
  <si>
    <t>Ceo</t>
  </si>
  <si>
    <t>Ingeniera de desarrollo de software Senior</t>
  </si>
  <si>
    <t>Coordinadora Equipo de Desarrollo de Software</t>
  </si>
  <si>
    <t>cv.hernandez10@uniandes.edu.co</t>
  </si>
  <si>
    <t>Ingeniero de desarrollo de software</t>
  </si>
  <si>
    <t>Director de desarrollo de soluciones</t>
  </si>
  <si>
    <t>john.osorioc@outlook.com</t>
  </si>
  <si>
    <t>Ingeniero de TI</t>
  </si>
  <si>
    <t>Arquitecto TI</t>
  </si>
  <si>
    <t>Ingeniero Junior</t>
  </si>
  <si>
    <t>Software Engineer 2</t>
  </si>
  <si>
    <t>d.chala@uniandes.edu.co</t>
  </si>
  <si>
    <t>Ingeniero UX</t>
  </si>
  <si>
    <t>d.martinez1@uniandes.edu.co</t>
  </si>
  <si>
    <t>Instructor</t>
  </si>
  <si>
    <t>Gerente de Innovación y Tecnología</t>
  </si>
  <si>
    <t>arielqs@gmail.com</t>
  </si>
  <si>
    <t>Lider de Proyectos</t>
  </si>
  <si>
    <t>Scrum Master</t>
  </si>
  <si>
    <t>evargas@sproutloud.com</t>
  </si>
  <si>
    <t>Cursando Maestria</t>
  </si>
  <si>
    <t>No he trabajado de forma precial al 100%, he trabajado hibrido en terpel (4 meses) como agile project manager y en Sumer (2 meses) como product Manager</t>
  </si>
  <si>
    <t>Product Manager</t>
  </si>
  <si>
    <t>Prácticante</t>
  </si>
  <si>
    <t>ballesteroswilliam@gmail.com</t>
  </si>
  <si>
    <t>Software developer</t>
  </si>
  <si>
    <t>hmaury1@gmail.com</t>
  </si>
  <si>
    <t xml:space="preserve">Consultor de desarrollo </t>
  </si>
  <si>
    <t>diegofer1110@gmail.com</t>
  </si>
  <si>
    <t xml:space="preserve">Licenciado </t>
  </si>
  <si>
    <t>Ingeniería Superior (Homologación máster)</t>
  </si>
  <si>
    <t>Analista Programadora</t>
  </si>
  <si>
    <t>Arquitecta Software</t>
  </si>
  <si>
    <t>nazaret.helices@gmail.com</t>
  </si>
  <si>
    <t>Analista-Programador</t>
  </si>
  <si>
    <t>Ingeniero Superior y Doctor</t>
  </si>
  <si>
    <t>Director Técnico</t>
  </si>
  <si>
    <t>Ingeniería Superior</t>
  </si>
  <si>
    <t>Consultor Técnico</t>
  </si>
  <si>
    <t>manolonte@gmail.com</t>
  </si>
  <si>
    <t xml:space="preserve">Consultor técnico </t>
  </si>
  <si>
    <t>Máster</t>
  </si>
  <si>
    <t>Ingeniero de datos</t>
  </si>
  <si>
    <t>Científico de datos</t>
  </si>
  <si>
    <t>Máster Ingeniería Industrial</t>
  </si>
  <si>
    <t>Ingeniero de I+D</t>
  </si>
  <si>
    <t>Ingeniero de Integraciones de Software</t>
  </si>
  <si>
    <t xml:space="preserve">Máster </t>
  </si>
  <si>
    <t xml:space="preserve">Ingeniero de Software </t>
  </si>
  <si>
    <t xml:space="preserve">Master Universitario en Ingeniería Informática </t>
  </si>
  <si>
    <t>sergiopsinformatico@gmail.com</t>
  </si>
  <si>
    <t>Ingeniero técnico en Informática de Sistemas</t>
  </si>
  <si>
    <t>Referente tecnológico</t>
  </si>
  <si>
    <t>ferozar@gmail.com</t>
  </si>
  <si>
    <t>Responsable ERP</t>
  </si>
  <si>
    <t>Ingeniero Informatico</t>
  </si>
  <si>
    <t>Técnico</t>
  </si>
  <si>
    <t>Proyect Manager</t>
  </si>
  <si>
    <t>Ciclo formativo superior</t>
  </si>
  <si>
    <t>Tecnico it y responsable equipos</t>
  </si>
  <si>
    <t>Service manager</t>
  </si>
  <si>
    <t>Tecnólogo</t>
  </si>
  <si>
    <t>Consultor de calidad software</t>
  </si>
  <si>
    <t>ruben.marquez.villalta@gmail.com</t>
  </si>
  <si>
    <t>Grado Universidad</t>
  </si>
  <si>
    <t>Desarrollador de software fullstack</t>
  </si>
  <si>
    <t>Desarrollador de software backend</t>
  </si>
  <si>
    <t>jmsierra91@gmail.com</t>
  </si>
  <si>
    <t xml:space="preserve">Master/Doctorado en progreso </t>
  </si>
  <si>
    <t>Desarrollador FullStack</t>
  </si>
  <si>
    <t>Arquitecto Software - Specialist</t>
  </si>
  <si>
    <t>Máster (Posgrado)</t>
  </si>
  <si>
    <t>Desarrollador junior de producto</t>
  </si>
  <si>
    <t>Consultor de ciberseguridad</t>
  </si>
  <si>
    <t>MAESTRIA</t>
  </si>
  <si>
    <t>ADMINISTRACION DE PROYECTOS</t>
  </si>
  <si>
    <t>GERENTE DE ADMINISTRACION Y OPERACIONES</t>
  </si>
  <si>
    <t>Analista de datos</t>
  </si>
  <si>
    <t>Administrador de sistemas</t>
  </si>
  <si>
    <t>Nivel Superior</t>
  </si>
  <si>
    <t>Analista en Inteligencia de negocios</t>
  </si>
  <si>
    <t>Supervisor de informes en tecnología empresarial (Report Monitoring, BI)</t>
  </si>
  <si>
    <t>laygrenot@gmail.com</t>
  </si>
  <si>
    <t>Business Intelligence Analyst</t>
  </si>
  <si>
    <t>pedro.a.hdez.a@gmail.com</t>
  </si>
  <si>
    <t>Cientifico de datos</t>
  </si>
  <si>
    <t>victornoriega7@gmail.com</t>
  </si>
  <si>
    <t xml:space="preserve">Coordinacion </t>
  </si>
  <si>
    <t>Asesoria</t>
  </si>
  <si>
    <t>Coordinador de análisis de datos</t>
  </si>
  <si>
    <t>Consultor senior</t>
  </si>
  <si>
    <t>ivan.glz.98@gmail.com</t>
  </si>
  <si>
    <t>customer service</t>
  </si>
  <si>
    <t>Mentor/customer service</t>
  </si>
  <si>
    <t>data analyst</t>
  </si>
  <si>
    <t>ml engineer</t>
  </si>
  <si>
    <t>DBA</t>
  </si>
  <si>
    <t>zero.rodrigo.c@gmail.com</t>
  </si>
  <si>
    <t xml:space="preserve">Ingeniero de datos </t>
  </si>
  <si>
    <t>a207210744@unison.mx</t>
  </si>
  <si>
    <t xml:space="preserve">licenciatura </t>
  </si>
  <si>
    <t xml:space="preserve">desarrollador de software </t>
  </si>
  <si>
    <t>sequin-mapper-0j@icloud.com</t>
  </si>
  <si>
    <t xml:space="preserve">Desarrollador de Software </t>
  </si>
  <si>
    <t>Desarrollador de software C/C++</t>
  </si>
  <si>
    <t>Actualmente trabajo por mi cuenta</t>
  </si>
  <si>
    <t>marcosasg25@gmail.com</t>
  </si>
  <si>
    <t>Desarrollador Front End Trainee</t>
  </si>
  <si>
    <t>WordPress Developer</t>
  </si>
  <si>
    <t>a2083330104@gmail.com</t>
  </si>
  <si>
    <t>Ingeniería</t>
  </si>
  <si>
    <t>Desarrollador Lead</t>
  </si>
  <si>
    <t>desarrollador mobil</t>
  </si>
  <si>
    <t>Lic Trunca</t>
  </si>
  <si>
    <t>Desarrollador mobile</t>
  </si>
  <si>
    <t>Desarrollador Web</t>
  </si>
  <si>
    <t>oscarmorita@gmail.com</t>
  </si>
  <si>
    <t xml:space="preserve">Posgrado </t>
  </si>
  <si>
    <t xml:space="preserve">Desarrolladora de software </t>
  </si>
  <si>
    <t>Ingeniera de software</t>
  </si>
  <si>
    <t>itzel.vigilch@gmail.com</t>
  </si>
  <si>
    <t>Maestris</t>
  </si>
  <si>
    <t>Ing software</t>
  </si>
  <si>
    <t>Full stack</t>
  </si>
  <si>
    <t xml:space="preserve">Fullstack y frontend developer </t>
  </si>
  <si>
    <t>Frontend developer</t>
  </si>
  <si>
    <t>carolinabmen@gmail.com</t>
  </si>
  <si>
    <t>Gerente de calidad (qa)</t>
  </si>
  <si>
    <t>Performance test lead/manager</t>
  </si>
  <si>
    <t>Gerente de cuenta</t>
  </si>
  <si>
    <t>Gerente de operaciones</t>
  </si>
  <si>
    <t xml:space="preserve">Gerente de Inteligencia de Análisis Datos </t>
  </si>
  <si>
    <t>Gerente de Inteligencia de Análisis Datos</t>
  </si>
  <si>
    <t xml:space="preserve">Licenciada </t>
  </si>
  <si>
    <t xml:space="preserve">Ingeniera de inteligencia artificial </t>
  </si>
  <si>
    <t xml:space="preserve">Software development analyst </t>
  </si>
  <si>
    <t>camile.pivac@gmail.com</t>
  </si>
  <si>
    <t>Ingeniero de cyber seguridad</t>
  </si>
  <si>
    <t>Universidad</t>
  </si>
  <si>
    <t>arturovm@outlook.com</t>
  </si>
  <si>
    <t>Licenciatura Universitaria</t>
  </si>
  <si>
    <t xml:space="preserve">Jr Ingeniero de Software </t>
  </si>
  <si>
    <t>Ingeniero de Software II</t>
  </si>
  <si>
    <t>Franciscogonzalez1307@gmail.com</t>
  </si>
  <si>
    <t>Jr, Mid</t>
  </si>
  <si>
    <t>Tech Lead  AI Lab</t>
  </si>
  <si>
    <t>Junior Data Analyst</t>
  </si>
  <si>
    <t>Business Intelligence Manager</t>
  </si>
  <si>
    <t>marthainesjc17@gmail.com</t>
  </si>
  <si>
    <t>Lead enginner</t>
  </si>
  <si>
    <t>Maestrua</t>
  </si>
  <si>
    <t>Planeador/ proyectos</t>
  </si>
  <si>
    <t xml:space="preserve">Proyectos/ Transformación </t>
  </si>
  <si>
    <t>SUPERVISOR DE CUENTAS POR COBRAR</t>
  </si>
  <si>
    <t>MANUELINX@GMAIL.COM</t>
  </si>
  <si>
    <t>Estudiante de Maestría</t>
  </si>
  <si>
    <t>Trainer</t>
  </si>
  <si>
    <t>Growth Lead</t>
  </si>
  <si>
    <t>NO TRABAJAN HOMEOFFICE ACTUALMENTE</t>
  </si>
  <si>
    <t>Software Developer</t>
  </si>
  <si>
    <t>Subsecretaria de Hidrocarburos</t>
  </si>
  <si>
    <t>pamela.faraci@gmail.com</t>
  </si>
  <si>
    <t>Para presentar los resultados de los análisis mensuales de la información que manejo</t>
  </si>
  <si>
    <t>No se me ofrece ningún tipo de recompensa</t>
  </si>
  <si>
    <t>Joven investigador</t>
  </si>
  <si>
    <t>Parking gratuito y mejora en las instalaciones</t>
  </si>
  <si>
    <t>Licenciada</t>
  </si>
  <si>
    <t>Analista funcional</t>
  </si>
  <si>
    <t>Ahora trabajo en otra empresa y el puesto es muy general 'Técnico de Sistemas de la información</t>
  </si>
  <si>
    <t>Servicio Andaluz de Salud</t>
  </si>
  <si>
    <t>Me obliga</t>
  </si>
  <si>
    <t>siempre</t>
  </si>
  <si>
    <t>Siempre</t>
  </si>
  <si>
    <t>Suecia</t>
  </si>
  <si>
    <t>Director de unidad de negocio</t>
  </si>
  <si>
    <t>CIO</t>
  </si>
  <si>
    <t>Subdirector de Gobernanza de Datos</t>
  </si>
  <si>
    <t>Gobierno del Estado de Sonora</t>
  </si>
  <si>
    <t>Todos los días (5 días por semana)</t>
  </si>
  <si>
    <t>jesuseedc@outlook.com</t>
  </si>
  <si>
    <t>Ciudad de mexico</t>
  </si>
  <si>
    <t>Accsoftware</t>
  </si>
  <si>
    <t>Supervisor operativo</t>
  </si>
  <si>
    <t>Director General</t>
  </si>
  <si>
    <t>Reunion presencial</t>
  </si>
  <si>
    <t>Analista de operaciones y sistemas de gestión</t>
  </si>
  <si>
    <t>Ingeniero de calidad y sistemas de gestión</t>
  </si>
  <si>
    <t xml:space="preserve">Orbia Polymer Solutions Alphagary </t>
  </si>
  <si>
    <t>Asisto diariamente</t>
  </si>
  <si>
    <t>NA, se cuenta con estacionamiento para todos</t>
  </si>
  <si>
    <t>Estudiante Maestría</t>
  </si>
  <si>
    <t>De Lunes a Viernes</t>
  </si>
  <si>
    <t>De Lunes A Viernes</t>
  </si>
  <si>
    <t>Parking gratuito, Mejora en las instalaciones, ticket comida cuando es tiempo extra</t>
  </si>
  <si>
    <t>mefcareerpath@gmail.com</t>
  </si>
  <si>
    <t>Licenciatura terminada.</t>
  </si>
  <si>
    <t>Administracion de Sistemas de Información</t>
  </si>
  <si>
    <t>Soporte de sistemas</t>
  </si>
  <si>
    <t>Amphenol Optimize</t>
  </si>
  <si>
    <t>Trabajo presencial</t>
  </si>
  <si>
    <t>Maestría en ciencias</t>
  </si>
  <si>
    <t>Implementador de ERP</t>
  </si>
  <si>
    <t>L y M de México</t>
  </si>
  <si>
    <t>Ingeniero en sistemas Computacionales</t>
  </si>
  <si>
    <t>Facultad de Comercio y Administracion Tampico</t>
  </si>
  <si>
    <t xml:space="preserve">es presencial asi que siempre vamos  </t>
  </si>
  <si>
    <t>siempre vamos</t>
  </si>
  <si>
    <t>un salario quincenal</t>
  </si>
  <si>
    <t xml:space="preserve">Mexico </t>
  </si>
  <si>
    <t xml:space="preserve">Desarrollador de Inteligencia </t>
  </si>
  <si>
    <t>Lider</t>
  </si>
  <si>
    <t>Liberaciones</t>
  </si>
  <si>
    <t>Janethkasztro@gmail.com</t>
  </si>
  <si>
    <t>&lt;35 años</t>
  </si>
  <si>
    <t>36+ años</t>
  </si>
  <si>
    <t>Lead</t>
  </si>
  <si>
    <t>&lt;301 empleados</t>
  </si>
  <si>
    <t>301+ empleados</t>
  </si>
  <si>
    <t>Tam_Empresa</t>
  </si>
  <si>
    <r>
      <t xml:space="preserve">Siento que mis </t>
    </r>
    <r>
      <rPr>
        <b/>
        <sz val="10"/>
        <color rgb="FFFFFFFF"/>
        <rFont val="Arial"/>
      </rPr>
      <t>reacciones</t>
    </r>
    <r>
      <rPr>
        <sz val="10"/>
        <color rgb="FFFFFFFF"/>
        <rFont val="Arial"/>
      </rPr>
      <t xml:space="preserve"> de </t>
    </r>
    <r>
      <rPr>
        <b/>
        <sz val="10"/>
        <color rgb="FFFFFFFF"/>
        <rFont val="Arial"/>
      </rPr>
      <t>enojo o molestia</t>
    </r>
    <r>
      <rPr>
        <sz val="10"/>
        <color rgb="FFFFFFFF"/>
        <rFont val="Arial"/>
      </rPr>
      <t xml:space="preserve"> ahora son:</t>
    </r>
  </si>
  <si>
    <t>Metric</t>
  </si>
  <si>
    <t>High Remote Mean</t>
  </si>
  <si>
    <t>Low Remote Mean</t>
  </si>
  <si>
    <t>Difference</t>
  </si>
  <si>
    <t>t-statistic</t>
  </si>
  <si>
    <t>p-value</t>
  </si>
  <si>
    <t>Significant</t>
  </si>
  <si>
    <t>Performance</t>
  </si>
  <si>
    <t>0.627551</t>
  </si>
  <si>
    <t>0.095277</t>
  </si>
  <si>
    <t>Team_Productivity</t>
  </si>
  <si>
    <t>0.017733</t>
  </si>
  <si>
    <t>Yes</t>
  </si>
  <si>
    <t>Team_Milestones</t>
  </si>
  <si>
    <t>0.001152</t>
  </si>
  <si>
    <t>Concentration</t>
  </si>
  <si>
    <t>0.420918</t>
  </si>
  <si>
    <t>0.253934</t>
  </si>
  <si>
    <t>Stress_Level</t>
  </si>
  <si>
    <t>-0.448980</t>
  </si>
  <si>
    <t>0.305801</t>
  </si>
  <si>
    <t>Frustration</t>
  </si>
  <si>
    <t>-0.846939</t>
  </si>
  <si>
    <t>0.016664</t>
  </si>
  <si>
    <t>Task_Pressure</t>
  </si>
  <si>
    <t>-0.500000</t>
  </si>
  <si>
    <t>0.047123</t>
  </si>
  <si>
    <t>Coordination_Issues</t>
  </si>
  <si>
    <t>0.003735</t>
  </si>
  <si>
    <t>Motivation</t>
  </si>
  <si>
    <t>0.000032</t>
  </si>
  <si>
    <t>Work_Enjoyment</t>
  </si>
  <si>
    <t>0.918367</t>
  </si>
  <si>
    <t>0.092617</t>
  </si>
  <si>
    <t>Work_Interest</t>
  </si>
  <si>
    <t>0.367347</t>
  </si>
  <si>
    <t>0.335178</t>
  </si>
  <si>
    <t>Creativity</t>
  </si>
  <si>
    <t>0.778061</t>
  </si>
  <si>
    <t>0.066832</t>
  </si>
  <si>
    <t>Work_Life_Balance</t>
  </si>
  <si>
    <t>0.125000</t>
  </si>
  <si>
    <t>0.246922</t>
  </si>
  <si>
    <t>0.810709</t>
  </si>
  <si>
    <t>0.370115</t>
  </si>
  <si>
    <t>0.025567</t>
  </si>
  <si>
    <t>-0.051724</t>
  </si>
  <si>
    <t>-0.262960</t>
  </si>
  <si>
    <t>0.793391</t>
  </si>
  <si>
    <t>-0.067816</t>
  </si>
  <si>
    <t>-0.380740</t>
  </si>
  <si>
    <t>0.704575</t>
  </si>
  <si>
    <t>0.033333</t>
  </si>
  <si>
    <t>0.172508</t>
  </si>
  <si>
    <t>0.863782</t>
  </si>
  <si>
    <t>-0.018391</t>
  </si>
  <si>
    <t>-0.111127</t>
  </si>
  <si>
    <t>0.911873</t>
  </si>
  <si>
    <t>-0.043678</t>
  </si>
  <si>
    <t>-0.270245</t>
  </si>
  <si>
    <t>0.788125</t>
  </si>
  <si>
    <t>-0.156322</t>
  </si>
  <si>
    <t>0.231103</t>
  </si>
  <si>
    <t>0.460920</t>
  </si>
  <si>
    <t>0.048273</t>
  </si>
  <si>
    <t>0.296552</t>
  </si>
  <si>
    <t>0.085038</t>
  </si>
  <si>
    <t>0.359770</t>
  </si>
  <si>
    <t>0.084189</t>
  </si>
  <si>
    <t>0.206897</t>
  </si>
  <si>
    <t>0.257823</t>
  </si>
  <si>
    <t>0.340230</t>
  </si>
  <si>
    <t>0.036551</t>
  </si>
  <si>
    <t>0.398851</t>
  </si>
  <si>
    <t>0.064007</t>
  </si>
  <si>
    <t>Effect on Leaders (Role 1)</t>
  </si>
  <si>
    <t>Effect on Non-Leaders (Role 0)</t>
  </si>
  <si>
    <t>Different Effect Pattern?</t>
  </si>
  <si>
    <t>+0.63 (not sig.)</t>
  </si>
  <si>
    <t>+0.37 (p=0.026)*</t>
  </si>
  <si>
    <t>Yes - Significant for Non-Leaders only</t>
  </si>
  <si>
    <t>+1.17 (p=0.018)*</t>
  </si>
  <si>
    <t>-0.05 (not sig.)</t>
  </si>
  <si>
    <t>Yes - Significant for Leaders only</t>
  </si>
  <si>
    <t>+1.22 (p=0.001)*</t>
  </si>
  <si>
    <t>-0.07 (not sig.)</t>
  </si>
  <si>
    <t>-0.85 (p=0.017)*</t>
  </si>
  <si>
    <t>-0.04 (not sig.)</t>
  </si>
  <si>
    <t>-0.50 (p=0.047)*</t>
  </si>
  <si>
    <t>-0.16 (not sig.)</t>
  </si>
  <si>
    <t>-1.10 (p=0.004)*</t>
  </si>
  <si>
    <t>+0.46 (p=0.048)*</t>
  </si>
  <si>
    <t>Yes - Opposite directions</t>
  </si>
  <si>
    <t>+1.30 (p&lt;0.001)*</t>
  </si>
  <si>
    <t>+0.30 (not sig.)</t>
  </si>
  <si>
    <t>+0.78 (not sig.)</t>
  </si>
  <si>
    <t>+0.34 (p=0.037)*</t>
  </si>
  <si>
    <t>Comparison of Remote Work Effects by Leadership Role</t>
  </si>
  <si>
    <t>Remote Work Effects for Leadership Role 0 (Non-Leaders/Individual Contributors)</t>
  </si>
  <si>
    <t>Remote Work Effects for Leadership Role 1 (Leaders/Managers)</t>
  </si>
  <si>
    <t>Leadership Role 1 (Leaders/Managers)</t>
  </si>
  <si>
    <t>0.013549</t>
  </si>
  <si>
    <t>Knowledge_Exchange</t>
  </si>
  <si>
    <t>0.211735</t>
  </si>
  <si>
    <t>0.618249</t>
  </si>
  <si>
    <t>0.550762</t>
  </si>
  <si>
    <t>Communication_With_Peers</t>
  </si>
  <si>
    <t>0.709184</t>
  </si>
  <si>
    <t>0.063420</t>
  </si>
  <si>
    <t>Communication_With_Boss</t>
  </si>
  <si>
    <t>-0.017857</t>
  </si>
  <si>
    <t>-0.055842</t>
  </si>
  <si>
    <t>0.956442</t>
  </si>
  <si>
    <t>Lack_Empl_Engagement</t>
  </si>
  <si>
    <t>-0.048469</t>
  </si>
  <si>
    <t>-0.119867</t>
  </si>
  <si>
    <t>0.907231</t>
  </si>
  <si>
    <t>Leadership_Problems</t>
  </si>
  <si>
    <t>-0.089286</t>
  </si>
  <si>
    <t>-0.289427</t>
  </si>
  <si>
    <t>0.778468</t>
  </si>
  <si>
    <t>AgileM_Efectiveness</t>
  </si>
  <si>
    <t>0.030612</t>
  </si>
  <si>
    <t>0.085903</t>
  </si>
  <si>
    <t>0.933047</t>
  </si>
  <si>
    <t>Tasks_assignment</t>
  </si>
  <si>
    <t>-0.045918</t>
  </si>
  <si>
    <t>-0.141959</t>
  </si>
  <si>
    <t>0.889878</t>
  </si>
  <si>
    <t>Comfort</t>
  </si>
  <si>
    <t>0.178571</t>
  </si>
  <si>
    <t>0.646422</t>
  </si>
  <si>
    <t>0.531959</t>
  </si>
  <si>
    <t>Trust_in_Superior</t>
  </si>
  <si>
    <t>0.262755</t>
  </si>
  <si>
    <t>0.676892</t>
  </si>
  <si>
    <t>0.513631</t>
  </si>
  <si>
    <t>Problem_Solving</t>
  </si>
  <si>
    <t>0.132653</t>
  </si>
  <si>
    <t>0.376125</t>
  </si>
  <si>
    <t>0.714865</t>
  </si>
  <si>
    <t>Company_Appreciation</t>
  </si>
  <si>
    <t>0.186224</t>
  </si>
  <si>
    <t>0.645289</t>
  </si>
  <si>
    <t>0.533456</t>
  </si>
  <si>
    <t>Feedback</t>
  </si>
  <si>
    <t>0.290816</t>
  </si>
  <si>
    <t>0.735950</t>
  </si>
  <si>
    <t>0.479344</t>
  </si>
  <si>
    <t>Boredom</t>
  </si>
  <si>
    <t>-0.344388</t>
  </si>
  <si>
    <t>-0.892183</t>
  </si>
  <si>
    <t>0.394380</t>
  </si>
  <si>
    <t>Attention_to_Others</t>
  </si>
  <si>
    <t>-0.061224</t>
  </si>
  <si>
    <t>-0.153911</t>
  </si>
  <si>
    <t>0.880903</t>
  </si>
  <si>
    <t>Job_Loss_Fear</t>
  </si>
  <si>
    <t>-0.165816</t>
  </si>
  <si>
    <t>-0.442633</t>
  </si>
  <si>
    <t>0.666937</t>
  </si>
  <si>
    <t>Work_Environment</t>
  </si>
  <si>
    <t>-0.043367</t>
  </si>
  <si>
    <t>-0.110784</t>
  </si>
  <si>
    <t>0.914099</t>
  </si>
  <si>
    <t>Team_Influence</t>
  </si>
  <si>
    <t>-0.022959</t>
  </si>
  <si>
    <t>-0.058805</t>
  </si>
  <si>
    <t>0.954155</t>
  </si>
  <si>
    <t>Personal_Relationships</t>
  </si>
  <si>
    <t>0.056122</t>
  </si>
  <si>
    <t>0.156012</t>
  </si>
  <si>
    <t>0.879124</t>
  </si>
  <si>
    <t>Autonomy</t>
  </si>
  <si>
    <t>0.168367</t>
  </si>
  <si>
    <t>0.509301</t>
  </si>
  <si>
    <t>0.621359</t>
  </si>
  <si>
    <t>Conflict_Relationships</t>
  </si>
  <si>
    <t>-0.321429</t>
  </si>
  <si>
    <t>-0.755842</t>
  </si>
  <si>
    <t>0.467698</t>
  </si>
  <si>
    <t>Belonging</t>
  </si>
  <si>
    <t>0.145408</t>
  </si>
  <si>
    <t>0.382222</t>
  </si>
  <si>
    <t>0.710349</t>
  </si>
  <si>
    <t>Confidence_Level</t>
  </si>
  <si>
    <t>0.801891</t>
  </si>
  <si>
    <t>0.440822</t>
  </si>
  <si>
    <t>Flexibility</t>
  </si>
  <si>
    <t>0.344388</t>
  </si>
  <si>
    <t>0.229322</t>
  </si>
  <si>
    <t>Communication_Issues</t>
  </si>
  <si>
    <t>-0.216837</t>
  </si>
  <si>
    <t>-0.629302</t>
  </si>
  <si>
    <t>0.543407</t>
  </si>
  <si>
    <t>Team_Trust</t>
  </si>
  <si>
    <t>-0.119898</t>
  </si>
  <si>
    <t>-0.383052</t>
  </si>
  <si>
    <t>0.709685</t>
  </si>
  <si>
    <t>Time_Management</t>
  </si>
  <si>
    <t>0.127551</t>
  </si>
  <si>
    <t>0.348126</t>
  </si>
  <si>
    <t>0.735413</t>
  </si>
  <si>
    <t>Anger_Reactions</t>
  </si>
  <si>
    <t>-0.221939</t>
  </si>
  <si>
    <t>-0.583080</t>
  </si>
  <si>
    <t>0.572856</t>
  </si>
  <si>
    <t>Leadership Role 0 (Non-Leaders/Individual Contributors)</t>
  </si>
  <si>
    <t>0.237931</t>
  </si>
  <si>
    <t>0.178547</t>
  </si>
  <si>
    <t>0.059770</t>
  </si>
  <si>
    <t>0.371860</t>
  </si>
  <si>
    <t>0.711551</t>
  </si>
  <si>
    <t>0.157471</t>
  </si>
  <si>
    <t>0.288977</t>
  </si>
  <si>
    <t>-0.081609</t>
  </si>
  <si>
    <t>-0.544805</t>
  </si>
  <si>
    <t>0.588463</t>
  </si>
  <si>
    <t>0.063218</t>
  </si>
  <si>
    <t>0.444584</t>
  </si>
  <si>
    <t>0.658485</t>
  </si>
  <si>
    <t>-0.227586</t>
  </si>
  <si>
    <t>0.240103</t>
  </si>
  <si>
    <t>0.054023</t>
  </si>
  <si>
    <t>0.389748</t>
  </si>
  <si>
    <t>0.698222</t>
  </si>
  <si>
    <t>0.131034</t>
  </si>
  <si>
    <t>0.782782</t>
  </si>
  <si>
    <t>0.437801</t>
  </si>
  <si>
    <t>0.121839</t>
  </si>
  <si>
    <t>0.856845</t>
  </si>
  <si>
    <t>0.395819</t>
  </si>
  <si>
    <t>0.225287</t>
  </si>
  <si>
    <t>0.064929</t>
  </si>
  <si>
    <t>0.265517</t>
  </si>
  <si>
    <t>0.138020</t>
  </si>
  <si>
    <t>0.352874</t>
  </si>
  <si>
    <t>0.019652</t>
  </si>
  <si>
    <t>0.071264</t>
  </si>
  <si>
    <t>0.576242</t>
  </si>
  <si>
    <t>0.567141</t>
  </si>
  <si>
    <t>0.401149</t>
  </si>
  <si>
    <t>0.022204</t>
  </si>
  <si>
    <t>-0.106897</t>
  </si>
  <si>
    <t>-0.656232</t>
  </si>
  <si>
    <t>0.514871</t>
  </si>
  <si>
    <t>0.073563</t>
  </si>
  <si>
    <t>0.452775</t>
  </si>
  <si>
    <t>0.652559</t>
  </si>
  <si>
    <t>0.024138</t>
  </si>
  <si>
    <t>0.155389</t>
  </si>
  <si>
    <t>0.877150</t>
  </si>
  <si>
    <t>0.563218</t>
  </si>
  <si>
    <t>0.003912</t>
  </si>
  <si>
    <t>0.295402</t>
  </si>
  <si>
    <t>0.079909</t>
  </si>
  <si>
    <t>-0.039080</t>
  </si>
  <si>
    <t>-0.241303</t>
  </si>
  <si>
    <t>0.810244</t>
  </si>
  <si>
    <t>0.302299</t>
  </si>
  <si>
    <t>0.045877</t>
  </si>
  <si>
    <t>-0.406897</t>
  </si>
  <si>
    <t>0.034094</t>
  </si>
  <si>
    <t>0.051724</t>
  </si>
  <si>
    <t>0.305909</t>
  </si>
  <si>
    <t>0.760970</t>
  </si>
  <si>
    <t>0.335632</t>
  </si>
  <si>
    <t>0.024460</t>
  </si>
  <si>
    <t>0.356322</t>
  </si>
  <si>
    <t>0.034231</t>
  </si>
  <si>
    <t>-0.381609</t>
  </si>
  <si>
    <t>0.019034</t>
  </si>
  <si>
    <t>0.327586</t>
  </si>
  <si>
    <t>0.022718</t>
  </si>
  <si>
    <t>0.260920</t>
  </si>
  <si>
    <t>0.130203</t>
  </si>
  <si>
    <t>-0.539080</t>
  </si>
  <si>
    <t>0.006651</t>
  </si>
  <si>
    <t>-0.319540</t>
  </si>
  <si>
    <t>0.064766</t>
  </si>
  <si>
    <t>+1.23 (p=0.014)*</t>
  </si>
  <si>
    <t>+0.24 (not sig.)</t>
  </si>
  <si>
    <t>+0.06 (not sig.)</t>
  </si>
  <si>
    <t>+0.42 (not sig.)</t>
  </si>
  <si>
    <t>+0.03 (not sig.)</t>
  </si>
  <si>
    <t>No - Not significant for both</t>
  </si>
  <si>
    <t>+0.21 (not sig.)</t>
  </si>
  <si>
    <t>+0.16 (not sig.)</t>
  </si>
  <si>
    <t>+0.71 (not sig.)</t>
  </si>
  <si>
    <t>-0.08 (not sig.)</t>
  </si>
  <si>
    <t>Yes - Different directions</t>
  </si>
  <si>
    <t>+0.13 (not sig.)</t>
  </si>
  <si>
    <t>+0.35 (p=0.020)*</t>
  </si>
  <si>
    <t>+0.92 (not sig.)</t>
  </si>
  <si>
    <t>+0.36 (not sig.)</t>
  </si>
  <si>
    <t>+0.56 (p=0.004)*</t>
  </si>
  <si>
    <t>+0.17 (not sig.)</t>
  </si>
  <si>
    <t>+0.30 (p=0.046)*</t>
  </si>
  <si>
    <t>-0.32 (not sig.)</t>
  </si>
  <si>
    <t>-0.41 (p=0.034)*</t>
  </si>
  <si>
    <t>-0.45 (not sig.)</t>
  </si>
  <si>
    <t>-0.02 (not sig.)</t>
  </si>
  <si>
    <t>+0.26 (not sig.)</t>
  </si>
  <si>
    <t>+0.34 (p=0.024)*</t>
  </si>
  <si>
    <t>+0.34 (not sig.)</t>
  </si>
  <si>
    <t>+0.36 (p=0.034)*</t>
  </si>
  <si>
    <t>-0.22 (not sig.)</t>
  </si>
  <si>
    <t>-0.38 (p=0.019)*</t>
  </si>
  <si>
    <t>-0.12 (not sig.)</t>
  </si>
  <si>
    <t>+0.33 (p=0.023)*</t>
  </si>
  <si>
    <t>Yes - Different directions, Significant for Non-Leaders only</t>
  </si>
  <si>
    <t>-0.54 (p=0.007)*</t>
  </si>
  <si>
    <t>Yes - Significant for both, stronger effect for Leaders</t>
  </si>
  <si>
    <t>Remote Work Effects by Company Type</t>
  </si>
  <si>
    <t>Company Type: SW_D0</t>
  </si>
  <si>
    <t>0.588015</t>
  </si>
  <si>
    <t>0.007534</t>
  </si>
  <si>
    <t>0.719101</t>
  </si>
  <si>
    <t>0.005639</t>
  </si>
  <si>
    <t>0.606742</t>
  </si>
  <si>
    <t>0.011892</t>
  </si>
  <si>
    <t>0.240324</t>
  </si>
  <si>
    <t>0.829962</t>
  </si>
  <si>
    <t>0.412800</t>
  </si>
  <si>
    <t>0.465043</t>
  </si>
  <si>
    <t>0.032785</t>
  </si>
  <si>
    <t>0.586142</t>
  </si>
  <si>
    <t>0.010071</t>
  </si>
  <si>
    <t>-0.023720</t>
  </si>
  <si>
    <t>-0.123161</t>
  </si>
  <si>
    <t>0.902759</t>
  </si>
  <si>
    <t>-0.208489</t>
  </si>
  <si>
    <t>-0.875246</t>
  </si>
  <si>
    <t>0.387396</t>
  </si>
  <si>
    <t>-0.075531</t>
  </si>
  <si>
    <t>-0.409782</t>
  </si>
  <si>
    <t>0.684447</t>
  </si>
  <si>
    <t>0.149813</t>
  </si>
  <si>
    <t>0.619764</t>
  </si>
  <si>
    <t>0.539545</t>
  </si>
  <si>
    <t>0.292135</t>
  </si>
  <si>
    <t>0.121783</t>
  </si>
  <si>
    <t>0.775281</t>
  </si>
  <si>
    <t>0.000290</t>
  </si>
  <si>
    <t>0.495006</t>
  </si>
  <si>
    <t>0.004120</t>
  </si>
  <si>
    <t>0.394507</t>
  </si>
  <si>
    <t>0.092085</t>
  </si>
  <si>
    <t>0.531211</t>
  </si>
  <si>
    <t>0.005398</t>
  </si>
  <si>
    <t>0.609863</t>
  </si>
  <si>
    <t>0.022629</t>
  </si>
  <si>
    <t>0.181648</t>
  </si>
  <si>
    <t>0.761647</t>
  </si>
  <si>
    <t>0.451310</t>
  </si>
  <si>
    <t>0.224095</t>
  </si>
  <si>
    <t>0.200944</t>
  </si>
  <si>
    <t>0.234082</t>
  </si>
  <si>
    <t>0.886347</t>
  </si>
  <si>
    <t>0.381143</t>
  </si>
  <si>
    <t>0.390762</t>
  </si>
  <si>
    <t>0.103970</t>
  </si>
  <si>
    <t>-0.139825</t>
  </si>
  <si>
    <t>-0.655245</t>
  </si>
  <si>
    <t>0.516539</t>
  </si>
  <si>
    <t>0.111111</t>
  </si>
  <si>
    <t>0.526222</t>
  </si>
  <si>
    <t>0.602102</t>
  </si>
  <si>
    <t>-0.122972</t>
  </si>
  <si>
    <t>-0.613553</t>
  </si>
  <si>
    <t>0.543345</t>
  </si>
  <si>
    <t>0.481898</t>
  </si>
  <si>
    <t>0.065415</t>
  </si>
  <si>
    <t>0.391386</t>
  </si>
  <si>
    <t>0.087699</t>
  </si>
  <si>
    <t>-0.008115</t>
  </si>
  <si>
    <t>-0.039174</t>
  </si>
  <si>
    <t>0.968938</t>
  </si>
  <si>
    <t>0.577403</t>
  </si>
  <si>
    <t>0.004222</t>
  </si>
  <si>
    <t>-0.164170</t>
  </si>
  <si>
    <t>-0.680784</t>
  </si>
  <si>
    <t>0.500255</t>
  </si>
  <si>
    <t>0.343945</t>
  </si>
  <si>
    <t>0.127425</t>
  </si>
  <si>
    <t>0.464420</t>
  </si>
  <si>
    <t>0.049807</t>
  </si>
  <si>
    <t>-0.229089</t>
  </si>
  <si>
    <t>-0.897355</t>
  </si>
  <si>
    <t>0.376192</t>
  </si>
  <si>
    <t>0.607366</t>
  </si>
  <si>
    <t>0.006936</t>
  </si>
  <si>
    <t>-0.116105</t>
  </si>
  <si>
    <t>-0.504693</t>
  </si>
  <si>
    <t>0.616956</t>
  </si>
  <si>
    <t>-0.033084</t>
  </si>
  <si>
    <t>-0.165113</t>
  </si>
  <si>
    <t>0.869749</t>
  </si>
  <si>
    <t>0.537454</t>
  </si>
  <si>
    <t>0.018012</t>
  </si>
  <si>
    <t>-0.255930</t>
  </si>
  <si>
    <t>0.239037</t>
  </si>
  <si>
    <t>0.310861</t>
  </si>
  <si>
    <t>0.104859</t>
  </si>
  <si>
    <t>0.487516</t>
  </si>
  <si>
    <t>0.034122</t>
  </si>
  <si>
    <t>-0.669163</t>
  </si>
  <si>
    <t>0.010408</t>
  </si>
  <si>
    <t>-0.395131</t>
  </si>
  <si>
    <t>0.094368</t>
  </si>
  <si>
    <t>Company Type: Out_NAL</t>
  </si>
  <si>
    <t>-0.059783</t>
  </si>
  <si>
    <t>-0.181883</t>
  </si>
  <si>
    <t>0.858030</t>
  </si>
  <si>
    <t>0.277174</t>
  </si>
  <si>
    <t>0.655853</t>
  </si>
  <si>
    <t>0.525356</t>
  </si>
  <si>
    <t>-0.065217</t>
  </si>
  <si>
    <t>-0.239275</t>
  </si>
  <si>
    <t>0.814625</t>
  </si>
  <si>
    <t>-0.016304</t>
  </si>
  <si>
    <t>-0.049532</t>
  </si>
  <si>
    <t>0.961010</t>
  </si>
  <si>
    <t>-0.010870</t>
  </si>
  <si>
    <t>-0.028848</t>
  </si>
  <si>
    <t>0.977317</t>
  </si>
  <si>
    <t>-0.092391</t>
  </si>
  <si>
    <t>-0.285518</t>
  </si>
  <si>
    <t>0.779431</t>
  </si>
  <si>
    <t>0.076087</t>
  </si>
  <si>
    <t>0.203654</t>
  </si>
  <si>
    <t>0.841387</t>
  </si>
  <si>
    <t>-0.135870</t>
  </si>
  <si>
    <t>-0.351125</t>
  </si>
  <si>
    <t>0.731032</t>
  </si>
  <si>
    <t>-0.255435</t>
  </si>
  <si>
    <t>-0.848143</t>
  </si>
  <si>
    <t>0.411115</t>
  </si>
  <si>
    <t>-0.038043</t>
  </si>
  <si>
    <t>-0.101781</t>
  </si>
  <si>
    <t>0.920055</t>
  </si>
  <si>
    <t>-0.288043</t>
  </si>
  <si>
    <t>-0.971968</t>
  </si>
  <si>
    <t>0.348639</t>
  </si>
  <si>
    <t>0.097826</t>
  </si>
  <si>
    <t>0.257706</t>
  </si>
  <si>
    <t>0.800359</t>
  </si>
  <si>
    <t>0.059783</t>
  </si>
  <si>
    <t>0.251850</t>
  </si>
  <si>
    <t>0.804896</t>
  </si>
  <si>
    <t>0.179348</t>
  </si>
  <si>
    <t>0.435000</t>
  </si>
  <si>
    <t>0.670175</t>
  </si>
  <si>
    <t>0.021739</t>
  </si>
  <si>
    <t>0.070539</t>
  </si>
  <si>
    <t>0.944474</t>
  </si>
  <si>
    <t>0.369565</t>
  </si>
  <si>
    <t>0.843078</t>
  </si>
  <si>
    <t>0.414187</t>
  </si>
  <si>
    <t>0.347826</t>
  </si>
  <si>
    <t>0.977068</t>
  </si>
  <si>
    <t>0.344751</t>
  </si>
  <si>
    <t>-0.134365</t>
  </si>
  <si>
    <t>0.894961</t>
  </si>
  <si>
    <t>0.375000</t>
  </si>
  <si>
    <t>0.766106</t>
  </si>
  <si>
    <t>0.456188</t>
  </si>
  <si>
    <t>0.250000</t>
  </si>
  <si>
    <t>0.609876</t>
  </si>
  <si>
    <t>0.551435</t>
  </si>
  <si>
    <t>-0.266304</t>
  </si>
  <si>
    <t>-0.779756</t>
  </si>
  <si>
    <t>0.448783</t>
  </si>
  <si>
    <t>-0.043478</t>
  </si>
  <si>
    <t>-0.118486</t>
  </si>
  <si>
    <t>0.907468</t>
  </si>
  <si>
    <t>0.081522</t>
  </si>
  <si>
    <t>0.265121</t>
  </si>
  <si>
    <t>0.794704</t>
  </si>
  <si>
    <t>0.217391</t>
  </si>
  <si>
    <t>0.478370</t>
  </si>
  <si>
    <t>0.640056</t>
  </si>
  <si>
    <t>0.168478</t>
  </si>
  <si>
    <t>0.397701</t>
  </si>
  <si>
    <t>0.696749</t>
  </si>
  <si>
    <t>-0.070652</t>
  </si>
  <si>
    <t>-0.207507</t>
  </si>
  <si>
    <t>0.838443</t>
  </si>
  <si>
    <t>0.163043</t>
  </si>
  <si>
    <t>0.488123</t>
  </si>
  <si>
    <t>0.632976</t>
  </si>
  <si>
    <t>-0.483696</t>
  </si>
  <si>
    <t>0.245805</t>
  </si>
  <si>
    <t>-0.662991</t>
  </si>
  <si>
    <t>0.518186</t>
  </si>
  <si>
    <t>0.233696</t>
  </si>
  <si>
    <t>0.660241</t>
  </si>
  <si>
    <t>0.520046</t>
  </si>
  <si>
    <t>-0.158317</t>
  </si>
  <si>
    <t>0.876208</t>
  </si>
  <si>
    <t>0.062432</t>
  </si>
  <si>
    <t>0.951122</t>
  </si>
  <si>
    <t>-0.054348</t>
  </si>
  <si>
    <t>-0.147485</t>
  </si>
  <si>
    <t>0.884781</t>
  </si>
  <si>
    <t>-0.211957</t>
  </si>
  <si>
    <t>-0.669089</t>
  </si>
  <si>
    <t>0.514248</t>
  </si>
  <si>
    <t>0.135870</t>
  </si>
  <si>
    <t>0.429621</t>
  </si>
  <si>
    <t>0.673759</t>
  </si>
  <si>
    <t>-0.195652</t>
  </si>
  <si>
    <t>-0.546983</t>
  </si>
  <si>
    <t>0.593069</t>
  </si>
  <si>
    <t>0.519058</t>
  </si>
  <si>
    <t>0.611705</t>
  </si>
  <si>
    <t>0.114130</t>
  </si>
  <si>
    <t>0.351402</t>
  </si>
  <si>
    <t>0.730732</t>
  </si>
  <si>
    <t>-0.107644</t>
  </si>
  <si>
    <t>0.915973</t>
  </si>
  <si>
    <t>-0.141304</t>
  </si>
  <si>
    <t>-0.396667</t>
  </si>
  <si>
    <t>0.697538</t>
  </si>
  <si>
    <t>Company Type: Fabrica</t>
  </si>
  <si>
    <t>0.155660</t>
  </si>
  <si>
    <t>0.457385</t>
  </si>
  <si>
    <t>0.657474</t>
  </si>
  <si>
    <t>-0.108491</t>
  </si>
  <si>
    <t>-0.323031</t>
  </si>
  <si>
    <t>0.753889</t>
  </si>
  <si>
    <t>-0.077830</t>
  </si>
  <si>
    <t>-0.225071</t>
  </si>
  <si>
    <t>0.828045</t>
  </si>
  <si>
    <t>0.054245</t>
  </si>
  <si>
    <t>0.165242</t>
  </si>
  <si>
    <t>0.870970</t>
  </si>
  <si>
    <t>-0.037736</t>
  </si>
  <si>
    <t>-0.135266</t>
  </si>
  <si>
    <t>0.894366</t>
  </si>
  <si>
    <t>-0.044811</t>
  </si>
  <si>
    <t>-0.157323</t>
  </si>
  <si>
    <t>0.877123</t>
  </si>
  <si>
    <t>0.030660</t>
  </si>
  <si>
    <t>0.125339</t>
  </si>
  <si>
    <t>0.901948</t>
  </si>
  <si>
    <t>0.044811</t>
  </si>
  <si>
    <t>0.173142</t>
  </si>
  <si>
    <t>0.864894</t>
  </si>
  <si>
    <t>0.169811</t>
  </si>
  <si>
    <t>0.835037</t>
  </si>
  <si>
    <t>0.416790</t>
  </si>
  <si>
    <t>0.009434</t>
  </si>
  <si>
    <t>0.037053</t>
  </si>
  <si>
    <t>0.970892</t>
  </si>
  <si>
    <t>-0.080189</t>
  </si>
  <si>
    <t>-0.335635</t>
  </si>
  <si>
    <t>0.741456</t>
  </si>
  <si>
    <t>0.360849</t>
  </si>
  <si>
    <t>0.818020</t>
  </si>
  <si>
    <t>0.435646</t>
  </si>
  <si>
    <t>-0.028302</t>
  </si>
  <si>
    <t>-0.108662</t>
  </si>
  <si>
    <t>0.914932</t>
  </si>
  <si>
    <t>0.122642</t>
  </si>
  <si>
    <t>0.309486</t>
  </si>
  <si>
    <t>0.760822</t>
  </si>
  <si>
    <t>0.192061</t>
  </si>
  <si>
    <t>0.849940</t>
  </si>
  <si>
    <t>0.200472</t>
  </si>
  <si>
    <t>0.513876</t>
  </si>
  <si>
    <t>0.615037</t>
  </si>
  <si>
    <t>0.021226</t>
  </si>
  <si>
    <t>0.058651</t>
  </si>
  <si>
    <t>0.953900</t>
  </si>
  <si>
    <t>-0.068396</t>
  </si>
  <si>
    <t>-0.247064</t>
  </si>
  <si>
    <t>0.808152</t>
  </si>
  <si>
    <t>0.476415</t>
  </si>
  <si>
    <t>0.287260</t>
  </si>
  <si>
    <t>0.294811</t>
  </si>
  <si>
    <t>0.710841</t>
  </si>
  <si>
    <t>0.487910</t>
  </si>
  <si>
    <t>0.221698</t>
  </si>
  <si>
    <t>0.724493</t>
  </si>
  <si>
    <t>0.479631</t>
  </si>
  <si>
    <t>-0.018868</t>
  </si>
  <si>
    <t>-0.065389</t>
  </si>
  <si>
    <t>0.948508</t>
  </si>
  <si>
    <t>0.174528</t>
  </si>
  <si>
    <t>0.668246</t>
  </si>
  <si>
    <t>0.514334</t>
  </si>
  <si>
    <t>0.346698</t>
  </si>
  <si>
    <t>0.860654</t>
  </si>
  <si>
    <t>0.402578</t>
  </si>
  <si>
    <t>0.158019</t>
  </si>
  <si>
    <t>0.412097</t>
  </si>
  <si>
    <t>0.685970</t>
  </si>
  <si>
    <t>0.101415</t>
  </si>
  <si>
    <t>0.355997</t>
  </si>
  <si>
    <t>0.726371</t>
  </si>
  <si>
    <t>0.117925</t>
  </si>
  <si>
    <t>0.433979</t>
  </si>
  <si>
    <t>0.670087</t>
  </si>
  <si>
    <t>-0.160377</t>
  </si>
  <si>
    <t>-0.448644</t>
  </si>
  <si>
    <t>0.660060</t>
  </si>
  <si>
    <t>0.018868</t>
  </si>
  <si>
    <t>0.053760</t>
  </si>
  <si>
    <t>0.957690</t>
  </si>
  <si>
    <t>0.288998</t>
  </si>
  <si>
    <t>0.113208</t>
  </si>
  <si>
    <t>0.372774</t>
  </si>
  <si>
    <t>0.716074</t>
  </si>
  <si>
    <t>0.134434</t>
  </si>
  <si>
    <t>0.456071</t>
  </si>
  <si>
    <t>0.654416</t>
  </si>
  <si>
    <t>0.028302</t>
  </si>
  <si>
    <t>0.090478</t>
  </si>
  <si>
    <t>0.928988</t>
  </si>
  <si>
    <t>-0.094340</t>
  </si>
  <si>
    <t>-0.358626</t>
  </si>
  <si>
    <t>0.724600</t>
  </si>
  <si>
    <t>0.301887</t>
  </si>
  <si>
    <t>0.986507</t>
  </si>
  <si>
    <t>0.338695</t>
  </si>
  <si>
    <t>-0.318396</t>
  </si>
  <si>
    <t>-0.904399</t>
  </si>
  <si>
    <t>0.379318</t>
  </si>
  <si>
    <t>0.193396</t>
  </si>
  <si>
    <t>0.660551</t>
  </si>
  <si>
    <t>0.518481</t>
  </si>
  <si>
    <t>0.167453</t>
  </si>
  <si>
    <t>0.437918</t>
  </si>
  <si>
    <t>0.667285</t>
  </si>
  <si>
    <t>-0.049528</t>
  </si>
  <si>
    <t>-0.151172</t>
  </si>
  <si>
    <t>0.881520</t>
  </si>
  <si>
    <t>0.066038</t>
  </si>
  <si>
    <t>0.226097</t>
  </si>
  <si>
    <t>0.823871</t>
  </si>
  <si>
    <t>Comparison of Remote Work Effects by Company Type</t>
  </si>
  <si>
    <t>Effect in SW_D0</t>
  </si>
  <si>
    <t>Effect in Out_NAL</t>
  </si>
  <si>
    <t>Effect in Fabrica</t>
  </si>
  <si>
    <t>+0.59 (p=0.008)*</t>
  </si>
  <si>
    <t>-0.06 (not sig.)</t>
  </si>
  <si>
    <t>Yes - Significant for SW_D0 only</t>
  </si>
  <si>
    <t>+0.72 (p=0.006)*</t>
  </si>
  <si>
    <t>+0.28 (not sig.)</t>
  </si>
  <si>
    <t>-0.11 (not sig.)</t>
  </si>
  <si>
    <t>Yes - Different directions, Significant for SW_D0 only</t>
  </si>
  <si>
    <t>+0.61 (p=0.012)*</t>
  </si>
  <si>
    <t>+0.47 (p=0.033)*</t>
  </si>
  <si>
    <t>-0.01 (not sig.)</t>
  </si>
  <si>
    <t>+0.59 (p=0.010)*</t>
  </si>
  <si>
    <t>-0.09 (not sig.)</t>
  </si>
  <si>
    <t>+0.78 (p&lt;0.001)*</t>
  </si>
  <si>
    <t>+0.10 (not sig.)</t>
  </si>
  <si>
    <t>+0.50 (p=0.004)*</t>
  </si>
  <si>
    <t>-0.03 (not sig.)</t>
  </si>
  <si>
    <t>+0.53 (p=0.005)*</t>
  </si>
  <si>
    <t>+0.02 (not sig.)</t>
  </si>
  <si>
    <t>+0.05 (not sig.)</t>
  </si>
  <si>
    <t>+0.61 (p=0.023)*</t>
  </si>
  <si>
    <t>+0.37 (not sig.)</t>
  </si>
  <si>
    <t>+0.20 (not sig.)</t>
  </si>
  <si>
    <t>+0.58 (p=0.004)*</t>
  </si>
  <si>
    <t>+0.12 (not sig.)</t>
  </si>
  <si>
    <t>+0.46 (p=0.050)*</t>
  </si>
  <si>
    <t>+0.23 (not sig.)</t>
  </si>
  <si>
    <t>+0.61 (p=0.007)*</t>
  </si>
  <si>
    <t>+0.54 (p=0.018)*</t>
  </si>
  <si>
    <t>+0.14 (not sig.)</t>
  </si>
  <si>
    <t>+0.49 (p=0.034)*</t>
  </si>
  <si>
    <t>+0.11 (not sig.)</t>
  </si>
  <si>
    <t>-0.67 (p=0.010)*</t>
  </si>
  <si>
    <t>-0.48 (not sig.)</t>
  </si>
  <si>
    <t>No - Not significant for all</t>
  </si>
  <si>
    <t>-0.23 (not sig.)</t>
  </si>
  <si>
    <t>Yes - Different directions, not significant</t>
  </si>
  <si>
    <t>-0.21 (not sig.)</t>
  </si>
  <si>
    <t>-0.26 (not sig.)</t>
  </si>
  <si>
    <t>-0.20 (not sig.)</t>
  </si>
  <si>
    <t>Remote Work Effects by Country</t>
  </si>
  <si>
    <t>Country: Argentina</t>
  </si>
  <si>
    <t>0.371015</t>
  </si>
  <si>
    <t>0.714312</t>
  </si>
  <si>
    <t>-0.166667</t>
  </si>
  <si>
    <t>-0.524482</t>
  </si>
  <si>
    <t>0.610694</t>
  </si>
  <si>
    <t>0.000000</t>
  </si>
  <si>
    <t>0.277778</t>
  </si>
  <si>
    <t>0.821010</t>
  </si>
  <si>
    <t>0.429763</t>
  </si>
  <si>
    <t>0.055556</t>
  </si>
  <si>
    <t>0.159599</t>
  </si>
  <si>
    <t>0.876056</t>
  </si>
  <si>
    <t>-0.277778</t>
  </si>
  <si>
    <t>-0.925165</t>
  </si>
  <si>
    <t>0.369452</t>
  </si>
  <si>
    <t>-0.111111</t>
  </si>
  <si>
    <t>-0.399102</t>
  </si>
  <si>
    <t>0.696187</t>
  </si>
  <si>
    <t>-0.999438</t>
  </si>
  <si>
    <t>0.332000</t>
  </si>
  <si>
    <t>0.222222</t>
  </si>
  <si>
    <t>0.700370</t>
  </si>
  <si>
    <t>0.494022</t>
  </si>
  <si>
    <t>-0.263416</t>
  </si>
  <si>
    <t>0.796855</t>
  </si>
  <si>
    <t>0.440346</t>
  </si>
  <si>
    <t>0.667219</t>
  </si>
  <si>
    <t>0.240452</t>
  </si>
  <si>
    <t>0.813699</t>
  </si>
  <si>
    <t>0.613389</t>
  </si>
  <si>
    <t>0.550013</t>
  </si>
  <si>
    <t>0.485563</t>
  </si>
  <si>
    <t>0.635598</t>
  </si>
  <si>
    <t>-0.055556</t>
  </si>
  <si>
    <t>-0.147874</t>
  </si>
  <si>
    <t>0.884770</t>
  </si>
  <si>
    <t>0.727873</t>
  </si>
  <si>
    <t>0.478414</t>
  </si>
  <si>
    <t>0.157196</t>
  </si>
  <si>
    <t>0.877604</t>
  </si>
  <si>
    <t>0.166667</t>
  </si>
  <si>
    <t>0.398026</t>
  </si>
  <si>
    <t>0.697003</t>
  </si>
  <si>
    <t>0.202462</t>
  </si>
  <si>
    <t>0.842624</t>
  </si>
  <si>
    <t>-0.190404</t>
  </si>
  <si>
    <t>0.851984</t>
  </si>
  <si>
    <t>0.388889</t>
  </si>
  <si>
    <t>0.329051</t>
  </si>
  <si>
    <t>0.578175</t>
  </si>
  <si>
    <t>0.572810</t>
  </si>
  <si>
    <t>0.774254</t>
  </si>
  <si>
    <t>0.452103</t>
  </si>
  <si>
    <t>-0.155731</t>
  </si>
  <si>
    <t>0.878689</t>
  </si>
  <si>
    <t>0.265999</t>
  </si>
  <si>
    <t>-0.388889</t>
  </si>
  <si>
    <t>0.159707</t>
  </si>
  <si>
    <t>0.724336</t>
  </si>
  <si>
    <t>0.480587</t>
  </si>
  <si>
    <t>0.173697</t>
  </si>
  <si>
    <t>0.864640</t>
  </si>
  <si>
    <t>0.611332</t>
  </si>
  <si>
    <t>0.550951</t>
  </si>
  <si>
    <t>-0.932866</t>
  </si>
  <si>
    <t>0.367025</t>
  </si>
  <si>
    <t>0.420808</t>
  </si>
  <si>
    <t>0.680739</t>
  </si>
  <si>
    <t>-0.179726</t>
  </si>
  <si>
    <t>0.860272</t>
  </si>
  <si>
    <t>-0.222222</t>
  </si>
  <si>
    <t>-0.730297</t>
  </si>
  <si>
    <t>0.476867</t>
  </si>
  <si>
    <t>Country: España</t>
  </si>
  <si>
    <t>0.500754</t>
  </si>
  <si>
    <t>0.027484</t>
  </si>
  <si>
    <t>0.438914</t>
  </si>
  <si>
    <t>0.065355</t>
  </si>
  <si>
    <t>0.075415</t>
  </si>
  <si>
    <t>0.323857</t>
  </si>
  <si>
    <t>0.747538</t>
  </si>
  <si>
    <t>0.060332</t>
  </si>
  <si>
    <t>0.217693</t>
  </si>
  <si>
    <t>0.828598</t>
  </si>
  <si>
    <t>-0.010558</t>
  </si>
  <si>
    <t>-0.043753</t>
  </si>
  <si>
    <t>0.965192</t>
  </si>
  <si>
    <t>-0.043741</t>
  </si>
  <si>
    <t>-0.198855</t>
  </si>
  <si>
    <t>0.843182</t>
  </si>
  <si>
    <t>0.048266</t>
  </si>
  <si>
    <t>0.220977</t>
  </si>
  <si>
    <t>0.826051</t>
  </si>
  <si>
    <t>-0.063348</t>
  </si>
  <si>
    <t>-0.241701</t>
  </si>
  <si>
    <t>0.809942</t>
  </si>
  <si>
    <t>0.190045</t>
  </si>
  <si>
    <t>0.983989</t>
  </si>
  <si>
    <t>0.330655</t>
  </si>
  <si>
    <t>0.159879</t>
  </si>
  <si>
    <t>0.686064</t>
  </si>
  <si>
    <t>0.496066</t>
  </si>
  <si>
    <t>0.036199</t>
  </si>
  <si>
    <t>0.182267</t>
  </si>
  <si>
    <t>0.856030</t>
  </si>
  <si>
    <t>0.105581</t>
  </si>
  <si>
    <t>0.503550</t>
  </si>
  <si>
    <t>0.617212</t>
  </si>
  <si>
    <t>0.082956</t>
  </si>
  <si>
    <t>0.552144</t>
  </si>
  <si>
    <t>0.583303</t>
  </si>
  <si>
    <t>0.006033</t>
  </si>
  <si>
    <t>0.026318</t>
  </si>
  <si>
    <t>0.979091</t>
  </si>
  <si>
    <t>0.786349</t>
  </si>
  <si>
    <t>0.435843</t>
  </si>
  <si>
    <t>0.070890</t>
  </si>
  <si>
    <t>0.300351</t>
  </si>
  <si>
    <t>0.765084</t>
  </si>
  <si>
    <t>-0.004525</t>
  </si>
  <si>
    <t>-0.019607</t>
  </si>
  <si>
    <t>0.984422</t>
  </si>
  <si>
    <t>-0.015083</t>
  </si>
  <si>
    <t>-0.086459</t>
  </si>
  <si>
    <t>0.931388</t>
  </si>
  <si>
    <t>0.286576</t>
  </si>
  <si>
    <t>0.990407</t>
  </si>
  <si>
    <t>0.327292</t>
  </si>
  <si>
    <t>0.202112</t>
  </si>
  <si>
    <t>0.870520</t>
  </si>
  <si>
    <t>0.388651</t>
  </si>
  <si>
    <t>0.001508</t>
  </si>
  <si>
    <t>0.006460</t>
  </si>
  <si>
    <t>0.994861</t>
  </si>
  <si>
    <t>0.084465</t>
  </si>
  <si>
    <t>0.369826</t>
  </si>
  <si>
    <t>0.713151</t>
  </si>
  <si>
    <t>0.040724</t>
  </si>
  <si>
    <t>0.194073</t>
  </si>
  <si>
    <t>0.846868</t>
  </si>
  <si>
    <t>0.425339</t>
  </si>
  <si>
    <t>0.095178</t>
  </si>
  <si>
    <t>0.212670</t>
  </si>
  <si>
    <t>0.921957</t>
  </si>
  <si>
    <t>0.361416</t>
  </si>
  <si>
    <t>-0.019802</t>
  </si>
  <si>
    <t>0.984271</t>
  </si>
  <si>
    <t>0.165913</t>
  </si>
  <si>
    <t>0.872284</t>
  </si>
  <si>
    <t>0.387479</t>
  </si>
  <si>
    <t>-0.254902</t>
  </si>
  <si>
    <t>-0.995196</t>
  </si>
  <si>
    <t>0.324834</t>
  </si>
  <si>
    <t>0.033183</t>
  </si>
  <si>
    <t>0.139916</t>
  </si>
  <si>
    <t>0.889303</t>
  </si>
  <si>
    <t>0.144796</t>
  </si>
  <si>
    <t>0.657984</t>
  </si>
  <si>
    <t>0.513517</t>
  </si>
  <si>
    <t>0.052790</t>
  </si>
  <si>
    <t>0.193680</t>
  </si>
  <si>
    <t>0.847299</t>
  </si>
  <si>
    <t>0.193062</t>
  </si>
  <si>
    <t>0.964456</t>
  </si>
  <si>
    <t>0.339766</t>
  </si>
  <si>
    <t>-0.079940</t>
  </si>
  <si>
    <t>-0.349262</t>
  </si>
  <si>
    <t>0.728312</t>
  </si>
  <si>
    <t>0.051282</t>
  </si>
  <si>
    <t>0.270644</t>
  </si>
  <si>
    <t>0.787710</t>
  </si>
  <si>
    <t>0.256410</t>
  </si>
  <si>
    <t>0.191620</t>
  </si>
  <si>
    <t>-0.375566</t>
  </si>
  <si>
    <t>0.092808</t>
  </si>
  <si>
    <t>0.107089</t>
  </si>
  <si>
    <t>0.573225</t>
  </si>
  <si>
    <t>0.569139</t>
  </si>
  <si>
    <t>0.711903</t>
  </si>
  <si>
    <t>0.479936</t>
  </si>
  <si>
    <t>-0.242836</t>
  </si>
  <si>
    <t>-0.993553</t>
  </si>
  <si>
    <t>0.325547</t>
  </si>
  <si>
    <t>-0.174962</t>
  </si>
  <si>
    <t>-0.745723</t>
  </si>
  <si>
    <t>0.459403</t>
  </si>
  <si>
    <t>Country: México</t>
  </si>
  <si>
    <t>0.455711</t>
  </si>
  <si>
    <t>0.108906</t>
  </si>
  <si>
    <t>0.705128</t>
  </si>
  <si>
    <t>0.063441</t>
  </si>
  <si>
    <t>0.291376</t>
  </si>
  <si>
    <t>0.997000</t>
  </si>
  <si>
    <t>0.336867</t>
  </si>
  <si>
    <t>-0.059441</t>
  </si>
  <si>
    <t>-0.213093</t>
  </si>
  <si>
    <t>0.834765</t>
  </si>
  <si>
    <t>0.273893</t>
  </si>
  <si>
    <t>0.311162</t>
  </si>
  <si>
    <t>0.081585</t>
  </si>
  <si>
    <t>0.305520</t>
  </si>
  <si>
    <t>0.764815</t>
  </si>
  <si>
    <t>0.247086</t>
  </si>
  <si>
    <t>0.304820</t>
  </si>
  <si>
    <t>-0.249417</t>
  </si>
  <si>
    <t>-0.726493</t>
  </si>
  <si>
    <t>0.480338</t>
  </si>
  <si>
    <t>0.296037</t>
  </si>
  <si>
    <t>0.261689</t>
  </si>
  <si>
    <t>0.887764</t>
  </si>
  <si>
    <t>0.391040</t>
  </si>
  <si>
    <t>0.151515</t>
  </si>
  <si>
    <t>0.565659</t>
  </si>
  <si>
    <t>0.581118</t>
  </si>
  <si>
    <t>0.796037</t>
  </si>
  <si>
    <t>0.045989</t>
  </si>
  <si>
    <t>0.342657</t>
  </si>
  <si>
    <t>0.164944</t>
  </si>
  <si>
    <t>0.615385</t>
  </si>
  <si>
    <t>0.089598</t>
  </si>
  <si>
    <t>0.340326</t>
  </si>
  <si>
    <t>0.214650</t>
  </si>
  <si>
    <t>0.519814</t>
  </si>
  <si>
    <t>0.170883</t>
  </si>
  <si>
    <t>0.487179</t>
  </si>
  <si>
    <t>0.131724</t>
  </si>
  <si>
    <t>0.076923</t>
  </si>
  <si>
    <t>0.273686</t>
  </si>
  <si>
    <t>0.788443</t>
  </si>
  <si>
    <t>0.193473</t>
  </si>
  <si>
    <t>0.547089</t>
  </si>
  <si>
    <t>0.593397</t>
  </si>
  <si>
    <t>0.426573</t>
  </si>
  <si>
    <t>0.227981</t>
  </si>
  <si>
    <t>-0.018648</t>
  </si>
  <si>
    <t>-0.069344</t>
  </si>
  <si>
    <t>0.945674</t>
  </si>
  <si>
    <t>0.013986</t>
  </si>
  <si>
    <t>0.048897</t>
  </si>
  <si>
    <t>0.961708</t>
  </si>
  <si>
    <t>0.370629</t>
  </si>
  <si>
    <t>0.984397</t>
  </si>
  <si>
    <t>0.343078</t>
  </si>
  <si>
    <t>0.307692</t>
  </si>
  <si>
    <t>0.887324</t>
  </si>
  <si>
    <t>0.391203</t>
  </si>
  <si>
    <t>0.060606</t>
  </si>
  <si>
    <t>0.219997</t>
  </si>
  <si>
    <t>0.829116</t>
  </si>
  <si>
    <t>0.235431</t>
  </si>
  <si>
    <t>0.851345</t>
  </si>
  <si>
    <t>0.410203</t>
  </si>
  <si>
    <t>-0.095571</t>
  </si>
  <si>
    <t>-0.266631</t>
  </si>
  <si>
    <t>0.793886</t>
  </si>
  <si>
    <t>0.130536</t>
  </si>
  <si>
    <t>0.415693</t>
  </si>
  <si>
    <t>0.684547</t>
  </si>
  <si>
    <t>0.470862</t>
  </si>
  <si>
    <t>0.141148</t>
  </si>
  <si>
    <t>-0.055944</t>
  </si>
  <si>
    <t>-0.165969</t>
  </si>
  <si>
    <t>0.870557</t>
  </si>
  <si>
    <t>0.226107</t>
  </si>
  <si>
    <t>0.863051</t>
  </si>
  <si>
    <t>0.401941</t>
  </si>
  <si>
    <t>-0.046620</t>
  </si>
  <si>
    <t>-0.183053</t>
  </si>
  <si>
    <t>0.857489</t>
  </si>
  <si>
    <t>-0.310023</t>
  </si>
  <si>
    <t>0.198134</t>
  </si>
  <si>
    <t>0.424242</t>
  </si>
  <si>
    <t>0.126918</t>
  </si>
  <si>
    <t>-0.104895</t>
  </si>
  <si>
    <t>-0.385248</t>
  </si>
  <si>
    <t>0.706115</t>
  </si>
  <si>
    <t>0.195804</t>
  </si>
  <si>
    <t>0.760063</t>
  </si>
  <si>
    <t>0.461037</t>
  </si>
  <si>
    <t>0.533799</t>
  </si>
  <si>
    <t>0.078465</t>
  </si>
  <si>
    <t>-0.480186</t>
  </si>
  <si>
    <t>0.134930</t>
  </si>
  <si>
    <t>-0.137529</t>
  </si>
  <si>
    <t>-0.490651</t>
  </si>
  <si>
    <t>0.631624</t>
  </si>
  <si>
    <t>Comparison of Remote Work Effects by Country</t>
  </si>
  <si>
    <t>Effect in Argentina</t>
  </si>
  <si>
    <t>Effect in España</t>
  </si>
  <si>
    <t>Effect in México</t>
  </si>
  <si>
    <t>+0.50 (p=0.027)*</t>
  </si>
  <si>
    <t>+0.46 (not sig.)</t>
  </si>
  <si>
    <t>Yes - Significant for España only</t>
  </si>
  <si>
    <t>-0.17 (not sig.)</t>
  </si>
  <si>
    <t>+0.44 (not sig.)</t>
  </si>
  <si>
    <t>0.00 (not sig.)</t>
  </si>
  <si>
    <t>+0.08 (not sig.)</t>
  </si>
  <si>
    <t>+0.29 (not sig.)</t>
  </si>
  <si>
    <t>+0.80 (p=0.046)*</t>
  </si>
  <si>
    <t>Yes - Different directions, Significant for México only</t>
  </si>
  <si>
    <t>+0.22 (not sig.)</t>
  </si>
  <si>
    <t>+0.07 (not sig.)</t>
  </si>
  <si>
    <t>+0.52 (not sig.)</t>
  </si>
  <si>
    <t>+0.39 (not sig.)</t>
  </si>
  <si>
    <t>+0.43 (not sig.)</t>
  </si>
  <si>
    <t>+0.47 (not sig.)</t>
  </si>
  <si>
    <t>-0.39 (not sig.)</t>
  </si>
  <si>
    <t>+0.19 (not sig.)</t>
  </si>
  <si>
    <t>-0.31 (not sig.)</t>
  </si>
  <si>
    <t>-0.28 (not sig.)</t>
  </si>
  <si>
    <t>-0.38 (not sig.)</t>
  </si>
  <si>
    <t>-0.10 (not sig.)</t>
  </si>
  <si>
    <t>+0.53 (not sig.)</t>
  </si>
  <si>
    <t>-0.24 (not sig.)</t>
  </si>
  <si>
    <t>Overall</t>
  </si>
  <si>
    <t>Leaders (Role 1)</t>
  </si>
  <si>
    <t>Non-Leaders (Role 0)</t>
  </si>
  <si>
    <t>SW_D0 Company</t>
  </si>
  <si>
    <t>+0.42*</t>
  </si>
  <si>
    <t>+0.63</t>
  </si>
  <si>
    <t>+0.37*</t>
  </si>
  <si>
    <t>+0.59*</t>
  </si>
  <si>
    <t>+0.50*</t>
  </si>
  <si>
    <t>+0.46</t>
  </si>
  <si>
    <t>+0.45*</t>
  </si>
  <si>
    <t>+1.23*</t>
  </si>
  <si>
    <t>+0.24</t>
  </si>
  <si>
    <t>+0.72*</t>
  </si>
  <si>
    <t>+0.44</t>
  </si>
  <si>
    <t>+0.71</t>
  </si>
  <si>
    <t>+1.22*</t>
  </si>
  <si>
    <t>+0.06</t>
  </si>
  <si>
    <t>+0.61*</t>
  </si>
  <si>
    <t>+0.08</t>
  </si>
  <si>
    <t>+0.29</t>
  </si>
  <si>
    <t>+0.51*</t>
  </si>
  <si>
    <t>+1.30*</t>
  </si>
  <si>
    <t>+0.30</t>
  </si>
  <si>
    <t>+0.78*</t>
  </si>
  <si>
    <t>+0.11</t>
  </si>
  <si>
    <t>+0.80*</t>
  </si>
  <si>
    <t>+0.52*</t>
  </si>
  <si>
    <t>+0.13</t>
  </si>
  <si>
    <t>+0.35*</t>
  </si>
  <si>
    <t>+0.53*</t>
  </si>
  <si>
    <t>+0.16</t>
  </si>
  <si>
    <t>+0.34</t>
  </si>
  <si>
    <t>+0.47*</t>
  </si>
  <si>
    <t>+0.92</t>
  </si>
  <si>
    <t>+0.36</t>
  </si>
  <si>
    <t>+0.07</t>
  </si>
  <si>
    <t>+0.52</t>
  </si>
  <si>
    <t>+0.36*</t>
  </si>
  <si>
    <t>-0.04</t>
  </si>
  <si>
    <t>+0.56*</t>
  </si>
  <si>
    <t>+0.48</t>
  </si>
  <si>
    <t>+0.43</t>
  </si>
  <si>
    <t>+0.37</t>
  </si>
  <si>
    <t>+0.17</t>
  </si>
  <si>
    <t>+0.30*</t>
  </si>
  <si>
    <t>+0.58*</t>
  </si>
  <si>
    <t>+0.43*</t>
  </si>
  <si>
    <t>+0.78</t>
  </si>
  <si>
    <t>+0.34*</t>
  </si>
  <si>
    <t>+0.46*</t>
  </si>
  <si>
    <t>+0.14</t>
  </si>
  <si>
    <t>+0.47</t>
  </si>
  <si>
    <t>+0.26</t>
  </si>
  <si>
    <t>+0.19</t>
  </si>
  <si>
    <t>+0.23</t>
  </si>
  <si>
    <t>+0.39*</t>
  </si>
  <si>
    <t>+0.54*</t>
  </si>
  <si>
    <t>+0.42</t>
  </si>
  <si>
    <t>Summary of Significant Remote Work Benefits by Demographic Groups</t>
  </si>
  <si>
    <t>Row Labels</t>
  </si>
  <si>
    <t>Grand Total</t>
  </si>
  <si>
    <t>Count of ¿En qué país resides?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</si>
</sst>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:mm:ss"/>
  </numFmts>
  <fonts count="17" x14ac:knownFonts="1">
    <font>
      <sz val="10"/>
      <color rgb="FF000000"/>
      <name val="Arial"/>
      <scheme val="minor"/>
    </font>
    <font>
      <sz val="10"/>
      <color rgb="FFFFFFFF"/>
      <name val="Aptos Narrow"/>
    </font>
    <font>
      <sz val="10"/>
      <color rgb="FFFFFFFF"/>
      <name val="Arial"/>
    </font>
    <font>
      <sz val="10"/>
      <color rgb="FFFF0000"/>
      <name val="Aptos Narrow"/>
    </font>
    <font>
      <sz val="10"/>
      <color theme="1"/>
      <name val="Aptos Narrow"/>
    </font>
    <font>
      <sz val="11"/>
      <color theme="1"/>
      <name val="Aptos Narrow"/>
    </font>
    <font>
      <sz val="10"/>
      <color theme="1"/>
      <name val="Arial"/>
    </font>
    <font>
      <sz val="10"/>
      <color theme="1"/>
      <name val="Arial"/>
      <scheme val="minor"/>
    </font>
    <font>
      <b/>
      <sz val="10"/>
      <color theme="1"/>
      <name val="Arial"/>
    </font>
    <font>
      <b/>
      <sz val="10"/>
      <color rgb="FFFFFFFF"/>
      <name val="Arial"/>
    </font>
    <font>
      <sz val="10"/>
      <color rgb="FFFF0000"/>
      <name val="Arial"/>
    </font>
    <font>
      <b/>
      <sz val="10"/>
      <color rgb="FFFF0000"/>
      <name val="Arial"/>
    </font>
    <font>
      <b/>
      <sz val="10"/>
      <color rgb="FF000000"/>
      <name val="Arial"/>
      <scheme val="minor"/>
    </font>
    <font>
      <b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0">
    <fill>
      <patternFill patternType="none"/>
    </fill>
    <fill>
      <patternFill patternType="gray125"/>
    </fill>
    <fill>
      <patternFill patternType="solid">
        <fgColor rgb="FF5B3F86"/>
        <bgColor rgb="FF5B3F86"/>
      </patternFill>
    </fill>
    <fill>
      <patternFill patternType="solid">
        <fgColor rgb="FFFFFF00"/>
        <bgColor rgb="FFFFFF00"/>
      </patternFill>
    </fill>
    <fill>
      <patternFill patternType="solid">
        <fgColor rgb="FFF6B26B"/>
        <bgColor rgb="FFF6B26B"/>
      </patternFill>
    </fill>
    <fill>
      <patternFill patternType="solid">
        <fgColor rgb="FF00FFFF"/>
        <bgColor rgb="FF00FFFF"/>
      </patternFill>
    </fill>
    <fill>
      <patternFill patternType="solid">
        <fgColor rgb="FFCFE2F3"/>
        <bgColor rgb="FFCFE2F3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theme="5" tint="0.79998168889431442"/>
        <bgColor rgb="FF5B3F86"/>
      </patternFill>
    </fill>
    <fill>
      <patternFill patternType="solid">
        <fgColor theme="5" tint="0.79998168889431442"/>
        <bgColor rgb="FFCFE2F3"/>
      </patternFill>
    </fill>
    <fill>
      <patternFill patternType="solid">
        <fgColor theme="4" tint="0.79998168889431442"/>
        <bgColor rgb="FF5B3F86"/>
      </patternFill>
    </fill>
    <fill>
      <patternFill patternType="solid">
        <fgColor theme="4" tint="0.79998168889431442"/>
        <bgColor rgb="FFCFE2F3"/>
      </patternFill>
    </fill>
    <fill>
      <patternFill patternType="solid">
        <fgColor theme="4" tint="0.79998168889431442"/>
        <bgColor rgb="FFFCE5CD"/>
      </patternFill>
    </fill>
    <fill>
      <patternFill patternType="solid">
        <fgColor theme="4" tint="0.79998168889431442"/>
        <bgColor rgb="FFFFF2CC"/>
      </patternFill>
    </fill>
    <fill>
      <patternFill patternType="solid">
        <fgColor theme="4" tint="0.79998168889431442"/>
        <bgColor rgb="FFD9EAD3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rgb="FF5B3F86"/>
      </patternFill>
    </fill>
    <fill>
      <patternFill patternType="solid">
        <fgColor theme="7" tint="0.79998168889431442"/>
        <bgColor rgb="FFCFE2F3"/>
      </patternFill>
    </fill>
    <fill>
      <patternFill patternType="solid">
        <fgColor theme="7" tint="0.79998168889431442"/>
        <bgColor rgb="FFFCE5CD"/>
      </patternFill>
    </fill>
    <fill>
      <patternFill patternType="solid">
        <fgColor theme="7" tint="0.79998168889431442"/>
        <bgColor rgb="FFFFF2CC"/>
      </patternFill>
    </fill>
    <fill>
      <patternFill patternType="solid">
        <fgColor theme="7" tint="0.79998168889431442"/>
        <bgColor rgb="FFD9EAD3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C00000"/>
        <bgColor rgb="FF5B3F86"/>
      </patternFill>
    </fill>
    <fill>
      <patternFill patternType="solid">
        <fgColor rgb="FFC00000"/>
        <bgColor rgb="FFCFE2F3"/>
      </patternFill>
    </fill>
    <fill>
      <patternFill patternType="solid">
        <fgColor rgb="FFC00000"/>
        <bgColor rgb="FFFCE5CD"/>
      </patternFill>
    </fill>
    <fill>
      <patternFill patternType="solid">
        <fgColor rgb="FFC00000"/>
        <bgColor rgb="FFFFF2CC"/>
      </patternFill>
    </fill>
    <fill>
      <patternFill patternType="solid">
        <fgColor rgb="FFC00000"/>
        <bgColor rgb="FFD9EAD3"/>
      </patternFill>
    </fill>
    <fill>
      <patternFill patternType="solid">
        <fgColor rgb="FFC00000"/>
        <bgColor indexed="64"/>
      </patternFill>
    </fill>
  </fills>
  <borders count="11">
    <border>
      <left/>
      <right/>
      <top/>
      <bottom/>
      <diagonal/>
    </border>
    <border>
      <left style="thin">
        <color rgb="FF442F65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  <diagonal/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  <diagonal/>
    </border>
    <border>
      <left style="thin">
        <color rgb="FF442F65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442F65"/>
      </left>
      <right style="thin">
        <color rgb="FF5B3F86"/>
      </right>
      <top style="thin">
        <color rgb="FF442F65"/>
      </top>
      <bottom/>
      <diagonal/>
    </border>
  </borders>
  <cellStyleXfs count="1">
    <xf numFmtId="0" fontId="0" fillId="0" borderId="0"/>
  </cellStyleXfs>
  <cellXfs count="119">
    <xf numFmtId="0" fontId="0" fillId="0" borderId="0" xfId="0"/>
    <xf numFmtId="0" fontId="1" fillId="2" borderId="1" xfId="0" applyFont="1" applyFill="1" applyBorder="1"/>
    <xf numFmtId="0" fontId="2" fillId="3" borderId="1" xfId="0" applyFont="1" applyFill="1" applyBorder="1" applyAlignment="1">
      <alignment horizontal="center"/>
    </xf>
    <xf numFmtId="0" fontId="3" fillId="3" borderId="1" xfId="0" applyFont="1" applyFill="1" applyBorder="1"/>
    <xf numFmtId="0" fontId="1" fillId="4" borderId="1" xfId="0" applyFont="1" applyFill="1" applyBorder="1"/>
    <xf numFmtId="0" fontId="1" fillId="5" borderId="1" xfId="0" applyFont="1" applyFill="1" applyBorder="1"/>
    <xf numFmtId="164" fontId="4" fillId="6" borderId="2" xfId="0" applyNumberFormat="1" applyFont="1" applyFill="1" applyBorder="1" applyAlignment="1">
      <alignment horizontal="right"/>
    </xf>
    <xf numFmtId="0" fontId="4" fillId="6" borderId="3" xfId="0" applyFont="1" applyFill="1" applyBorder="1"/>
    <xf numFmtId="0" fontId="6" fillId="3" borderId="3" xfId="0" applyFont="1" applyFill="1" applyBorder="1" applyAlignment="1">
      <alignment horizontal="center"/>
    </xf>
    <xf numFmtId="0" fontId="4" fillId="3" borderId="3" xfId="0" applyFont="1" applyFill="1" applyBorder="1"/>
    <xf numFmtId="0" fontId="4" fillId="4" borderId="3" xfId="0" applyFont="1" applyFill="1" applyBorder="1"/>
    <xf numFmtId="0" fontId="4" fillId="5" borderId="3" xfId="0" applyFont="1" applyFill="1" applyBorder="1"/>
    <xf numFmtId="0" fontId="4" fillId="6" borderId="4" xfId="0" applyFont="1" applyFill="1" applyBorder="1"/>
    <xf numFmtId="164" fontId="4" fillId="6" borderId="5" xfId="0" applyNumberFormat="1" applyFont="1" applyFill="1" applyBorder="1" applyAlignment="1">
      <alignment horizontal="right"/>
    </xf>
    <xf numFmtId="0" fontId="4" fillId="6" borderId="6" xfId="0" applyFont="1" applyFill="1" applyBorder="1"/>
    <xf numFmtId="0" fontId="5" fillId="6" borderId="6" xfId="0" applyFont="1" applyFill="1" applyBorder="1"/>
    <xf numFmtId="0" fontId="4" fillId="3" borderId="6" xfId="0" applyFont="1" applyFill="1" applyBorder="1"/>
    <xf numFmtId="0" fontId="4" fillId="4" borderId="6" xfId="0" applyFont="1" applyFill="1" applyBorder="1"/>
    <xf numFmtId="0" fontId="4" fillId="5" borderId="6" xfId="0" applyFont="1" applyFill="1" applyBorder="1"/>
    <xf numFmtId="0" fontId="5" fillId="6" borderId="7" xfId="0" applyFont="1" applyFill="1" applyBorder="1"/>
    <xf numFmtId="0" fontId="4" fillId="6" borderId="0" xfId="0" applyFont="1" applyFill="1"/>
    <xf numFmtId="0" fontId="5" fillId="6" borderId="0" xfId="0" applyFont="1" applyFill="1"/>
    <xf numFmtId="0" fontId="4" fillId="3" borderId="0" xfId="0" applyFont="1" applyFill="1"/>
    <xf numFmtId="0" fontId="4" fillId="4" borderId="0" xfId="0" applyFont="1" applyFill="1"/>
    <xf numFmtId="0" fontId="4" fillId="5" borderId="0" xfId="0" applyFont="1" applyFill="1"/>
    <xf numFmtId="164" fontId="4" fillId="7" borderId="2" xfId="0" applyNumberFormat="1" applyFont="1" applyFill="1" applyBorder="1" applyAlignment="1">
      <alignment horizontal="right"/>
    </xf>
    <xf numFmtId="0" fontId="4" fillId="7" borderId="3" xfId="0" applyFont="1" applyFill="1" applyBorder="1"/>
    <xf numFmtId="0" fontId="4" fillId="7" borderId="0" xfId="0" applyFont="1" applyFill="1"/>
    <xf numFmtId="0" fontId="5" fillId="7" borderId="0" xfId="0" applyFont="1" applyFill="1"/>
    <xf numFmtId="164" fontId="4" fillId="7" borderId="5" xfId="0" applyNumberFormat="1" applyFont="1" applyFill="1" applyBorder="1" applyAlignment="1">
      <alignment horizontal="right"/>
    </xf>
    <xf numFmtId="0" fontId="4" fillId="7" borderId="6" xfId="0" applyFont="1" applyFill="1" applyBorder="1"/>
    <xf numFmtId="0" fontId="5" fillId="7" borderId="7" xfId="0" applyFont="1" applyFill="1" applyBorder="1"/>
    <xf numFmtId="0" fontId="4" fillId="7" borderId="4" xfId="0" applyFont="1" applyFill="1" applyBorder="1"/>
    <xf numFmtId="0" fontId="5" fillId="7" borderId="4" xfId="0" applyFont="1" applyFill="1" applyBorder="1"/>
    <xf numFmtId="0" fontId="4" fillId="7" borderId="7" xfId="0" applyFont="1" applyFill="1" applyBorder="1"/>
    <xf numFmtId="164" fontId="4" fillId="8" borderId="2" xfId="0" applyNumberFormat="1" applyFont="1" applyFill="1" applyBorder="1" applyAlignment="1">
      <alignment horizontal="right"/>
    </xf>
    <xf numFmtId="0" fontId="4" fillId="8" borderId="6" xfId="0" applyFont="1" applyFill="1" applyBorder="1"/>
    <xf numFmtId="0" fontId="4" fillId="8" borderId="3" xfId="0" applyFont="1" applyFill="1" applyBorder="1"/>
    <xf numFmtId="0" fontId="5" fillId="8" borderId="4" xfId="0" applyFont="1" applyFill="1" applyBorder="1"/>
    <xf numFmtId="164" fontId="4" fillId="8" borderId="5" xfId="0" applyNumberFormat="1" applyFont="1" applyFill="1" applyBorder="1" applyAlignment="1">
      <alignment horizontal="right"/>
    </xf>
    <xf numFmtId="0" fontId="4" fillId="8" borderId="0" xfId="0" applyFont="1" applyFill="1"/>
    <xf numFmtId="0" fontId="5" fillId="8" borderId="0" xfId="0" applyFont="1" applyFill="1"/>
    <xf numFmtId="0" fontId="4" fillId="8" borderId="4" xfId="0" applyFont="1" applyFill="1" applyBorder="1"/>
    <xf numFmtId="0" fontId="4" fillId="8" borderId="7" xfId="0" applyFont="1" applyFill="1" applyBorder="1"/>
    <xf numFmtId="0" fontId="5" fillId="8" borderId="6" xfId="0" applyFont="1" applyFill="1" applyBorder="1"/>
    <xf numFmtId="0" fontId="5" fillId="8" borderId="7" xfId="0" applyFont="1" applyFill="1" applyBorder="1"/>
    <xf numFmtId="164" fontId="4" fillId="9" borderId="5" xfId="0" applyNumberFormat="1" applyFont="1" applyFill="1" applyBorder="1" applyAlignment="1">
      <alignment horizontal="right"/>
    </xf>
    <xf numFmtId="0" fontId="4" fillId="9" borderId="6" xfId="0" applyFont="1" applyFill="1" applyBorder="1"/>
    <xf numFmtId="0" fontId="5" fillId="9" borderId="6" xfId="0" applyFont="1" applyFill="1" applyBorder="1"/>
    <xf numFmtId="0" fontId="5" fillId="9" borderId="0" xfId="0" applyFont="1" applyFill="1"/>
    <xf numFmtId="0" fontId="4" fillId="9" borderId="0" xfId="0" applyFont="1" applyFill="1"/>
    <xf numFmtId="0" fontId="5" fillId="9" borderId="7" xfId="0" applyFont="1" applyFill="1" applyBorder="1"/>
    <xf numFmtId="164" fontId="4" fillId="9" borderId="2" xfId="0" applyNumberFormat="1" applyFont="1" applyFill="1" applyBorder="1" applyAlignment="1">
      <alignment horizontal="right"/>
    </xf>
    <xf numFmtId="0" fontId="4" fillId="9" borderId="3" xfId="0" applyFont="1" applyFill="1" applyBorder="1"/>
    <xf numFmtId="0" fontId="5" fillId="9" borderId="3" xfId="0" applyFont="1" applyFill="1" applyBorder="1"/>
    <xf numFmtId="0" fontId="4" fillId="9" borderId="7" xfId="0" applyFont="1" applyFill="1" applyBorder="1"/>
    <xf numFmtId="0" fontId="5" fillId="9" borderId="4" xfId="0" applyFont="1" applyFill="1" applyBorder="1"/>
    <xf numFmtId="0" fontId="4" fillId="9" borderId="4" xfId="0" applyFont="1" applyFill="1" applyBorder="1"/>
    <xf numFmtId="0" fontId="6" fillId="3" borderId="6" xfId="0" applyFont="1" applyFill="1" applyBorder="1" applyAlignment="1">
      <alignment horizontal="center"/>
    </xf>
    <xf numFmtId="0" fontId="4" fillId="6" borderId="7" xfId="0" applyFont="1" applyFill="1" applyBorder="1"/>
    <xf numFmtId="0" fontId="5" fillId="6" borderId="4" xfId="0" applyFont="1" applyFill="1" applyBorder="1"/>
    <xf numFmtId="0" fontId="7" fillId="3" borderId="0" xfId="0" applyFont="1" applyFill="1" applyAlignment="1">
      <alignment horizontal="center"/>
    </xf>
    <xf numFmtId="0" fontId="7" fillId="3" borderId="0" xfId="0" applyFont="1" applyFill="1"/>
    <xf numFmtId="0" fontId="7" fillId="4" borderId="0" xfId="0" applyFont="1" applyFill="1"/>
    <xf numFmtId="0" fontId="7" fillId="5" borderId="0" xfId="0" applyFont="1" applyFill="1"/>
    <xf numFmtId="0" fontId="8" fillId="6" borderId="0" xfId="0" applyFont="1" applyFill="1" applyAlignment="1">
      <alignment horizontal="left"/>
    </xf>
    <xf numFmtId="0" fontId="1" fillId="2" borderId="8" xfId="0" applyFont="1" applyFill="1" applyBorder="1"/>
    <xf numFmtId="0" fontId="1" fillId="2" borderId="10" xfId="0" applyFont="1" applyFill="1" applyBorder="1"/>
    <xf numFmtId="0" fontId="4" fillId="0" borderId="9" xfId="0" applyFont="1" applyBorder="1"/>
    <xf numFmtId="0" fontId="0" fillId="0" borderId="9" xfId="0" applyBorder="1"/>
    <xf numFmtId="0" fontId="1" fillId="10" borderId="1" xfId="0" applyFont="1" applyFill="1" applyBorder="1"/>
    <xf numFmtId="0" fontId="4" fillId="11" borderId="3" xfId="0" applyFont="1" applyFill="1" applyBorder="1"/>
    <xf numFmtId="0" fontId="4" fillId="11" borderId="6" xfId="0" applyFont="1" applyFill="1" applyBorder="1"/>
    <xf numFmtId="0" fontId="4" fillId="11" borderId="0" xfId="0" applyFont="1" applyFill="1"/>
    <xf numFmtId="0" fontId="1" fillId="12" borderId="1" xfId="0" applyFont="1" applyFill="1" applyBorder="1"/>
    <xf numFmtId="0" fontId="4" fillId="13" borderId="3" xfId="0" applyFont="1" applyFill="1" applyBorder="1"/>
    <xf numFmtId="0" fontId="4" fillId="13" borderId="6" xfId="0" applyFont="1" applyFill="1" applyBorder="1"/>
    <xf numFmtId="0" fontId="4" fillId="13" borderId="0" xfId="0" applyFont="1" applyFill="1"/>
    <xf numFmtId="0" fontId="4" fillId="14" borderId="0" xfId="0" applyFont="1" applyFill="1"/>
    <xf numFmtId="0" fontId="4" fillId="14" borderId="6" xfId="0" applyFont="1" applyFill="1" applyBorder="1"/>
    <xf numFmtId="0" fontId="4" fillId="14" borderId="3" xfId="0" applyFont="1" applyFill="1" applyBorder="1"/>
    <xf numFmtId="0" fontId="4" fillId="15" borderId="3" xfId="0" applyFont="1" applyFill="1" applyBorder="1"/>
    <xf numFmtId="0" fontId="4" fillId="15" borderId="6" xfId="0" applyFont="1" applyFill="1" applyBorder="1"/>
    <xf numFmtId="0" fontId="4" fillId="16" borderId="6" xfId="0" applyFont="1" applyFill="1" applyBorder="1"/>
    <xf numFmtId="0" fontId="4" fillId="16" borderId="3" xfId="0" applyFont="1" applyFill="1" applyBorder="1"/>
    <xf numFmtId="0" fontId="0" fillId="17" borderId="0" xfId="0" applyFill="1"/>
    <xf numFmtId="0" fontId="1" fillId="18" borderId="1" xfId="0" applyFont="1" applyFill="1" applyBorder="1"/>
    <xf numFmtId="0" fontId="4" fillId="19" borderId="3" xfId="0" applyFont="1" applyFill="1" applyBorder="1"/>
    <xf numFmtId="0" fontId="4" fillId="19" borderId="6" xfId="0" applyFont="1" applyFill="1" applyBorder="1"/>
    <xf numFmtId="0" fontId="4" fillId="19" borderId="0" xfId="0" applyFont="1" applyFill="1"/>
    <xf numFmtId="0" fontId="4" fillId="20" borderId="0" xfId="0" applyFont="1" applyFill="1"/>
    <xf numFmtId="0" fontId="4" fillId="20" borderId="6" xfId="0" applyFont="1" applyFill="1" applyBorder="1"/>
    <xf numFmtId="0" fontId="4" fillId="20" borderId="3" xfId="0" applyFont="1" applyFill="1" applyBorder="1"/>
    <xf numFmtId="0" fontId="4" fillId="21" borderId="3" xfId="0" applyFont="1" applyFill="1" applyBorder="1"/>
    <xf numFmtId="0" fontId="4" fillId="21" borderId="6" xfId="0" applyFont="1" applyFill="1" applyBorder="1"/>
    <xf numFmtId="0" fontId="4" fillId="22" borderId="6" xfId="0" applyFont="1" applyFill="1" applyBorder="1"/>
    <xf numFmtId="0" fontId="4" fillId="22" borderId="3" xfId="0" applyFont="1" applyFill="1" applyBorder="1"/>
    <xf numFmtId="0" fontId="0" fillId="23" borderId="0" xfId="0" applyFill="1"/>
    <xf numFmtId="0" fontId="1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vertical="center" wrapText="1"/>
    </xf>
    <xf numFmtId="0" fontId="13" fillId="0" borderId="0" xfId="0" applyFont="1"/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vertical="center" wrapText="1"/>
    </xf>
    <xf numFmtId="3" fontId="14" fillId="0" borderId="0" xfId="0" applyNumberFormat="1" applyFont="1" applyAlignment="1">
      <alignment vertical="center" wrapText="1"/>
    </xf>
    <xf numFmtId="0" fontId="1" fillId="24" borderId="1" xfId="0" applyFont="1" applyFill="1" applyBorder="1"/>
    <xf numFmtId="0" fontId="4" fillId="25" borderId="3" xfId="0" applyFont="1" applyFill="1" applyBorder="1"/>
    <xf numFmtId="0" fontId="4" fillId="25" borderId="6" xfId="0" applyFont="1" applyFill="1" applyBorder="1"/>
    <xf numFmtId="0" fontId="4" fillId="25" borderId="0" xfId="0" applyFont="1" applyFill="1"/>
    <xf numFmtId="0" fontId="4" fillId="26" borderId="0" xfId="0" applyFont="1" applyFill="1"/>
    <xf numFmtId="0" fontId="4" fillId="26" borderId="6" xfId="0" applyFont="1" applyFill="1" applyBorder="1"/>
    <xf numFmtId="0" fontId="4" fillId="26" borderId="3" xfId="0" applyFont="1" applyFill="1" applyBorder="1"/>
    <xf numFmtId="0" fontId="4" fillId="27" borderId="3" xfId="0" applyFont="1" applyFill="1" applyBorder="1"/>
    <xf numFmtId="0" fontId="4" fillId="27" borderId="6" xfId="0" applyFont="1" applyFill="1" applyBorder="1"/>
    <xf numFmtId="0" fontId="4" fillId="28" borderId="6" xfId="0" applyFont="1" applyFill="1" applyBorder="1"/>
    <xf numFmtId="0" fontId="4" fillId="28" borderId="3" xfId="0" applyFont="1" applyFill="1" applyBorder="1"/>
    <xf numFmtId="0" fontId="0" fillId="29" borderId="0" xfId="0" applyFill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milo Daza" refreshedDate="45786.370592129628" createdVersion="8" refreshedVersion="8" minRefreshableVersion="3" recordCount="232" xr:uid="{A4BE1354-66D3-4455-A457-BAD431F4C678}">
  <cacheSource type="worksheet">
    <worksheetSource ref="B1:CP233" sheet="Datos"/>
  </cacheSource>
  <cacheFields count="93">
    <cacheField name="¿En qué país resides?" numFmtId="0">
      <sharedItems/>
    </cacheField>
    <cacheField name="Tu edad está dentro del rango:" numFmtId="0">
      <sharedItems/>
    </cacheField>
    <cacheField name="¿Tu género es?" numFmtId="0">
      <sharedItems/>
    </cacheField>
    <cacheField name="Indica tu nivel de estudios:" numFmtId="0">
      <sharedItems/>
    </cacheField>
    <cacheField name="Indica los años de experiencia trabajando en empresas de desarrollo de software:" numFmtId="0">
      <sharedItems/>
    </cacheField>
    <cacheField name="Por favor indica el puesto que ocupabas cuando trabajabas presencialmente en la empresa:" numFmtId="0">
      <sharedItems/>
    </cacheField>
    <cacheField name="Por favor indica el puesto que ocupas actualmente en la empresa:" numFmtId="0">
      <sharedItems/>
    </cacheField>
    <cacheField name="Tamaño de la compañía" numFmtId="0">
      <sharedItems/>
    </cacheField>
    <cacheField name="Tipo de empresa:" numFmtId="0">
      <sharedItems/>
    </cacheField>
    <cacheField name="Tu empresa es:" numFmtId="0">
      <sharedItems/>
    </cacheField>
    <cacheField name="¿En tu trabajo te comunicas con personas de distintos países?" numFmtId="0">
      <sharedItems/>
    </cacheField>
    <cacheField name="NIVEL HOMEOFFICE" numFmtId="0">
      <sharedItems/>
    </cacheField>
    <cacheField name="¿Cuántos días a la semana trabajas desde casa actualmente?" numFmtId="0">
      <sharedItems/>
    </cacheField>
    <cacheField name="¿Cuántos días a la semana vas a la oficina actualmente?" numFmtId="0">
      <sharedItems/>
    </cacheField>
    <cacheField name="¿Qué modalidad de trabajo prefieres?" numFmtId="0">
      <sharedItems/>
    </cacheField>
    <cacheField name="La modalidad que actualmente tienes fue:" numFmtId="0">
      <sharedItems/>
    </cacheField>
    <cacheField name="Trabajo la misma cantidad de horas que cuando trabajaba todos los días en la oficina" numFmtId="0">
      <sharedItems/>
    </cacheField>
    <cacheField name="El intercambio de conocimiento con mis compañeros de proyecto es ahora:" numFmtId="0">
      <sharedItems/>
    </cacheField>
    <cacheField name="La comunicación en general con mis compañeros de proyecto es ahora" numFmtId="0">
      <sharedItems/>
    </cacheField>
    <cacheField name="La comunicación con mis jefes es ahora" numFmtId="0">
      <sharedItems/>
    </cacheField>
    <cacheField name="Tus horarios de trabajo ahora son:" numFmtId="0">
      <sharedItems/>
    </cacheField>
    <cacheField name="Mis reuniones ahora son:" numFmtId="0">
      <sharedItems/>
    </cacheField>
    <cacheField name="El cansancio después de una reunión online es ahora:" numFmtId="0">
      <sharedItems/>
    </cacheField>
    <cacheField name="Siento que mi rendimiento ahora es:" numFmtId="0">
      <sharedItems/>
    </cacheField>
    <cacheField name="Siento que la productividad de mi equipo es:" numFmtId="0">
      <sharedItems/>
    </cacheField>
    <cacheField name="Siento que la capacidad de mi equipo para cumplir hitos es:" numFmtId="0">
      <sharedItems/>
    </cacheField>
    <cacheField name="Siento que mi concentración cuando estoy trabajando es:" numFmtId="0">
      <sharedItems/>
    </cacheField>
    <cacheField name="Siento que la velocidad de mi conexión a Internet es" numFmtId="0">
      <sharedItems count="5">
        <s v="Mucho Mejor que cuando iba todos los días a la oficina"/>
        <s v="Igual que cuando iba todos los días a la oficina"/>
        <s v="Mayor que cuando iba todos los días a la oficina"/>
        <s v="Mucho menor que cuando iba todos los días a la oficina"/>
        <s v="Menor que cuando iba todos los días a la oficina"/>
      </sharedItems>
    </cacheField>
    <cacheField name="Siento que la eficiencia de la conexión a Internet me influye:" numFmtId="0">
      <sharedItems count="5">
        <s v="Mejora mucho mi desempeño en el trabajo"/>
        <s v="Mejora mi desempeño en el trabajo"/>
        <s v="No me influye"/>
        <s v="Negativamente a la hora de desempeñar mi trabajo"/>
        <s v="Muy Negativamente a la hora de desempeñar mi trabajo"/>
      </sharedItems>
    </cacheField>
    <cacheField name="Las herramientas de comunicación (Teams, Zoom, Slack,...) utilizadas por mi empresa, desde casa:" numFmtId="0">
      <sharedItems count="4">
        <s v="Mejoran mi productividad"/>
        <s v="No afectan a mi productividad"/>
        <s v="Mejoran mucho mi productividad"/>
        <s v="Disminuyen mi productividad"/>
      </sharedItems>
    </cacheField>
    <cacheField name="Siento que la facilidad para compartir conocimiento ahora es: " numFmtId="0">
      <sharedItems/>
    </cacheField>
    <cacheField name="Siento que el impacto de la rotación de personal en la empresa ahora es: " numFmtId="0">
      <sharedItems count="6">
        <s v="Mucho mayor que cuando iba todos los días a la oficina"/>
        <s v="Mayor que cuando iba todos los días a la oficina"/>
        <s v="Igual que cuando iba todos los días a la oficina"/>
        <s v="No tengo la información para contestar a la pregunta"/>
        <s v="Menor que cuando iba todos los días a la oficina"/>
        <s v="Mucho menor que cuando iba todos los días a la oficina"/>
      </sharedItems>
    </cacheField>
    <cacheField name="Siento que la falta de compromiso por parte de los empleados, afecta a la productividad:" numFmtId="0">
      <sharedItems/>
    </cacheField>
    <cacheField name="Siento que el hecho de trabajar con personas de distintas culturas afecta a la productividad:" numFmtId="0">
      <sharedItems/>
    </cacheField>
    <cacheField name="Siento que el hecho de trabajar con personas que tienen otros horarios afecta a la productividad" numFmtId="0">
      <sharedItems/>
    </cacheField>
    <cacheField name="Siento que el hecho de trabajar con personas que se encuentran geográficamente distribuidas afecta a la productividad:" numFmtId="0">
      <sharedItems/>
    </cacheField>
    <cacheField name="Siento que la falta de confianza entre los miembros del equipo afecta la productividad" numFmtId="0">
      <sharedItems/>
    </cacheField>
    <cacheField name="Siento que la falta de colaboración entre los miembros del equipo afecta la productividad:" numFmtId="0">
      <sharedItems/>
    </cacheField>
    <cacheField name="Siento que la falta de relaciones personales entre los miembros del equipo afecta la productividad:" numFmtId="0">
      <sharedItems/>
    </cacheField>
    <cacheField name="Siento que la falta de cohesión y de espíritu de grupo afecta la productividad" numFmtId="0">
      <sharedItems/>
    </cacheField>
    <cacheField name="Siento que los problemas de liderazgo afectan la productividad" numFmtId="0">
      <sharedItems/>
    </cacheField>
    <cacheField name="Siento que el nivel de la definición de los requisitos de software y su calidad son ahora:" numFmtId="0">
      <sharedItems/>
    </cacheField>
    <cacheField name="Siento que el control de los cambios de los requisitos es ahora:" numFmtId="0">
      <sharedItems/>
    </cacheField>
    <cacheField name="Siento que la cantidad de personal cualificado en la empresa es ahora:" numFmtId="0">
      <sharedItems/>
    </cacheField>
    <cacheField name="Siento que mi nivel de estrés es:" numFmtId="0">
      <sharedItems/>
    </cacheField>
    <cacheField name="Siento que mi nivel de confianza para enfrentarme a los retos del trabajo es: " numFmtId="0">
      <sharedItems/>
    </cacheField>
    <cacheField name="Siento que mis reacciones de enojo o molestia ahora son:" numFmtId="0">
      <sharedItems/>
    </cacheField>
    <cacheField name="Siento que mi nivel de frustración con relación al trabajo es: " numFmtId="0">
      <sharedItems/>
    </cacheField>
    <cacheField name="Siento que el nivel de presión por terminar las tareas ahora es:" numFmtId="0">
      <sharedItems/>
    </cacheField>
    <cacheField name="Siento que la flexibilidad de mi trabajo ahora es:" numFmtId="0">
      <sharedItems/>
    </cacheField>
    <cacheField name="Siento que los problemas tecnológicos ahora son:" numFmtId="0">
      <sharedItems/>
    </cacheField>
    <cacheField name="Siento que la facilidad para trabajar en equipos distribuidos es:" numFmtId="0">
      <sharedItems/>
    </cacheField>
    <cacheField name="Siento que los problemas que aparecen por las diferencias culturales ahora son:" numFmtId="0">
      <sharedItems/>
    </cacheField>
    <cacheField name="Siento que la aplicación de metodología ágiles ahora es:" numFmtId="0">
      <sharedItems/>
    </cacheField>
    <cacheField name="Siento que los problemas de comunicación ahora son:" numFmtId="0">
      <sharedItems/>
    </cacheField>
    <cacheField name="Siento que los problemas por usar distintos idiomas ahora son:" numFmtId="0">
      <sharedItems/>
    </cacheField>
    <cacheField name="Siento que el hecho de trabajar con personas que tienen otros horarios afecta a mi estrés:" numFmtId="0">
      <sharedItems/>
    </cacheField>
    <cacheField name="Siento que la generación de confianza entre los miembros del equipo ahora es:" numFmtId="0">
      <sharedItems/>
    </cacheField>
    <cacheField name="Siento que las interrupciones externas ahora son:" numFmtId="0">
      <sharedItems/>
    </cacheField>
    <cacheField name="Siento que ahora mi manejo del tiempo en general es:" numFmtId="0">
      <sharedItems/>
    </cacheField>
    <cacheField name="Siento que la falta de compañerismo ahora es:" numFmtId="0">
      <sharedItems/>
    </cacheField>
    <cacheField name="Siento que los problemas de coordinación afectan a mi estrés:" numFmtId="0">
      <sharedItems/>
    </cacheField>
    <cacheField name="Siento que los problemas vinculados con la gestión del proyecto ahora son:" numFmtId="0">
      <sharedItems/>
    </cacheField>
    <cacheField name="Siento que la asignación de tareas entre los miembros del equipo ahora es:" numFmtId="0">
      <sharedItems/>
    </cacheField>
    <cacheField name="Siento que mi nivel de motivación en el trabajo es:" numFmtId="0">
      <sharedItems/>
    </cacheField>
    <cacheField name="Mi concentración ahora cuando estoy trabajando es:" numFmtId="0">
      <sharedItems/>
    </cacheField>
    <cacheField name="Mi comodidad ahora cuando estoy trabajando es:" numFmtId="0">
      <sharedItems/>
    </cacheField>
    <cacheField name="Mi seguridad/ confianza a la hora de preguntar a un compañero ahora es:" numFmtId="0">
      <sharedItems/>
    </cacheField>
    <cacheField name="Mi confianza para hacer preguntas a un superior ahora es:" numFmtId="0">
      <sharedItems/>
    </cacheField>
    <cacheField name="Mi habilidad para resolver problemas ahora es:" numFmtId="0">
      <sharedItems/>
    </cacheField>
    <cacheField name="En términos de disfrute en el trabajo siento que ahora es:" numFmtId="0">
      <sharedItems/>
    </cacheField>
    <cacheField name="Siento que el nivel de interés hacia mi trabajo ahora es: " numFmtId="0">
      <sharedItems/>
    </cacheField>
    <cacheField name="Siento que la falta de conocimiento sobre el rol de cada miembro del equipo ahora es:" numFmtId="0">
      <sharedItems/>
    </cacheField>
    <cacheField name="Siento que mi empresa me aprecia:" numFmtId="0">
      <sharedItems/>
    </cacheField>
    <cacheField name="Siento que las acciones de motivación de personal de mi empresa son:" numFmtId="0">
      <sharedItems/>
    </cacheField>
    <cacheField name="Siento que la calidad del desarrollo de software es ahora:" numFmtId="0">
      <sharedItems/>
    </cacheField>
    <cacheField name="Siento que el equilibrio vida personal - trabajo es ahora:" numFmtId="0">
      <sharedItems/>
    </cacheField>
    <cacheField name="Siento que ahora la retroalimentación que recibo por parte de mis compañeros y superiores es:" numFmtId="0">
      <sharedItems/>
    </cacheField>
    <cacheField name="Siento que mi nivel de aburrimiento en el trabajo es ahora:" numFmtId="0">
      <sharedItems/>
    </cacheField>
    <cacheField name="Siento que mi nivel de atención a cada individuo es ahora:" numFmtId="0">
      <sharedItems/>
    </cacheField>
    <cacheField name="Siento que mi miedo a perder el trabajo es ahora:" numFmtId="0">
      <sharedItems/>
    </cacheField>
    <cacheField name="Siento que el ambiente de trabajo ahora es:" numFmtId="0">
      <sharedItems/>
    </cacheField>
    <cacheField name="Siento que mi nivel de influencia en mi equipo de trabajo es ahora:" numFmtId="0">
      <sharedItems/>
    </cacheField>
    <cacheField name="Siento que la facilidad para desarrollar relaciones personales entre los compañeros de trabajo es ahora" numFmtId="0">
      <sharedItems/>
    </cacheField>
    <cacheField name="Siento que la participación de los miembros en los proyectos de mi equipo es ahora:" numFmtId="0">
      <sharedItems/>
    </cacheField>
    <cacheField name="Siento que el nivel de autonomía en el trabajo es ahora" numFmtId="0">
      <sharedItems/>
    </cacheField>
    <cacheField name="Siento que el nivel de relaciones conflictivas entre compañeros es ahora:" numFmtId="0">
      <sharedItems/>
    </cacheField>
    <cacheField name="Siento que los problemas relacionados con el liderazgo compartido son ahora:" numFmtId="0">
      <sharedItems/>
    </cacheField>
    <cacheField name="El sentimiento de pertenencia a mi empresa es ahora" numFmtId="0">
      <sharedItems/>
    </cacheField>
    <cacheField name="Siento que mi creatividad es:" numFmtId="0">
      <sharedItems/>
    </cacheField>
    <cacheField name="Correo electrónico para recibir resultados (opcional)" numFmtId="0">
      <sharedItems containsBlank="1"/>
    </cacheField>
    <cacheField name="Tam_Empresa" numFmtId="0">
      <sharedItems/>
    </cacheField>
    <cacheField name="Lead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2">
  <r>
    <s v="Argentina"/>
    <s v="&lt;35 años"/>
    <s v="Masculino"/>
    <s v="Universitarios completo"/>
    <s v="5-10 años"/>
    <s v="Desarrollador de Software"/>
    <s v="Líder Técnico "/>
    <s v="&gt;500 empleados."/>
    <s v="Empresa que desarrolla software a medida partiendo desde cero"/>
    <s v="Multinacional"/>
    <s v="Muy Frecuentemente"/>
    <s v="Alto"/>
    <s v="&gt;5 días"/>
    <s v="Ninguno"/>
    <s v="Remota ( todos los días en casa)"/>
    <s v="Consensuada por las dos partes"/>
    <s v="En desacuerdo"/>
    <s v="Igual que cuando iba todos los días a la oficina"/>
    <s v="Igual que cuando iba todos los días a la oficina"/>
    <s v="Mayor que cuando iba todos los días a la oficina"/>
    <s v="Diferentes que cuando iba todos los días a la oficina, ahora necesito menos horas para hacer lo mismo"/>
    <s v="Todas por videoconferencia"/>
    <s v="Igual que cuando eran en la oficina"/>
    <s v="Mayor que cuando iba todos los días a la oficina"/>
    <s v="Mayor que cuando iba todos los días a la oficina"/>
    <s v="Mayor que cuando iba todos los días a la oficina"/>
    <s v="Mucho Mayor que cuando iba todos los días a la oficina"/>
    <x v="0"/>
    <x v="0"/>
    <x v="0"/>
    <s v="Menor que cuando iba todos los días a la oficina"/>
    <x v="0"/>
    <s v="Igual que cuando iba todos los días a la oficina"/>
    <s v="Igual que cuando iba todos los días a la oficina"/>
    <s v="Mucho menos que cuando iba todos los días a la oficina"/>
    <s v="Mucho menos que cuando iba todos los días a la oficina"/>
    <s v="Más que cuando iba todos los días a la oficina"/>
    <s v="Igual que cuando iba todos los días a la oficina"/>
    <s v="Mas que cuando iba todos los días a la oficina"/>
    <s v="Igual que cuando iba todos los días a la oficina"/>
    <s v="Mas que cuando iba todos los días a la oficina"/>
    <s v="Mayores que cuando iba todos los días a la oficina"/>
    <s v="Mucho Mayor que cuando iba todos los días a la oficina"/>
    <s v="Mucho Mayor que cuando iba todos los días a la oficina"/>
    <s v="Igual que cuando iba todos los días a la oficina"/>
    <s v="Mayor que cuando iba todos los días a la oficina"/>
    <s v="Menor que cuando iba todos los días a la oficina"/>
    <s v="Menor que cuando iba todos los días a la oficina"/>
    <s v="Mayor que cuando iba todos los días a la oficina"/>
    <s v="Mucho mayor que cuando iba todos los días a la oficina"/>
    <s v="Menores que cuando iba todos los días a la oficina"/>
    <s v="Mucho mayor que cuando iba todos los días a la oficina"/>
    <s v="Iguales que cuando iba todos los días a la oficina"/>
    <s v="Mucho mayor que cuando iba todos los días a la oficina"/>
    <s v="Menores que cuando iba todos los días a la oficina"/>
    <s v="Menores que cuando iba todos los días a la oficina"/>
    <s v="Igual que cuando iba todos los días a la oficina"/>
    <s v="Menor que cuando iba todos los días a la oficina"/>
    <s v="Mayores que cuando iba todos los días a la oficina"/>
    <s v="Mucho mayor que cuando iba todos los días a la oficina"/>
    <s v="Menor que cuando iba todos los días a la oficina"/>
    <s v="Igual que cuando iba todos los días a la oficina"/>
    <s v="Iguales que cuando iba todos los días a la oficina"/>
    <s v="Mejor que cuando iba todos los días a la oficina"/>
    <s v="Mucho Mayor que cuando iba todos los días a la oficina"/>
    <s v="Mayor que cuando iba todos los días a la oficina"/>
    <s v="Mayor que cuando iba todos los días a la oficina"/>
    <s v="Menor que cuando iba todos los días a la oficina"/>
    <s v="Mayor que cuando iba todos los días a la oficina"/>
    <s v="Igual que cuando iba todos los días a la oficina"/>
    <s v="Mucho Mayor que cuando iba todos los días a la oficina"/>
    <s v="Igual que cuando iba todos los días a la oficina"/>
    <s v="Mayor que cuando iba todos los días a la oficina"/>
    <s v="Menos que cuando iba todos los días a la oficina"/>
    <s v="Iguales que cuando iba todos los días a la oficina"/>
    <s v="Mayor que cuando iba todos los días a la oficina"/>
    <s v="Mucho Mayor que cuando iba todos los días a la oficina"/>
    <s v="Mayor que cuando iba todos los días a la oficina"/>
    <s v="Menor que cuando iba todos los días a la oficina"/>
    <s v="Mayor que cuando iba todos los días a la oficina"/>
    <s v="Mayor que cuando iba todos los días a la oficina"/>
    <s v="Igual que cuando iba todos los días a la oficina"/>
    <s v="Menor que cuando iba todos los días a la oficina"/>
    <s v="Menor que cuando iba todos los días a la oficina"/>
    <s v="Mayor que cuando iba todos los días a la oficina"/>
    <s v="Mucho Mayor que cuando iba todos los días a la oficina"/>
    <s v="Mucho menor que cuando iba todos los días a la oficina"/>
    <s v="Menores que cuando iba todos los días a la oficina"/>
    <s v="Igual que cuando iba todos los días a la oficina"/>
    <s v="Igual que cuando iba todos los días a la oficina"/>
    <s v="juan.delafuente@fi.uncoma.edu.ar"/>
    <s v="301+ empleados"/>
    <n v="1"/>
  </r>
  <r>
    <s v="Argentina"/>
    <s v="&lt;35 años"/>
    <s v="Femenino"/>
    <s v="Universitarios"/>
    <s v="&lt;5 años"/>
    <s v="Ing. En yacimiento digital"/>
    <s v="Developer"/>
    <s v="&gt;500 empleados."/>
    <s v="Empresa que desarrolla software a medida partiendo desde cero"/>
    <s v="Multinacional"/>
    <s v="A veces"/>
    <s v="Alto"/>
    <s v="&gt;5 días"/>
    <s v="Ninguno"/>
    <s v="Remota ( todos los días en casa)"/>
    <s v="Consensuada por las dos partes"/>
    <s v="En desacuerdo"/>
    <s v="Igual que cuando iba todos los días a la oficina"/>
    <s v="Igual que cuando iba todos los días a la oficina"/>
    <s v="Igual que cuando iba todos los días a la oficina"/>
    <s v="Muy diferentes que cuando iba todos los días a la oficina, ahora necesito muchas menos horas para hacer lo mismo"/>
    <s v="Todas por videoconferencia"/>
    <s v="Igual que cuando eran en la oficina"/>
    <s v="Mayor que cuando iba todos los días a la oficina"/>
    <s v="Mucho Mayor que cuando iba todos los días a la oficina"/>
    <s v="Mucho Mayor que cuando iba todos los días a la oficina"/>
    <s v="Mucho Mayor que cuando iba todos los días a la oficina"/>
    <x v="1"/>
    <x v="1"/>
    <x v="1"/>
    <s v="Mayor que cuando iba todos los días a la oficina"/>
    <x v="1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Menos que cuando iba todos los días a la oficina"/>
    <s v="Igual que cuando iba todos los días a la oficina"/>
    <s v="Igual que cuando iba todos los días a la oficina"/>
    <s v="Igual que cuando iba todos los días a la oficina"/>
    <s v="Mayores que cuando iba todos los días a la oficina"/>
    <s v="Igual que cuando iba todos los días a la oficina"/>
    <s v="Mayor que cuando iba todos los días a la oficina"/>
    <s v="Menor que cuando iba todos los días a la oficina"/>
    <s v="Mayor que cuando iba todos los días a la oficina"/>
    <s v="Igual que cuando iba todos los días a la oficina"/>
    <s v="Menor que cuando iba todos los días a la oficina"/>
    <s v="Igual que cuando iba todos los días a la oficina"/>
    <s v="Mucho mayor que cuando iba todos los días a la oficina"/>
    <s v="Iguales que cuando iba todos los días a la oficina"/>
    <s v="Mayor que cuando iba todos los días a la oficina"/>
    <s v="No hay diferencias culturales en mi equipo"/>
    <s v="Mayor que cuando iba todos los días a la oficina"/>
    <s v="Iguales que cuando iba todos los días a la oficina"/>
    <s v="No tengo que utilizar diferentes idiomas en mi trabajo"/>
    <s v="No trabajo con personas con distintos horarios"/>
    <s v="Igual que cuando iba todos los días a la oficina"/>
    <s v="Mucho menores que cuando iba todos los días a la oficina"/>
    <s v="Mucho mayor que cuando iba todos los días a la oficina"/>
    <s v="Menor que cuando iba todos los días a la oficina"/>
    <s v="Mucho menos que cuando iba todos los días a la oficina"/>
    <s v="Iguales que cuando iba todos los días a la oficina"/>
    <s v="Mejor que cuando iba todos los días a la oficina"/>
    <s v="Mayor que cuando iba todos los días a la oficina"/>
    <s v="Mucho Mayor que cuando iba todos los días a la oficina"/>
    <s v="Mucho mayor que cuando iba todos los días a la oficina"/>
    <s v="Mayor que cuando iba todos los días a la oficina"/>
    <s v="Igual que cuando iba todos los días a la oficina"/>
    <s v="Mayor que cuando iba todos los días a la oficina"/>
    <s v="Mayor que cuando iba todos los días a la oficina"/>
    <s v="Igual que cuando iba todos los días a la oficina"/>
    <s v="Menor que cuando iba todos los días a la oficina"/>
    <s v="Igual que cuando iba todos los días a la oficina"/>
    <s v="Iguales que cuando iba todos los días a la oficina"/>
    <s v="Mayor que cuando iba todos los días a la oficina"/>
    <s v="Mucho Mayor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Mejor que cuando iba todos los días a la oficina"/>
    <s v="Igual que cuando iba todos los días a la oficina"/>
    <s v="Igual que cuando iba todos los días a la oficina"/>
    <s v="Igual que cuando iba todos los días a la oficina"/>
    <s v="Mucho Mayor que cuando iba todos los días a la oficina"/>
    <s v="Igual que cuando iba todos los días a la oficina"/>
    <s v="Iguales que cuando iba todos los días a la oficina"/>
    <s v="Igual que cuando iba todos los días a la oficina"/>
    <s v="Igual que cuando iba todos los días a la oficina"/>
    <m/>
    <s v="301+ empleados"/>
    <n v="0"/>
  </r>
  <r>
    <s v="Argentina"/>
    <s v="&lt;35 años"/>
    <s v="Femenino"/>
    <s v="universitario"/>
    <s v="21-30 años"/>
    <s v="Referente IT"/>
    <s v="COO"/>
    <s v="&lt;50 empleados"/>
    <s v="Empresa que desarrolla software a medida partiendo desde cero"/>
    <s v="Multinacional"/>
    <s v="Casi Nunca"/>
    <s v="Alto"/>
    <s v="&gt;5 días"/>
    <s v="Ninguno"/>
    <s v="Remota ( todos los días en casa)"/>
    <s v="Decidida por ti"/>
    <s v="En desacuerdo"/>
    <s v="Mayor que cuando iba todos los días a la oficina"/>
    <s v="Mayor que cuando iba todos los días a la oficina"/>
    <s v="Mayor que cuando iba todos los días a la oficina"/>
    <s v="Diferentes que cuando iba todos los días a la oficina, ahora necesito menos horas para hacer lo mismo"/>
    <s v="Casi todas por videoconferencia"/>
    <s v="Menor que cuando eran en la oficina"/>
    <s v="Mayor que cuando iba todos los días a la oficina"/>
    <s v="Mucho Mayor que cuando iba todos los días a la oficina"/>
    <s v="Mucho Mayor que cuando iba todos los días a la oficina"/>
    <s v="Mayor que cuando iba todos los días a la oficina"/>
    <x v="0"/>
    <x v="0"/>
    <x v="1"/>
    <s v="Igual que cuando iba todos los días a la oficina"/>
    <x v="2"/>
    <s v="Igual que cuando iba todos los días a la oficina"/>
    <s v="No trabajo con personas de distintas culturas"/>
    <s v="Mucho menos que cuando iba todos los días a la oficina"/>
    <s v="Mucho menos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Menores que cuando iba todos los días a la oficina"/>
    <s v="Igual que cuando iba todos los días a la oficina"/>
    <s v="Igual que cuando iba todos los días a la oficina"/>
    <s v="Mucho menor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Mucho mayor que cuando iba todos los días a la oficina"/>
    <s v="Mucho menores que cuando iba todos los días a la oficina"/>
    <s v="Mucho menor que cuando iba todos los días a la oficina"/>
    <s v="No hay diferencias culturales en mi equipo"/>
    <s v="Mayor que cuando iba todos los días a la oficina"/>
    <s v="Iguales que cuando iba todos los días a la oficina"/>
    <s v="No tengo que utilizar diferentes idiomas en mi trabajo"/>
    <s v="Menos que cuando iba todos los días a la oficina"/>
    <s v="Igual que cuando iba todos los días a la oficina"/>
    <s v="Mucho menores que cuando iba todos los días a la oficina"/>
    <s v="Mucho mayor que cuando iba todos los días a la oficina"/>
    <s v="Menor que cuando iba todos los días a la oficina"/>
    <s v="Menos que cuando iba todos los días a la oficina"/>
    <s v="Menores que cuando iba todos los días a la oficina"/>
    <s v="Igual que cuando iba todos los días a la oficina"/>
    <s v="Mayor que cuando iba todos los días a la oficina"/>
    <s v="Mayor que cuando iba todos los días a la oficina"/>
    <s v="Mayor que cuando iba todos los días a la oficina"/>
    <s v="Igual que cuando iba todos los días a la oficina"/>
    <s v="Igual que cuando iba todos los días a la oficina"/>
    <s v="Igual que cuando iba todos los días a la oficina"/>
    <s v="Mayor que cuando iba todos los días a la oficina"/>
    <s v="Igual que cuando iba todos los días a la oficina"/>
    <s v="Igual que cuando iba todos los días a la oficina"/>
    <s v="Menos que cuando iba todos los días a la oficina"/>
    <s v="Iguales que cuando iba todos los días a la oficina"/>
    <s v="Mayor que cuando iba todos los días a la oficina"/>
    <s v="Mucho Mayor que cuando iba todos los días a la oficina"/>
    <s v="Mayor que cuando iba todos los días a la oficina"/>
    <s v="Menor que cuando iba todos los días a la oficina"/>
    <s v="Menor que cuando iba todos los días a la oficina"/>
    <s v="Menor que cuando iba todos los días a la oficina"/>
    <s v="Mejor que cuando iba todos los días a la oficina"/>
    <s v="Mayor que cuando iba todos los días a la oficina"/>
    <s v="Igual que cuando iba todos los días a la oficina"/>
    <s v="Mayor que cuando iba todos los días a la oficina"/>
    <s v="Mayor que cuando iba todos los días a la oficina"/>
    <s v="Menor que cuando iba todos los días a la oficina"/>
    <s v="Menores que cuando iba todos los días a la oficina"/>
    <s v="Menor que cuando iba todos los días a la oficina"/>
    <s v="Mayor que cuando iba todos los días a la oficina"/>
    <s v="baeza.natalia@gmail.com"/>
    <s v="&lt;301 empleados"/>
    <n v="1"/>
  </r>
  <r>
    <s v="Argentina"/>
    <s v="&lt;35 años"/>
    <s v="Masculino"/>
    <s v="Universitario completo"/>
    <s v="5-10 años"/>
    <s v="Software Engineer"/>
    <s v="Senior Software Engineer"/>
    <s v="51-150 empleados"/>
    <s v="Empresa que desarrolla software a medida partiendo desde cero"/>
    <s v="Multinacional"/>
    <s v="Frecuentemente"/>
    <s v="Alto"/>
    <s v="&gt;5 días"/>
    <s v="Ninguno"/>
    <s v="Remota ( todos los días en casa)"/>
    <s v="Impuesta por la empresa"/>
    <s v="De acuerdo"/>
    <s v="Mucho mayor que cuando iba todos los días a la oficina"/>
    <s v="Menor que cuando iba todos los días a la oficina"/>
    <s v="Igual que cuando iba todos los días a la oficina"/>
    <s v="Iguales que cuando iba todos los días a la oficina"/>
    <s v="Todas por videoconferencia"/>
    <s v="Mucho menor que cuando eran en la oficina"/>
    <s v="Mucho Mayor que cuando iba todos los días a la oficina"/>
    <s v="Mayor que cuando iba todos los días a la oficina"/>
    <s v="Mayor que cuando iba todos los días a la oficina"/>
    <s v="Mucho Mayor que cuando iba todos los días a la oficina"/>
    <x v="0"/>
    <x v="2"/>
    <x v="2"/>
    <s v="Mucho mayor que cuando iba todos los días a la oficina"/>
    <x v="2"/>
    <s v="Igual que cuando iba todos los días a la oficina"/>
    <s v="Mucho menos que cuando iba todos los días a la oficina"/>
    <s v="Mucho menos que cuando iba todos los días a la oficina"/>
    <s v="Mucho menos que cuando iba todos los días a la oficina"/>
    <s v="No tengo la información para contestar a la pregunta"/>
    <s v="Igual que cuando iba todos los días a la oficina"/>
    <s v="Mucho menos que cuando iba todos los días a la oficina"/>
    <s v="Igual que cuando iba todos los días a la oficina"/>
    <s v="Igual que cuando iba todos los días a la oficina"/>
    <s v="Mayores que cuando iba todos los días a la oficina"/>
    <s v="Mayor que cuando iba todos los días a la oficina"/>
    <s v="Igual que cuando iba todos los días a la oficina"/>
    <s v="Mucho menor que cuando iba todos los días a la oficina"/>
    <s v="Mucho Mayor que cuando iba todos los días a la oficina"/>
    <s v="Mucho menor que cuando iba todos los días a la oficina"/>
    <s v="Mucho menor que cuando iba todos los días a la oficina"/>
    <s v="Igual que cuando iba todos los días a la oficina"/>
    <s v="Mayor que cuando iba todos los días a la oficina"/>
    <s v="Menores que cuando iba todos los días a la oficina"/>
    <s v="Mayor que cuando iba todos los días a la oficina"/>
    <s v="Menores que cuando iba todos los días a la oficina"/>
    <s v="Igual que cuando iba todos los días a la oficina"/>
    <s v="Iguales que cuando iba todos los días a la oficina"/>
    <s v="Mucho menores que cuando iba todos los días a la oficina"/>
    <s v="Menos que cuando iba todos los días a la oficina"/>
    <s v="Igual que cuando iba todos los días a la oficina"/>
    <s v="Mucho menores que cuando iba todos los días a la oficina"/>
    <s v="Mucho mayor que cuando iba todos los días a la oficina"/>
    <s v="Igual que cuando iba todos los días a la oficina"/>
    <s v="Igual que cuando iba todos los días a la oficina"/>
    <s v="Iguales que cuando iba todos los días a la oficina"/>
    <s v="Igual que cuando iba todos los días a la oficina"/>
    <s v="Mucho Mayor que cuando iba todos los días a la oficina"/>
    <s v="Igual que cuando iba todos los días a la oficina"/>
    <s v="Mucho mayor que cuando iba todos los días a la oficina"/>
    <s v="Mucho Mayor que cuando iba todos los días a la oficina"/>
    <s v="Igual que cuando iba todos los días a la oficina"/>
    <s v="Mucho Mayor que cuando iba todos los días a la oficina"/>
    <s v="Mucho Mayor que cuando iba todos los días a la oficina"/>
    <s v="Menor que cuando iba todos los días a la oficina"/>
    <s v="Mayor que cuando iba todos los días a la oficina"/>
    <s v="Igual que cuando iba todos los días a la oficina"/>
    <s v="Iguales que cuando iba todos los días a la oficina"/>
    <s v="Mucho Mayor que cuando iba todos los días a la oficina"/>
    <s v="Mucho Mayor que cuando iba todos los días a la oficina"/>
    <s v="Igual que cuando iba todos los días a la oficina"/>
    <s v="Menor que cuando iba todos los días a la oficina"/>
    <s v="Igual que cuando iba todos los días a la oficina"/>
    <s v="Mayor que cuando iba todos los días a la oficina"/>
    <s v="Mejor que cuando iba todos los días a la oficina"/>
    <s v="Menor que cuando iba todos los días a la oficina"/>
    <s v="Mucho menor que cuando iba todos los días a la oficina"/>
    <s v="Igual que cuando iba todos los días a la oficina"/>
    <s v="Mayor que cuando iba todos los días a la oficina"/>
    <s v="Igual que cuando iba todos los días a la oficina"/>
    <s v="Iguales que cuando iba todos los días a la oficina"/>
    <s v="Igual que cuando iba todos los días a la oficina"/>
    <s v="Mucho mayor que cuando iba todos los días a la oficina"/>
    <m/>
    <s v="&lt;301 empleados"/>
    <n v="0"/>
  </r>
  <r>
    <s v="Colombia"/>
    <s v="&lt;35 años"/>
    <s v="Masculino"/>
    <s v="Magister"/>
    <s v="11-20 años"/>
    <s v="Arquitecto de Datos"/>
    <s v="Arquitecto de Datos"/>
    <s v="&gt;500 empleados."/>
    <s v="Empresa que subcontrata (outsourcing) los servicios de otra del mismo país"/>
    <s v="Nacional (múltiples sedes en el mismo país)"/>
    <s v="A veces"/>
    <s v="Alto"/>
    <s v="&gt;5 días"/>
    <s v="Ninguno"/>
    <s v="Híbrida casa (más días en casa que en la oficina)"/>
    <s v="Decidida por ti"/>
    <s v="Totalmente de acuerdo"/>
    <s v="Menor que cuando iba todos los días a la oficina"/>
    <s v="Igual que cuando iba todos los días a la oficina"/>
    <s v="Igual que cuando iba todos los días a la oficina"/>
    <s v="Iguales que cuando iba todos los días a la oficina"/>
    <s v="Todas por videoconferencia"/>
    <s v="Igual que cuando eran en la oficina"/>
    <s v="Igual que cuando iba todos los días a la oficina"/>
    <s v="Igual que cuando iba todos los días a la oficina"/>
    <s v="Menor que cuando iba todos los días a la oficina"/>
    <s v="Igual que cuando iba todos los días a la oficina"/>
    <x v="0"/>
    <x v="0"/>
    <x v="1"/>
    <s v="Mayor que cuando iba todos los días a la oficina"/>
    <x v="1"/>
    <s v="Más que cuando iba todos los días a la oficina"/>
    <s v="Igual que cuando iba todos los días a la oficina"/>
    <s v="Mucho más que cuando iba todos los días a la oficina"/>
    <s v="Mucho más que cuando iba todos los días a la oficina"/>
    <s v="Igual que cuando iba todos los días a la oficina"/>
    <s v="Igual que cuando iba todos los días a la oficina"/>
    <s v="Mas que cuando iba todos los días a la oficina"/>
    <s v="Mas que cuando iba todos los días a la oficina"/>
    <s v="Mucho mas que cuando iba todos los días a la oficina"/>
    <s v="Menores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Mucho mayor que cuando iba todos los días a la oficina"/>
    <s v="Iguales que cuando iba todos los días a la oficina"/>
    <s v="Mucho mayor que cuando iba todos los días a la oficina"/>
    <s v="Iguales que cuando iba todos los días a la oficina"/>
    <s v="Igual que cuando iba todos los días a la oficina"/>
    <s v="Mayores que cuando iba todos los días a la oficina"/>
    <s v="Iguales que cuando iba todos los días a la oficina"/>
    <s v="Más que cuando iba todos los días a la oficina"/>
    <s v="Igual que cuando iba todos los días a la oficina"/>
    <s v="Iguales que cuando iba todos los días a la oficina"/>
    <s v="Mayor que cuando iba todos los días a la oficina"/>
    <s v="Igual que cuando iba todos los días a la oficina"/>
    <s v="Mucho más que cuando iba todos los días a la oficina"/>
    <s v="Iguales que cuando iba todos los días a la oficina"/>
    <s v="Igual que cuando iba todos los días a la oficina"/>
    <s v="Igual que cuando iba todos los días a la oficina"/>
    <s v="Igual que cuando iba todos los días a la oficina"/>
    <s v="Mucho mayor que cuando iba todos los días a la oficina"/>
    <s v="Igual que cuando iba todos los días a la oficina"/>
    <s v="Igual que cuando iba todos los días a la oficina"/>
    <s v="Igual que cuando iba todos los días a la oficina"/>
    <s v="Mucho Mayor que cuando iba todos los días a la oficina"/>
    <s v="Igual que cuando iba todos los días a la oficina"/>
    <s v="Igual que cuando iba todos los días a la oficina"/>
    <s v="Igual que cuando iba todos los días a la oficina"/>
    <s v="Iguales que cuando iba todos los días a la oficina"/>
    <s v="Igual que cuando iba todos los días a la oficina"/>
    <s v="Mucho Mayor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es que cuando iba todos los días a la oficina"/>
    <s v="Igual que cuando iba todos los días a la oficina"/>
    <s v="Mayor que cuando iba todos los días a la oficina"/>
    <s v="e.jayo@uniandes.edu.co"/>
    <s v="301+ empleados"/>
    <n v="0"/>
  </r>
  <r>
    <s v="Colombia"/>
    <s v="&lt;35 años"/>
    <s v="Masculino"/>
    <s v="Pregrado"/>
    <s v="5-10 años"/>
    <s v="Backend Developer"/>
    <s v="Software Engineer"/>
    <s v="51-150 empleados"/>
    <s v="Empresa que subcontrata (outsourcing) los servicios de otra empresa situada en otro país"/>
    <s v="Multinacional"/>
    <s v="Casi Nunca"/>
    <s v="Alto"/>
    <s v="&gt;5 días"/>
    <s v="Ninguno"/>
    <s v="Remota ( todos los días en casa)"/>
    <s v="Impuesta por la empresa"/>
    <s v="Totalmente en desacuerdo"/>
    <s v="Menor que cuando iba todos los días a la oficina"/>
    <s v="Mucho Mayor que cuando iba todos los días a la oficina"/>
    <s v="Mucho Mayor que cuando iba todos los días a la oficina"/>
    <s v="Muy diferentes que cuando iba todos los días a la oficina, ahora necesito muchas menos horas para hacer lo mismo"/>
    <s v="Todas por videoconferencia"/>
    <s v="Mucho menor que cuando eran en la oficina"/>
    <s v="Mucho Mayor que cuando iba todos los días a la oficina"/>
    <s v="Mucho Mayor que cuando iba todos los días a la oficina"/>
    <s v="Mucho Mayor que cuando iba todos los días a la oficina"/>
    <s v="Menor que cuando iba todos los días a la oficina"/>
    <x v="0"/>
    <x v="0"/>
    <x v="3"/>
    <s v="Igual que cuando iba todos los días a la oficina"/>
    <x v="3"/>
    <s v="Mucho menos que cuando iba todos los días a la oficina"/>
    <s v="Más que cuando iba todos los días a la oficina"/>
    <s v="Más que cuando iba todos los días a la oficina"/>
    <s v="Menos que cuando iba todos los días a la oficina"/>
    <s v="Mucho más que cuando iba todos los días a la oficina"/>
    <s v="Mas que cuando iba todos los días a la oficina"/>
    <s v="Mucho más que cuando iba todos los días a la oficina"/>
    <s v="Igual que cuando iba todos los días a la oficina"/>
    <s v="Igual que cuando iba todos los días a la oficina"/>
    <s v="Iguales que cuando iba todos los días a la oficina"/>
    <s v="Igual que cuando iba todos los días a la oficina"/>
    <s v="Mucho Mayor que cuando iba todos los días a la oficina"/>
    <s v="Mucho menor que cuando iba todos los días a la oficina"/>
    <s v="Mucho Mayor que cuando iba todos los días a la oficina"/>
    <s v="Mucho menor que cuando iba todos los días a la oficina"/>
    <s v="Mucho menor que cuando iba todos los días a la oficina"/>
    <s v="Mucho menor que cuando iba todos los días a la oficina"/>
    <s v="Mucho mayor que cuando iba todos los días a la oficina"/>
    <s v="Mucho menores que cuando iba todos los días a la oficina"/>
    <s v="Mucho mayor que cuando iba todos los días a la oficina"/>
    <s v="Iguales que cuando iba todos los días a la oficina"/>
    <s v="Mucho mayor que cuando iba todos los días a la oficina"/>
    <s v="Mayores que cuando iba todos los días a la oficina"/>
    <s v="No tengo que utilizar diferentes idiomas en mi trabajo"/>
    <s v="Más que cuando iba todos los días a la oficina"/>
    <s v="Menor que cuando iba todos los días a la oficina"/>
    <s v="Mucho menores que cuando iba todos los días a la oficina"/>
    <s v="Mucho mayor que cuando iba todos los días a la oficina"/>
    <s v="Igual que cuando iba todos los días a la oficina"/>
    <s v="Mucho menos que cuando iba todos los días a la oficina"/>
    <s v="Menores que cuando iba todos los días a la oficina"/>
    <s v="Mucho mejor que cuando iba todos los días a la oficina"/>
    <s v="Mucho Mayor que cuando iba todos los días a la oficina"/>
    <s v="Igual que cuando iba todos los días a la oficina"/>
    <s v="Mucho mayor que cuando iba todos los días a la oficina"/>
    <s v="Mucho Mayor que cuando iba todos los días a la oficina"/>
    <s v="Mucho Mayor que cuando iba todos los días a la oficina"/>
    <s v="Mucho Mayor que cuando iba todos los días a la oficina"/>
    <s v="Mucho Mayor que cuando iba todos los días a la oficina"/>
    <s v="Mucho menor que cuando iba todos los días a la oficina"/>
    <s v="Mucho menor que cuando iba todos los días a la oficina"/>
    <s v="Mucho menos que cuando iba todos los días a la oficina"/>
    <s v="Mucho menores que cuando iba todos los días a la oficina"/>
    <s v="Mucho Mayor que cuando iba todos los días a la oficina"/>
    <s v="Mucho Mayor que cuando iba todos los días a la oficina"/>
    <s v="Igual que cuando iba todos los días a la oficina"/>
    <s v="Mucho menor que cuando iba todos los días a la oficina"/>
    <s v="Menor que cuando iba todos los días a la oficina"/>
    <s v="Mayor que cuando iba todos los días a la oficina"/>
    <s v="Mucho Mejor que cuando iba todos los días a la oficina"/>
    <s v="Mucho Mayor que cuando iba todos los días a la oficina"/>
    <s v="Mucho menor que cuando iba todos los días a la oficina"/>
    <s v="Mucho menor que cuando iba todos los días a la oficina"/>
    <s v="Mucho Mayor que cuando iba todos los días a la oficina"/>
    <s v="Mucho menor que cuando iba todos los días a la oficina"/>
    <s v="Mucho menores que cuando iba todos los días a la oficina"/>
    <s v="Mucho menor que cuando iba todos los días a la oficina"/>
    <s v="Mucho mayor que cuando iba todos los días a la oficina"/>
    <m/>
    <s v="&lt;301 empleados"/>
    <n v="0"/>
  </r>
  <r>
    <s v="Colombia"/>
    <s v="&lt;35 años"/>
    <s v="Masculino"/>
    <s v="Profesional"/>
    <s v="5-10 años"/>
    <s v="Desarollador junior"/>
    <s v="Líder técnico de desarrollo"/>
    <s v="151-300 empleados"/>
    <s v="Empresa que desarrolla software a medida partiendo desde cero"/>
    <s v="Local"/>
    <s v="Casi Nunca"/>
    <s v="Alto"/>
    <s v="&gt;5 días"/>
    <s v="Ninguno"/>
    <s v="Remota ( todos los días en casa)"/>
    <s v="Impuesta por la empresa"/>
    <s v="Totalmente en desacuerdo"/>
    <s v="Igual que cuando iba todos los días a la oficina"/>
    <s v="Igual que cuando iba todos los días a la oficina"/>
    <s v="Igual que cuando iba todos los días a la oficina"/>
    <s v="Iguales que cuando iba todos los días a la oficina"/>
    <s v="Todas por videoconferencia"/>
    <s v="Igual que cuando eran en la oficina"/>
    <s v="Mayor que cuando iba todos los días a la oficina"/>
    <s v="Mucho Mayor que cuando iba todos los días a la oficina"/>
    <s v="Mayor que cuando iba todos los días a la oficina"/>
    <s v="Mayor que cuando iba todos los días a la oficina"/>
    <x v="1"/>
    <x v="1"/>
    <x v="0"/>
    <s v="Igual que cuando iba todos los días a la oficina"/>
    <x v="2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es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es que cuando iba todos los días a la oficina"/>
    <s v="Igual que cuando iba todos los días a la oficina"/>
    <s v="Iguales que cuando iba todos los días a la oficina"/>
    <s v="Mayor que cuando iba todos los días a la oficina"/>
    <s v="Iguales que cuando iba todos los días a la oficina"/>
    <s v="Iguales que cuando iba todos los días a la oficina"/>
    <s v="Igual que cuando iba todos los días a la oficina"/>
    <s v="Igual que cuando iba todos los días a la oficina"/>
    <s v="Iguales que cuando iba todos los días a la oficina"/>
    <s v="Igual que cuando iba todos los días a la oficina"/>
    <s v="Igual que cuando iba todos los días a la oficina"/>
    <s v="Igual que cuando iba todos los días a la oficina"/>
    <s v="Iguales que cuando iba todos los días a la oficina"/>
    <s v="Igual que cuando iba todos los días a la oficina"/>
    <s v="Igual que cuando iba todos los días a la oficina"/>
    <s v="Mayor que cuando iba todos los días a la oficina"/>
    <s v="Mayor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es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es que cuando iba todos los días a la oficina"/>
    <s v="Igual que cuando iba todos los días a la oficina"/>
    <s v="Igual que cuando iba todos los días a la oficina"/>
    <s v="de.escobarc1@uniandes.edu.co"/>
    <s v="&lt;301 empleados"/>
    <n v="1"/>
  </r>
  <r>
    <s v="Colombia"/>
    <s v="&lt;35 años"/>
    <s v="Masculino"/>
    <s v="Postgrado"/>
    <s v="5-10 años"/>
    <s v="Desarrollador de Software"/>
    <s v="Tech Lead"/>
    <s v="301-500 empleados"/>
    <s v="Fábrica de Software"/>
    <s v="Local"/>
    <s v="Casi Nunca"/>
    <s v="Alto"/>
    <s v="&gt;5 días"/>
    <s v="Ninguno"/>
    <s v="Remota ( todos los días en casa)"/>
    <s v="Consensuada por las dos partes"/>
    <s v="De acuerdo"/>
    <s v="Igual que cuando iba todos los días a la oficina"/>
    <s v="Igual que cuando iba todos los días a la oficina"/>
    <s v="Igual que cuando iba todos los días a la oficina"/>
    <s v="Iguales que cuando iba todos los días a la oficina"/>
    <s v="Casi todas por videoconferencia"/>
    <s v="Menor que cuando eran en la oficina"/>
    <s v="Mayor que cuando iba todos los días a la oficina"/>
    <s v="Igual que cuando iba todos los días a la oficina"/>
    <s v="Igual que cuando iba todos los días a la oficina"/>
    <s v="Igual que cuando iba todos los días a la oficina"/>
    <x v="0"/>
    <x v="1"/>
    <x v="1"/>
    <s v="Igual que cuando iba todos los días a la oficina"/>
    <x v="4"/>
    <s v="Igual que cuando iba todos los días a la oficina"/>
    <s v="Igual que cuando iba todos los días a la oficina"/>
    <s v="No trabajo con personas con un horario distinto al mío"/>
    <s v="Igual que cuando iba todos los días a la oficina"/>
    <s v="No tengo la información para contestar a la pregunta"/>
    <s v="Menos que cuando iba todos los días a la oficina"/>
    <s v="Igual que cuando iba todos los días a la oficina"/>
    <s v="Igual que cuando iba todos los días a la oficina"/>
    <s v="Igual que cuando iba todos los días a la oficina"/>
    <s v="Iguales que cuando iba todos los días a la oficina"/>
    <s v="Igual que cuando iba todos los días a la oficina"/>
    <s v="Igual que cuando iba todos los días a la oficina"/>
    <s v="Menor que cuando iba todos los días a la oficina"/>
    <s v="Mayor que cuando iba todos los días a la oficina"/>
    <s v="Menor que cuando iba todos los días a la oficina"/>
    <s v="Menor que cuando iba todos los días a la oficina"/>
    <s v="Igual que cuando iba todos los días a la oficina"/>
    <s v="Mucho mayor que cuando iba todos los días a la oficina"/>
    <s v="Mucho menores que cuando iba todos los días a la oficina"/>
    <s v="Igual que cuando iba todos los días a la oficina"/>
    <s v="No hay diferencias culturales en mi equipo"/>
    <s v="Igual que cuando iba todos los días a la oficina"/>
    <s v="Iguales que cuando iba todos los días a la oficina"/>
    <s v="No tengo que utilizar diferentes idiomas en mi trabajo"/>
    <s v="No trabajo con personas con distintos horarios"/>
    <s v="Igual que cuando iba todos los días a la oficina"/>
    <s v="Mucho menores que cuando iba todos los días a la oficina"/>
    <s v="Mucho mayor que cuando iba todos los días a la oficina"/>
    <s v="Igual que cuando iba todos los días a la oficina"/>
    <s v="No tengo la información para contestar a la pregunta"/>
    <s v="Iguales que cuando iba todos los días a la oficina"/>
    <s v="Igual que cuando iba todos los días a la oficina"/>
    <s v="Mucho Mayor que cuando iba todos los días a la oficina"/>
    <s v="Mucho Mayor que cuando iba todos los días a la oficina"/>
    <s v="Mucho mayor que cuando iba todos los días a la oficina"/>
    <s v="Mayor que cuando iba todos los días a la oficina"/>
    <s v="Igual que cuando iba todos los días a la oficina"/>
    <s v="Mayor que cuando iba todos los días a la oficina"/>
    <s v="Mucho Mayor que cuando iba todos los días a la oficina"/>
    <s v="Mucho Mayor que cuando iba todos los días a la oficina"/>
    <s v="Igual que cuando iba todos los días a la oficina"/>
    <s v="Igual que cuando iba todos los días a la oficina"/>
    <s v="Menores que cuando iba todos los días a la oficina"/>
    <s v="Igual que cuando iba todos los días a la oficina"/>
    <s v="Mayor que cuando iba todos los días a la oficina"/>
    <s v="Igual que cuando iba todos los días a la oficina"/>
    <s v="Menor que cuando iba todos los días a la oficina"/>
    <s v="Igual que cuando iba todos los días a la oficina"/>
    <s v="Igual que cuando iba todos los días a la oficina"/>
    <s v="Mejor que cuando iba todos los días a la oficina"/>
    <s v="Igual que cuando iba todos los días a la oficina"/>
    <s v="Igual que cuando iba todos los días a la oficina"/>
    <s v="Igual que cuando iba todos los días a la oficina"/>
    <s v="Mucho Mayor que cuando iba todos los días a la oficina"/>
    <s v="Mucho menor que cuando iba todos los días a la oficina"/>
    <s v="Iguales que cuando iba todos los días a la oficina"/>
    <s v="Igual que cuando iba todos los días a la oficina"/>
    <s v="Mucho mayor que cuando iba todos los días a la oficina"/>
    <s v="xavigonpa@gmail.com"/>
    <s v="301+ empleados"/>
    <n v="1"/>
  </r>
  <r>
    <s v="Colombia"/>
    <s v="&lt;35 años"/>
    <s v="Masculino"/>
    <s v="Maestria"/>
    <s v="5-10 años"/>
    <s v="Desarrollador de Software"/>
    <s v="Software Designer"/>
    <s v="&gt;500 empleados."/>
    <s v="Fábrica de Software"/>
    <s v="Multinacional"/>
    <s v="Muy Frecuentemente"/>
    <s v="Alto"/>
    <s v="&gt;5 días"/>
    <s v="Ninguno"/>
    <s v="Remota ( todos los días en casa)"/>
    <s v="Decidida por ti"/>
    <s v="Totalmente de acuerdo"/>
    <s v="Igual que cuando iba todos los días a la oficina"/>
    <s v="Igual que cuando iba todos los días a la oficina"/>
    <s v="Igual que cuando iba todos los días a la oficina"/>
    <s v="Iguales que cuando iba todos los días a la oficina"/>
    <s v="Todas por videoconferencia"/>
    <s v="Mucho Mayor que cuando eran en la oficina"/>
    <s v="Mucho Mayor que cuando iba todos los días a la oficina"/>
    <s v="Mucho Mayor que cuando iba todos los días a la oficina"/>
    <s v="Mayor que cuando iba todos los días a la oficina"/>
    <s v="Mayor que cuando iba todos los días a la oficina"/>
    <x v="2"/>
    <x v="2"/>
    <x v="2"/>
    <s v="Igual que cuando iba todos los días a la oficina"/>
    <x v="0"/>
    <s v="Mucho menos que cuando iba todos los días a la oficina"/>
    <s v="Igual que cuando iba todos los días a la oficina"/>
    <s v="Mucho menos que cuando iba todos los días a la oficina"/>
    <s v="Mucho menos que cuando iba todos los días a la oficina"/>
    <s v="Mucho más que cuando iba todos los días a la oficina"/>
    <s v="Menos que cuando iba todos los días a la oficina"/>
    <s v="Menos que cuando iba todos los días a la oficina"/>
    <s v="Menos que cuando iba todos los días a la oficina"/>
    <s v="Mucho mas que cuando iba todos los días a la oficina"/>
    <s v="Mucho Mayores que cuando iba todos los días a la oficina"/>
    <s v="Mucho Mayor que cuando iba todos los días a la oficina"/>
    <s v="Mucho Mayor que cuando iba todos los días a la oficina"/>
    <s v="Mucho menor que cuando iba todos los días a la oficina"/>
    <s v="Mucho Mayor que cuando iba todos los días a la oficina"/>
    <s v="Mucho menor que cuando iba todos los días a la oficina"/>
    <s v="Mucho menor que cuando iba todos los días a la oficina"/>
    <s v="Mucho menor que cuando iba todos los días a la oficina"/>
    <s v="Mucho mayor que cuando iba todos los días a la oficina"/>
    <s v="Mucho menores que cuando iba todos los días a la oficina"/>
    <s v="Mucho mayor que cuando iba todos los días a la oficina"/>
    <s v="No hay diferencias culturales en mi equipo"/>
    <s v="Mucho mayor que cuando iba todos los días a la oficina"/>
    <s v="Mucho menores que cuando iba todos los días a la oficina"/>
    <s v="Mucho menores que cuando iba todos los días a la oficina"/>
    <s v="Mucho menos que cuando iba todos los días a la oficina"/>
    <s v="Menor que cuando iba todos los días a la oficina"/>
    <s v="Menores que cuando iba todos los días a la oficina"/>
    <s v="Mucho mayor que cuando iba todos los días a la oficina"/>
    <s v="Igual que cuando iba todos los días a la oficina"/>
    <s v="Menos que cuando iba todos los días a la oficina"/>
    <s v="Menores que cuando iba todos los días a la oficina"/>
    <s v="Igual que cuando iba todos los días a la oficina"/>
    <s v="Mucho Mayor que cuando iba todos los días a la oficina"/>
    <s v="Mucho Mayor que cuando iba todos los días a la oficina"/>
    <s v="Mucho mayor que cuando iba todos los días a la oficina"/>
    <s v="Mucho Mayor que cuando iba todos los días a la oficina"/>
    <s v="Mucho Mayor que cuando iba todos los días a la oficina"/>
    <s v="Mucho Mayor que cuando iba todos los días a la oficina"/>
    <s v="Mucho Mayor que cuando iba todos los días a la oficina"/>
    <s v="Menor que cuando iba todos los días a la oficina"/>
    <s v="Menor que cuando iba todos los días a la oficina"/>
    <s v="Mucho mas que cuando iba todos los días a la oficina"/>
    <s v="Mucho Mayores que cuando iba todos los días a la oficina"/>
    <s v="Mucho Mayor que cuando iba todos los días a la oficina"/>
    <s v="Mucho Mayor que cuando iba todos los días a la oficina"/>
    <s v="Mucho Mayor que cuando iba todos los días a la oficina"/>
    <s v="Menor que cuando iba todos los días a la oficina"/>
    <s v="Mucho Mayor que cuando iba todos los días a la oficina"/>
    <s v="Menor que cuando iba todos los días a la oficina"/>
    <s v="Mucho Mejor que cuando iba todos los días a la oficina"/>
    <s v="Mucho Mayor que cuando iba todos los días a la oficina"/>
    <s v="Mucho Mayor que cuando iba todos los días a la oficina"/>
    <s v="Mucho Mayor que cuando iba todos los días a la oficina"/>
    <s v="Mucho Mayor que cuando iba todos los días a la oficina"/>
    <s v="Mucho Mayor que cuando iba todos los días a la oficina"/>
    <s v="Mucho Mayores que cuando iba todos los días a la oficina"/>
    <s v="Mucho Mayor que cuando iba todos los días a la oficina"/>
    <s v="Mucho mayor que cuando iba todos los días a la oficina"/>
    <m/>
    <s v="301+ empleados"/>
    <n v="0"/>
  </r>
  <r>
    <s v="Colombia"/>
    <s v="&lt;35 años"/>
    <s v="Femenino"/>
    <s v="universitario"/>
    <s v="5-10 años"/>
    <s v="Desarrollador de Software"/>
    <s v="Desarrollador de software"/>
    <s v="&gt;500 empleados."/>
    <s v="Empresa que desarrolla software a medida partiendo desde cero"/>
    <s v="Multinacional"/>
    <s v="Muy Frecuentemente"/>
    <s v="Alto"/>
    <s v="&gt;5 días"/>
    <s v="Ninguno"/>
    <s v="Remota ( todos los días en casa)"/>
    <s v="Consensuada por las dos partes"/>
    <s v="Totalmente de acuerdo"/>
    <s v="Igual que cuando iba todos los días a la oficina"/>
    <s v="Igual que cuando iba todos los días a la oficina"/>
    <s v="Igual que cuando iba todos los días a la oficina"/>
    <s v="Diferentes que cuando iba todos los días a la oficina, ahora necesito menos horas para hacer lo mismo"/>
    <s v="Todas por videoconferencia"/>
    <s v="Menor que cuando eran en la oficina"/>
    <s v="Mucho Mayor que cuando iba todos los días a la oficina"/>
    <s v="No tengo la información para contestar a la pregunta"/>
    <s v="Mayor que cuando iba todos los días a la oficina"/>
    <s v="Mayor que cuando iba todos los días a la oficina"/>
    <x v="1"/>
    <x v="1"/>
    <x v="0"/>
    <s v="Mayor que cuando iba todos los días a la oficina"/>
    <x v="3"/>
    <s v="No tengo la información para contestar a la pregunta"/>
    <s v="Mucho menos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Mucho Mayores que cuando iba todos los días a la oficina"/>
    <s v="Igual que cuando iba todos los días a la oficina"/>
    <s v="Mayor que cuando iba todos los días a la oficina"/>
    <s v="Mucho menor que cuando iba todos los días a la oficina"/>
    <s v="Igual que cuando iba todos los días a la oficina"/>
    <s v="Menor que cuando iba todos los días a la oficina"/>
    <s v="Menor que cuando iba todos los días a la oficina"/>
    <s v="Mayor que cuando iba todos los días a la oficina"/>
    <s v="Mucho mayor que cuando iba todos los días a la oficina"/>
    <s v="Iguales que cuando iba todos los días a la oficina"/>
    <s v="Igual que cuando iba todos los días a la oficina"/>
    <s v="Iguales que cuando iba todos los días a la oficina"/>
    <s v="Mucho mayor que cuando iba todos los días a la oficina"/>
    <s v="Menores que cuando iba todos los días a la oficina"/>
    <s v="Menores que cuando iba todos los días a la oficina"/>
    <s v="Mucho menos que cuando iba todos los días a la oficina"/>
    <s v="Igual que cuando iba todos los días a la oficina"/>
    <s v="Menores que cuando iba todos los días a la oficina"/>
    <s v="Mucho mayor que cuando iba todos los días a la oficina"/>
    <s v="Mayor que cuando iba todos los días a la oficina"/>
    <s v="Menos que cuando iba todos los días a la oficina"/>
    <s v="Menores que cuando iba todos los días a la oficina"/>
    <s v="Igual que cuando iba todos los días a la oficina"/>
    <s v="Mucho Mayor que cuando iba todos los días a la oficina"/>
    <s v="Mucho Mayor que cuando iba todos los días a la oficina"/>
    <s v="Mucho mayor que cuando iba todos los días a la oficina"/>
    <s v="Igual que cuando iba todos los días a la oficina"/>
    <s v="Igual que cuando iba todos los días a la oficina"/>
    <s v="Igual que cuando iba todos los días a la oficina"/>
    <s v="Mucho Mayor que cuando iba todos los días a la oficina"/>
    <s v="Mucho menor que cuando iba todos los días a la oficina"/>
    <s v="Mayor que cuando iba todos los días a la oficina"/>
    <s v="Igual que cuando iba todos los días a la oficina"/>
    <s v="Iguales que cuando iba todos los días a la oficina"/>
    <s v="Mucho Mayor que cuando iba todos los días a la oficina"/>
    <s v="Mucho Mayor que cuando iba todos los días a la oficina"/>
    <s v="Igual que cuando iba todos los días a la oficina"/>
    <s v="Mucho menor que cuando iba todos los días a la oficina"/>
    <s v="Menor que cuando iba todos los días a la oficina"/>
    <s v="Mayor que cuando iba todos los días a la oficina"/>
    <s v="Mejor que cuando iba todos los días a la oficina"/>
    <s v="Mayor que cuando iba todos los días a la oficina"/>
    <s v="Menor que cuando iba todos los días a la oficina"/>
    <s v="Igual que cuando iba todos los días a la oficina"/>
    <s v="Mucho Mayor que cuando iba todos los días a la oficina"/>
    <s v="Igual que cuando iba todos los días a la oficina"/>
    <s v="Iguales que cuando iba todos los días a la oficina"/>
    <s v="Igual que cuando iba todos los días a la oficina"/>
    <s v="Mucho mayor que cuando iba todos los días a la oficina"/>
    <m/>
    <s v="301+ empleados"/>
    <n v="0"/>
  </r>
  <r>
    <s v="Colombia"/>
    <s v="&lt;35 años"/>
    <s v="Masculino"/>
    <s v="Profesional"/>
    <s v="5-10 años"/>
    <s v="Desarrollador de Software"/>
    <s v="Desarrollador de software"/>
    <s v="&gt;500 empleados."/>
    <s v="Fábrica de Software"/>
    <s v="Multinacional"/>
    <s v="Frecuentemente"/>
    <s v="Alto"/>
    <s v="&gt;5 días"/>
    <s v="Ninguno"/>
    <s v="Remota ( todos los días en casa)"/>
    <s v="Impuesta por la empresa"/>
    <s v="De acuerdo"/>
    <s v="Menor que cuando iba todos los días a la oficina"/>
    <s v="Mucho menor que cuando iba todos los días a la oficina"/>
    <s v="Menor que cuando iba todos los días a la oficina"/>
    <s v="Diferentes que cuando iba todos los días a la oficina, ahora necesito menos horas para hacer lo mismo"/>
    <s v="Todas por videoconferencia"/>
    <s v="Menor que cuando eran en la oficina"/>
    <s v="Menor cuando iba todos los días a la oficina"/>
    <s v="Igual que cuando iba todos los días a la oficina"/>
    <s v="Igual que cuando iba todos los días a la oficina"/>
    <s v="Menor que cuando iba todos los días a la oficina"/>
    <x v="2"/>
    <x v="0"/>
    <x v="0"/>
    <s v="Menor que cuando iba todos los días a la oficina"/>
    <x v="4"/>
    <s v="Más que cuando iba todos los días a la oficina"/>
    <s v="Igual que cuando iba todos los días a la oficina"/>
    <s v="Más que cuando iba todos los días a la oficina"/>
    <s v="Más que cuando iba todos los días a la oficina"/>
    <s v="Más que cuando iba todos los días a la oficina"/>
    <s v="Menos que cuando iba todos los días a la oficina"/>
    <s v="Menos que cuando iba todos los días a la oficina"/>
    <s v="Menos que cuando iba todos los días a la oficina"/>
    <s v="Menos que cuando iba todos los días a la oficina"/>
    <s v="Mayores que cuando iba todos los días a la oficina"/>
    <s v="Igual que cuando iba todos los días a la oficina"/>
    <s v="Mayor que cuando iba todos los días a la oficina"/>
    <s v="Menor que cuando iba todos los días a la oficina"/>
    <s v="Mayor que cuando iba todos los días a la oficina"/>
    <s v="Menor que cuando iba todos los días a la oficina"/>
    <s v="Menor que cuando iba todos los días a la oficina"/>
    <s v="Menor que cuando iba todos los días a la oficina"/>
    <s v="Mayor que cuando iba todos los días a la oficina"/>
    <s v="Menores que cuando iba todos los días a la oficina"/>
    <s v="Menor que cuando iba todos los días a la oficina"/>
    <s v="Iguales que cuando iba todos los días a la oficina"/>
    <s v="Igual que cuando iba todos los días a la oficina"/>
    <s v="Iguales que cuando iba todos los días a la oficina"/>
    <s v="Mayores que cuando iba todos los días a la oficina"/>
    <s v="Menos que cuando iba todos los días a la oficina"/>
    <s v="Menor que cuando iba todos los días a la oficina"/>
    <s v="Menores que cuando iba todos los días a la oficina"/>
    <s v="Mayor que cuando iba todos los días a la oficina"/>
    <s v="Igual que cuando iba todos los días a la oficina"/>
    <s v="Menos que cuando iba todos los días a la oficina"/>
    <s v="Menores que cuando iba todos los días a la oficina"/>
    <s v="Mejor que cuando iba todos los días a la oficina"/>
    <s v="Mayor que cuando iba todos los días a la oficina"/>
    <s v="Mucho menor que cuando iba todos los días a la oficina"/>
    <s v="Mayor que cuando iba todos los días a la oficina"/>
    <s v="Menor que cuando iba todos los días a la oficina"/>
    <s v="Mayor que cuando iba todos los días a la oficina"/>
    <s v="Mayor que cuando iba todos los días a la oficina"/>
    <s v="Mayor que cuando iba todos los días a la oficina"/>
    <s v="Mayor que cuando iba todos los días a la oficina"/>
    <s v="Menor que cuando iba todos los días a la oficina"/>
    <s v="Mas que cuando iba todos los días a la oficina"/>
    <s v="Menores que cuando iba todos los días a la oficina"/>
    <s v="Mayor que cuando iba todos los días a la oficina"/>
    <s v="Mayor que cuando iba todos los días a la oficina"/>
    <s v="Mayor que cuando iba todos los días a la oficina"/>
    <s v="Mayor que cuando iba todos los días a la oficina"/>
    <s v="Menor que cuando iba todos los días a la oficina"/>
    <s v="Mucho menor que cuando iba todos los días a la oficina"/>
    <s v="Mejor que cuando iba todos los días a la oficina"/>
    <s v="Mayor que cuando iba todos los días a la oficina"/>
    <s v="Mucho menor que cuando iba todos los días a la oficina"/>
    <s v="Mayor que cuando iba todos los días a la oficina"/>
    <s v="Mayor que cuando iba todos los días a la oficina"/>
    <s v="Menor que cuando iba todos los días a la oficina"/>
    <s v="Menores que cuando iba todos los días a la oficina"/>
    <s v="Mayor que cuando iba todos los días a la oficina"/>
    <s v="Mayor que cuando iba todos los días a la oficina"/>
    <m/>
    <s v="301+ empleados"/>
    <n v="0"/>
  </r>
  <r>
    <s v="Colombia"/>
    <s v="36+ años"/>
    <s v="Masculino"/>
    <s v="Carrera Universitaria"/>
    <s v="5-10 años"/>
    <s v="Desarrollador de Software"/>
    <s v="Ingeniero de software"/>
    <s v="&lt;50 empleados"/>
    <s v="Empresa que desarrolla software a medida partiendo desde cero"/>
    <s v="Local"/>
    <s v="Frecuentemente"/>
    <s v="Alto"/>
    <s v="&gt;5 días"/>
    <s v="Ninguno"/>
    <s v="Híbrida casa (más días en casa que en la oficina)"/>
    <s v="Impuesta por la empresa"/>
    <s v="Totalmente de acuerdo"/>
    <s v="Menor que cuando iba todos los días a la oficina"/>
    <s v="Mucho menor que cuando iba todos los días a la oficina"/>
    <s v="Mayor que cuando iba todos los días a la oficina"/>
    <s v="Diferentes que cuando iba todos los días a la oficina, ahora necesito menos horas para hacer lo mismo"/>
    <s v="Todas por videoconferencia"/>
    <s v="Mucho menor que cuando eran en la oficina"/>
    <s v="Mayor que cuando iba todos los días a la oficina"/>
    <s v="Mayor que cuando iba todos los días a la oficina"/>
    <s v="Mayor que cuando iba todos los días a la oficina"/>
    <s v="Menor que cuando iba todos los días a la oficina"/>
    <x v="0"/>
    <x v="0"/>
    <x v="0"/>
    <s v="Menor que cuando iba todos los días a la oficina"/>
    <x v="2"/>
    <s v="Menos que cuando iba todos los días a la oficina"/>
    <s v="Menos que cuando iba todos los días a la oficina"/>
    <s v="No trabajo con personas con un horario distinto al mío"/>
    <s v="Más que cuando iba todos los días a la oficina"/>
    <s v="Igual que cuando iba todos los días a la oficina"/>
    <s v="Igual que cuando iba todos los días a la oficina"/>
    <s v="Mas que cuando iba todos los días a la oficina"/>
    <s v="Mas que cuando iba todos los días a la oficina"/>
    <s v="Igual que cuando iba todos los días a la oficina"/>
    <s v="Menores que cuando iba todos los días a la oficina"/>
    <s v="Menor que cuando iba todos los días a la oficina"/>
    <s v="Mayor que cuando iba todos los días a la oficina"/>
    <s v="Mayor que cuando iba todos los días a la oficina"/>
    <s v="Mayor que cuando iba todos los días a la oficina"/>
    <s v="Menor que cuando iba todos los días a la oficina"/>
    <s v="Menor que cuando iba todos los días a la oficina"/>
    <s v="Mayor que cuando iba todos los días a la oficina"/>
    <s v="Mucho mayor que cuando iba todos los días a la oficina"/>
    <s v="Iguales que cuando iba todos los días a la oficina"/>
    <s v="Igual que cuando iba todos los días a la oficina"/>
    <s v="No hay diferencias culturales en mi equipo"/>
    <s v="Menor que cuando iba todos los días a la oficina"/>
    <s v="Menores que cuando iba todos los días a la oficina"/>
    <s v="Iguales que cuando iba todos los días a la oficina"/>
    <s v="Igual que cuando iba todos los días a la oficina"/>
    <s v="Menor que cuando iba todos los días a la oficina"/>
    <s v="Iguales que cuando iba todos los días a la oficina"/>
    <s v="Mayor que cuando iba todos los días a la oficina"/>
    <s v="Mayor que cuando iba todos los días a la oficina"/>
    <s v="Igual que cuando iba todos los días a la oficina"/>
    <s v="Mayores que cuando iba todos los días a la oficina"/>
    <s v="Peor que cuando iba todos los días a la oficina"/>
    <s v="Igual que cuando iba todos los días a la oficina"/>
    <s v="Mayor que cuando iba todos los días a la oficina"/>
    <s v="Mucho mayor que cuando iba todos los días a la oficina"/>
    <s v="Mayor que cuando iba todos los días a la oficina"/>
    <s v="Mayor que cuando iba todos los días a la oficina"/>
    <s v="Mayor que cuando iba todos los días a la oficina"/>
    <s v="Menor que cuando iba todos los días a la oficina"/>
    <s v="Menor que cuando iba todos los días a la oficina"/>
    <s v="Mayor que cuando iba todos los días a la oficina"/>
    <s v="Igual que cuando iba todos los días a la oficina"/>
    <s v="Menores que cuando iba todos los días a la oficina"/>
    <s v="Mayor que cuando iba todos los días a la oficina"/>
    <s v="Menor que cuando iba todos los días a la oficina"/>
    <s v="Menor que cuando iba todos los días a la oficina"/>
    <s v="Igual que cuando iba todos los días a la oficina"/>
    <s v="Menor que cuando iba todos los días a la oficina"/>
    <s v="Igual que cuando iba todos los días a la oficina"/>
    <s v="Peor que cuando iba todos los días a la oficina"/>
    <s v="Menor que cuando iba todos los días a la oficina"/>
    <s v="Mucho menor que cuando iba todos los días a la oficina"/>
    <s v="Igual que cuando iba todos los días a la oficina"/>
    <s v="Mucho Mayor que cuando iba todos los días a la oficina"/>
    <s v="Mucho menor que cuando iba todos los días a la oficina"/>
    <s v="Menores que cuando iba todos los días a la oficina"/>
    <s v="Menor que cuando iba todos los días a la oficina"/>
    <s v="Menor que cuando iba todos los días a la oficina"/>
    <s v="alvarezsoto13@gmail.com"/>
    <s v="&lt;301 empleados"/>
    <n v="0"/>
  </r>
  <r>
    <s v="Colombia"/>
    <s v="36+ años"/>
    <s v="Femenino"/>
    <s v="Profesional "/>
    <s v="&lt;5 años"/>
    <s v="Desarrollador de software "/>
    <s v="Desarrollador de software "/>
    <s v="301-500 empleados"/>
    <s v="Fábrica de Software"/>
    <s v="Nacional (múltiples sedes en el mismo país)"/>
    <s v="Nunca"/>
    <s v="Alto"/>
    <s v="&gt;5 días"/>
    <s v="Ninguno"/>
    <s v="Remota ( todos los días en casa)"/>
    <s v="Impuesta por la empresa"/>
    <s v="Totalmente en desacuerdo"/>
    <s v="Mucho menor que cuando iba todos los días a la oficina"/>
    <s v="Igual que cuando iba todos los días a la oficina"/>
    <s v="Mucho Mayor que cuando iba todos los días a la oficina"/>
    <s v="Muy diferentes que cuando iba todos los días a la oficina, ahora necesito muchas menos horas para hacer lo mismo"/>
    <s v="Todas por videoconferencia"/>
    <s v="Mucho menor que cuando eran en la oficina"/>
    <s v="Mucho Mayor que cuando iba todos los días a la oficina"/>
    <s v="Mucho Mayor que cuando iba todos los días a la oficina"/>
    <s v="Mucho Mayor que cuando iba todos los días a la oficina"/>
    <s v="Mayor que cuando iba todos los días a la oficina"/>
    <x v="0"/>
    <x v="0"/>
    <x v="2"/>
    <s v="Mayor que cuando iba todos los días a la oficina"/>
    <x v="0"/>
    <s v="Mucho más que cuando iba todos los días a la oficina"/>
    <s v="No trabajo con personas de distintas culturas"/>
    <s v="No trabajo con personas con un horario distinto al mío"/>
    <s v="Mucho menos que cuando iba todos los días a la oficina"/>
    <s v="Igual que cuando iba todos los días a la oficina"/>
    <s v="Menos que cuando iba todos los días a la oficina"/>
    <s v="Mucho más que cuando iba todos los días a la oficina"/>
    <s v="Mas que cuando iba todos los días a la oficina"/>
    <s v="Mucho mas que cuando iba todos los días a la oficina"/>
    <s v="Mucho Mayores que cuando iba todos los días a la oficina"/>
    <s v="Mayor que cuando iba todos los días a la oficina"/>
    <s v="Igual que cuando iba todos los días a la oficina"/>
    <s v="Mucho menor que cuando iba todos los días a la oficina"/>
    <s v="Mayor que cuando iba todos los días a la oficina"/>
    <s v="Mayor que cuando iba todos los días a la oficina"/>
    <s v="Mayor que cuando iba todos los días a la oficina"/>
    <s v="Mucho menor que cuando iba todos los días a la oficina"/>
    <s v="Mayor que cuando iba todos los días a la oficina"/>
    <s v="Iguales que cuando iba todos los días a la oficina"/>
    <s v="Igual que cuando iba todos los días a la oficina"/>
    <s v="No hay diferencias culturales en mi equipo"/>
    <s v="Mayor que cuando iba todos los días a la oficina"/>
    <s v="Mucho mayores que cuando iba todos los días a la oficina"/>
    <s v="Iguales que cuando iba todos los días a la oficina"/>
    <s v="No trabajo con personas con distintos horarios"/>
    <s v="Igual que cuando iba todos los días a la oficina"/>
    <s v="Mucho menores que cuando iba todos los días a la oficina"/>
    <s v="Mucho mayor que cuando iba todos los días a la oficina"/>
    <s v="Igual que cuando iba todos los días a la oficina"/>
    <s v="Mucho más que cuando iba todos los días a la oficina"/>
    <s v="Iguales que cuando iba todos los días a la oficina"/>
    <s v="Igual que cuando iba todos los días a la oficina"/>
    <s v="Mayor que cuando iba todos los días a la oficina"/>
    <s v="Mucho Mayor que cuando iba todos los días a la oficina"/>
    <s v="Mucho mayor que cuando iba todos los días a la oficina"/>
    <s v="Mucho Mayor que cuando iba todos los días a la oficina"/>
    <s v="Mucho Mayor que cuando iba todos los días a la oficina"/>
    <s v="Mucho Mayor que cuando iba todos los días a la oficina"/>
    <s v="Igual que cuando iba todos los días a la oficina"/>
    <s v="Mucho menor que cuando iba todos los días a la oficina"/>
    <s v="Igual que cuando iba todos los días a la oficina"/>
    <s v="Mucho menos que cuando iba todos los días a la oficina"/>
    <s v="Mucho menores que cuando iba todos los días a la oficina"/>
    <s v="Mayor que cuando iba todos los días a la oficina"/>
    <s v="Mucho Mayor que cuando iba todos los días a la oficina"/>
    <s v="Igual que cuando iba todos los días a la oficina"/>
    <s v="Menor que cuando iba todos los días a la oficina"/>
    <s v="Mayor que cuando iba todos los días a la oficina"/>
    <s v="Mayor que cuando iba todos los días a la oficina"/>
    <s v="Mejor que cuando iba todos los días a la oficina"/>
    <s v="Mucho Mayor que cuando iba todos los días a la oficina"/>
    <s v="Mucho menor que cuando iba todos los días a la oficina"/>
    <s v="Igual que cuando iba todos los días a la oficina"/>
    <s v="Mucho Mayor que cuando iba todos los días a la oficina"/>
    <s v="Mucho Mayor que cuando iba todos los días a la oficina"/>
    <s v="Mayores que cuando iba todos los días a la oficina"/>
    <s v="Mucho menor que cuando iba todos los días a la oficina"/>
    <s v="Mucho mayor que cuando iba todos los días a la oficina"/>
    <m/>
    <s v="301+ empleados"/>
    <n v="0"/>
  </r>
  <r>
    <s v="Colombia"/>
    <s v="&lt;35 años"/>
    <s v="Masculino"/>
    <s v="Profesional"/>
    <s v="5-10 años"/>
    <s v="Desarrollador full-stack"/>
    <s v="Ingeniero de software senior"/>
    <s v="&gt;500 empleados."/>
    <s v="Fábrica de Software"/>
    <s v="Multinacional"/>
    <s v="Muy Frecuentemente"/>
    <s v="Alto"/>
    <s v="&gt;5 días"/>
    <s v="Ninguno"/>
    <s v="Híbrida casa (más días en casa que en la oficina)"/>
    <s v="Impuesta por la empresa"/>
    <s v="En desacuerdo"/>
    <s v="Menor que cuando iba todos los días a la oficina"/>
    <s v="Igual que cuando iba todos los días a la oficina"/>
    <s v="Menor que cuando iba todos los días a la oficina"/>
    <s v="Diferentes que cuando iba todos los días a la oficina, ahora necesito menos horas para hacer lo mismo"/>
    <s v="Todas por videoconferencia"/>
    <s v="Menor que cuando eran en la oficina"/>
    <s v="Igual que cuando iba todos los días a la oficina"/>
    <s v="Igual que cuando iba todos los días a la oficina"/>
    <s v="Igual que cuando iba todos los días a la oficina"/>
    <s v="Igual que cuando iba todos los días a la oficina"/>
    <x v="1"/>
    <x v="1"/>
    <x v="1"/>
    <s v="Mayor que cuando iba todos los días a la oficina"/>
    <x v="4"/>
    <s v="Menos que cuando iba todos los días a la oficina"/>
    <s v="Más que cuando iba todos los días a la oficina"/>
    <s v="Menos que cuando iba todos los días a la oficina"/>
    <s v="Menos que cuando iba todos los días a la oficina"/>
    <s v="Igual que cuando iba todos los días a la oficina"/>
    <s v="Igual que cuando iba todos los días a la oficina"/>
    <s v="Mas que cuando iba todos los días a la oficina"/>
    <s v="Igual que cuando iba todos los días a la oficina"/>
    <s v="Igual que cuando iba todos los días a la oficina"/>
    <s v="Mayores que cuando iba todos los días a la oficina"/>
    <s v="Mayor que cuando iba todos los días a la oficina"/>
    <s v="Mayor que cuando iba todos los días a la oficina"/>
    <s v="Mucho menor que cuando iba todos los días a la oficina"/>
    <s v="Mayor que cuando iba todos los días a la oficina"/>
    <s v="Menor que cuando iba todos los días a la oficina"/>
    <s v="Menor que cuando iba todos los días a la oficina"/>
    <s v="Menor que cuando iba todos los días a la oficina"/>
    <s v="Mayor que cuando iba todos los días a la oficina"/>
    <s v="Menores que cuando iba todos los días a la oficina"/>
    <s v="Mayor que cuando iba todos los días a la oficina"/>
    <s v="Menores que cuando iba todos los días a la oficina"/>
    <s v="Mayor que cuando iba todos los días a la oficina"/>
    <s v="Iguales que cuando iba todos los días a la oficina"/>
    <s v="Menores que cuando iba todos los días a la oficina"/>
    <s v="Mucho menos que cuando iba todos los días a la oficina"/>
    <s v="Mayor que cuando iba todos los días a la oficina"/>
    <s v="Menores que cuando iba todos los días a la oficina"/>
    <s v="Menor que cuando iba todos los días a la oficina"/>
    <s v="Mayor que cuando iba todos los días a la oficina"/>
    <s v="Menos que cuando iba todos los días a la oficina"/>
    <s v="Menores que cuando iba todos los días a la oficina"/>
    <s v="Igual que cuando iba todos los días a la oficina"/>
    <s v="Igual que cuando iba todos los días a la oficina"/>
    <s v="Igual que cuando iba todos los días a la oficina"/>
    <s v="Mucho mayor que cuando iba todos los días a la oficina"/>
    <s v="Igual que cuando iba todos los días a la oficina"/>
    <s v="Mayor que cuando iba todos los días a la oficina"/>
    <s v="Mucho Mayor que cuando iba todos los días a la oficina"/>
    <s v="Menor que cuando iba todos los días a la oficina"/>
    <s v="Menor que cuando iba todos los días a la oficina"/>
    <s v="Mayor que cuando iba todos los días a la oficina"/>
    <s v="Mas que cuando iba todos los días a la oficina"/>
    <s v="Menores que cuando iba todos los días a la oficina"/>
    <s v="Mayor que cuando iba todos los días a la oficina"/>
    <s v="Mucho Mayor que cuando iba todos los días a la oficina"/>
    <s v="Mayor que cuando iba todos los días a la oficina"/>
    <s v="Igual que cuando iba todos los días a la oficina"/>
    <s v="Menor que cuando iba todos los días a la oficina"/>
    <s v="Menor que cuando iba todos los días a la oficina"/>
    <s v="Peor que cuando iba todos los días a la oficina"/>
    <s v="Igual que cuando iba todos los días a la oficina"/>
    <s v="Menor que cuando iba todos los días a la oficina"/>
    <s v="Menor que cuando iba todos los días a la oficina"/>
    <s v="Mucho Mayor que cuando iba todos los días a la oficina"/>
    <s v="Mucho menor que cuando iba todos los días a la oficina"/>
    <s v="Mucho menores que cuando iba todos los días a la oficina"/>
    <s v="Mucho menor que cuando iba todos los días a la oficina"/>
    <s v="Mayor que cuando iba todos los días a la oficina"/>
    <s v="fabio.a.lopez@outlook.com"/>
    <s v="301+ empleados"/>
    <n v="0"/>
  </r>
  <r>
    <s v="Colombia"/>
    <s v="&lt;35 años"/>
    <s v="Masculino"/>
    <s v="Maestria"/>
    <s v="11-20 años"/>
    <s v="desarrollador senior 3"/>
    <s v="desarrollador senior 3"/>
    <s v="151-300 empleados"/>
    <s v="Fábrica de Software"/>
    <s v="Multinacional"/>
    <s v="Muy Frecuentemente"/>
    <s v="Alto"/>
    <s v="&gt;5 días"/>
    <s v="Ninguno"/>
    <s v="Remota ( todos los días en casa)"/>
    <s v="Consensuada por las dos partes"/>
    <s v="Totalmente en desacuerdo"/>
    <s v="Menor que cuando iba todos los días a la oficina"/>
    <s v="Menor que cuando iba todos los días a la oficina"/>
    <s v="Menor que cuando iba todos los días a la oficina"/>
    <s v="Muy diferentes que cuando iba todos los días a la oficina, ahora necesito muchas menos horas para hacer lo mismo"/>
    <s v="Todas por videoconferencia"/>
    <s v="Menor que cuando eran en la oficina"/>
    <s v="Mucho Mayor que cuando iba todos los días a la oficina"/>
    <s v="Mayor que cuando iba todos los días a la oficina"/>
    <s v="Mayor que cuando iba todos los días a la oficina"/>
    <s v="Mucho Mayor que cuando iba todos los días a la oficina"/>
    <x v="3"/>
    <x v="3"/>
    <x v="0"/>
    <s v="Mayor que cuando iba todos los días a la oficina"/>
    <x v="1"/>
    <s v="Mucho más que cuando iba todos los días a la oficina"/>
    <s v="Menos que cuando iba todos los días a la oficina"/>
    <s v="Menos que cuando iba todos los días a la oficina"/>
    <s v="Menos que cuando iba todos los días a la oficina"/>
    <s v="Más que cuando iba todos los días a la oficina"/>
    <s v="Mas que cuando iba todos los días a la oficina"/>
    <s v="Mas que cuando iba todos los días a la oficina"/>
    <s v="Mas que cuando iba todos los días a la oficina"/>
    <s v="Mas que cuando iba todos los días a la oficina"/>
    <s v="Menores que cuando iba todos los días a la oficina"/>
    <s v="Igual que cuando iba todos los días a la oficina"/>
    <s v="Menor que cuando iba todos los días a la oficina"/>
    <s v="Mayor que cuando iba todos los días a la oficina"/>
    <s v="Mucho Mayor que cuando iba todos los días a la oficina"/>
    <s v="Igual que cuando iba todos los días a la oficina"/>
    <s v="Igual que cuando iba todos los días a la oficina"/>
    <s v="Igual que cuando iba todos los días a la oficina"/>
    <s v="Mucho mayor que cuando iba todos los días a la oficina"/>
    <s v="Mayores que cuando iba todos los días a la oficina"/>
    <s v="Mayor que cuando iba todos los días a la oficina"/>
    <s v="Mucho menores que cuando iba todos los días a la oficina"/>
    <s v="Mucho mayor que cuando iba todos los días a la oficina"/>
    <s v="Menores que cuando iba todos los días a la oficina"/>
    <s v="Menores que cuando iba todos los días a la oficina"/>
    <s v="Más que cuando iba todos los días a la oficina"/>
    <s v="Menor que cuando iba todos los días a la oficina"/>
    <s v="Mucho menores que cuando iba todos los días a la oficina"/>
    <s v="Mucho mayor que cuando iba todos los días a la oficina"/>
    <s v="Mayor que cuando iba todos los días a la oficina"/>
    <s v="Más que cuando iba todos los días a la oficina"/>
    <s v="Mayores que cuando iba todos los días a la oficina"/>
    <s v="Mejor que cuando iba todos los días a la oficina"/>
    <s v="Mayor que cuando iba todos los días a la oficina"/>
    <s v="Mucho Mayor que cuando iba todos los días a la oficina"/>
    <s v="Mayor que cuando iba todos los días a la oficina"/>
    <s v="Igual que cuando iba todos los días a la oficina"/>
    <s v="Igual que cuando iba todos los días a la oficina"/>
    <s v="Mucho Mayor que cuando iba todos los días a la oficina"/>
    <s v="Mucho Mayor que cuando iba todos los días a la oficina"/>
    <s v="Mucho Mayor que cuando iba todos los días a la oficina"/>
    <s v="Mayor que cuando iba todos los días a la oficina"/>
    <s v="Mas que cuando iba todos los días a la oficina"/>
    <s v="Mayores que cuando iba todos los días a la oficina"/>
    <s v="Mucho Mayor que cuando iba todos los días a la oficina"/>
    <s v="Mucho menor que cuando iba todos los días a la oficina"/>
    <s v="Mayor que cuando iba todos los días a la oficina"/>
    <s v="Menor que cuando iba todos los días a la oficina"/>
    <s v="Mayor que cuando iba todos los días a la oficina"/>
    <s v="Igual que cuando iba todos los días a la oficina"/>
    <s v="Peor que cuando iba todos los días a la oficina"/>
    <s v="Menor que cuando iba todos los días a la oficina"/>
    <s v="Mucho menor que cuando iba todos los días a la oficina"/>
    <s v="Menor que cuando iba todos los días a la oficina"/>
    <s v="Mucho Mayor que cuando iba todos los días a la oficina"/>
    <s v="Mucho menor que cuando iba todos los días a la oficina"/>
    <s v="Menores que cuando iba todos los días a la oficina"/>
    <s v="Igual que cuando iba todos los días a la oficina"/>
    <s v="Mucho mayor que cuando iba todos los días a la oficina"/>
    <s v="sanalejo1974@gmail.com"/>
    <s v="&lt;301 empleados"/>
    <n v="0"/>
  </r>
  <r>
    <s v="Colombia"/>
    <s v="&lt;35 años"/>
    <s v="Masculino"/>
    <s v="Profesional"/>
    <s v="11-20 años"/>
    <s v="Desarrollador Senior y Líder Técnico"/>
    <s v="Director de Tecnología y Desarrollo de Software"/>
    <s v="&lt;50 empleados"/>
    <s v="Empresa que desarrolla software a medida partiendo desde cero"/>
    <s v="Nacional (múltiples sedes en el mismo país)"/>
    <s v="Nunca"/>
    <s v="Alto"/>
    <s v="&gt;5 días"/>
    <s v="Ninguno"/>
    <s v="Remota ( todos los días en casa)"/>
    <s v="Consensuada por las dos partes"/>
    <s v="En desacuerdo"/>
    <s v="Mucho mayor que cuando iba todos los días a la oficina"/>
    <s v="Mayor que cuando iba todos los días a la oficina"/>
    <s v="Igual que cuando iba todos los días a la oficina"/>
    <s v="Diferentes que cuando iba todos los días a la oficina, ahora necesito menos horas para hacer lo mismo"/>
    <s v="Todas por videoconferencia"/>
    <s v="Mucho menor que cuando eran en la oficina"/>
    <s v="Mayor que cuando iba todos los días a la oficina"/>
    <s v="Mucho Mayor que cuando iba todos los días a la oficina"/>
    <s v="Mucho Mayor que cuando iba todos los días a la oficina"/>
    <s v="Mayor que cuando iba todos los días a la oficina"/>
    <x v="1"/>
    <x v="1"/>
    <x v="1"/>
    <s v="Mayor que cuando iba todos los días a la oficina"/>
    <x v="5"/>
    <s v="Mucho menos que cuando iba todos los días a la oficina"/>
    <s v="No trabajo con personas de distintas culturas"/>
    <s v="No trabajo con personas con un horario distinto al mío"/>
    <s v="No trabajo  con personas que se encuentran geográficamente distribuidas"/>
    <s v="Menos que cuando iba todos los días a la oficina"/>
    <s v="Menos que cuando iba todos los días a la oficina"/>
    <s v="No tengo la información para contestar a la pregunta"/>
    <s v="Menos que cuando iba todos los días a la oficina"/>
    <s v="Menos que cuando iba todos los días a la oficina"/>
    <s v="Mayores que cuando iba todos los días a la oficina"/>
    <s v="Mayor que cuando iba todos los días a la oficina"/>
    <s v="Mucho Mayor que cuando iba todos los días a la oficina"/>
    <s v="Menor que cuando iba todos los días a la oficina"/>
    <s v="Mayor que cuando iba todos los días a la oficina"/>
    <s v="Menor que cuando iba todos los días a la oficina"/>
    <s v="Menor que cuando iba todos los días a la oficina"/>
    <s v="Menor que cuando iba todos los días a la oficina"/>
    <s v="Mucho mayor que cuando iba todos los días a la oficina"/>
    <s v="Iguales que cuando iba todos los días a la oficina"/>
    <s v="Mayor que cuando iba todos los días a la oficina"/>
    <s v="No hay diferencias culturales en mi equipo"/>
    <s v="Mayor que cuando iba todos los días a la oficina"/>
    <s v="Menores que cuando iba todos los días a la oficina"/>
    <s v="No tengo que utilizar diferentes idiomas en mi trabajo"/>
    <s v="No trabajo con personas con distintos horarios"/>
    <s v="Mucho mayor que cuando iba todos los días a la oficina"/>
    <s v="Menores que cuando iba todos los días a la oficina"/>
    <s v="Mucho mayor que cuando iba todos los días a la oficina"/>
    <s v="Menor que cuando iba todos los días a la oficina"/>
    <s v="Menos que cuando iba todos los días a la oficina"/>
    <s v="Menores que cuando iba todos los días a la oficina"/>
    <s v="Mejor que cuando iba todos los días a la oficina"/>
    <s v="Mucho Mayor que cuando iba todos los días a la oficina"/>
    <s v="Mayor que cuando iba todos los días a la oficina"/>
    <s v="Mayor que cuando iba todos los días a la oficina"/>
    <s v="Igual que cuando iba todos los días a la oficina"/>
    <s v="Igual que cuando iba todos los días a la oficina"/>
    <s v="Mayor que cuando iba todos los días a la oficina"/>
    <s v="Mucho Mayor que cuando iba todos los días a la oficina"/>
    <s v="Mayor que cuando iba todos los días a la oficina"/>
    <s v="Menor que cuando iba todos los días a la oficina"/>
    <s v="Mas que cuando iba todos los días a la oficina"/>
    <s v="Iguales que cuando iba todos los días a la oficina"/>
    <s v="Mayor que cuando iba todos los días a la oficina"/>
    <s v="Mucho Mayor que cuando iba todos los días a la oficina"/>
    <s v="Mayor que cuando iba todos los días a la oficina"/>
    <s v="Mucho menor que cuando iba todos los días a la oficina"/>
    <s v="Mayor que cuando iba todos los días a la oficina"/>
    <s v="Igual que cuando iba todos los días a la oficina"/>
    <s v="Mejor que cuando iba todos los días a la oficina"/>
    <s v="Mucho Mayor que cuando iba todos los días a la oficina"/>
    <s v="Mayor que cuando iba todos los días a la oficina"/>
    <s v="Mayor que cuando iba todos los días a la oficina"/>
    <s v="Mucho Mayor que cuando iba todos los días a la oficina"/>
    <s v="Menor que cuando iba todos los días a la oficina"/>
    <s v="Menores que cuando iba todos los días a la oficina"/>
    <s v="Mucho Mayor que cuando iba todos los días a la oficina"/>
    <s v="Mayor que cuando iba todos los días a la oficina"/>
    <s v="miguel.vega.ruiz@gmail.com"/>
    <s v="&lt;301 empleados"/>
    <n v="1"/>
  </r>
  <r>
    <s v="Colombia"/>
    <s v="&lt;35 años"/>
    <s v="Femenino"/>
    <s v="Profesional"/>
    <s v="5-10 años"/>
    <s v="Desarrolladora y gerente de ingeniería"/>
    <s v="Gerente de Ingeniería  "/>
    <s v="&gt;500 empleados."/>
    <s v="Fábrica de Software"/>
    <s v="Multinacional"/>
    <s v="Muy Frecuentemente"/>
    <s v="Alto"/>
    <s v="&gt;5 días"/>
    <s v="Ninguno"/>
    <s v="Remota ( todos los días en casa)"/>
    <s v="Consensuada por las dos partes"/>
    <s v="De acuerdo"/>
    <s v="Menor que cuando iba todos los días a la oficina"/>
    <s v="Igual que cuando iba todos los días a la oficina"/>
    <s v="Menor que cuando iba todos los días a la oficina"/>
    <s v="Iguales que cuando iba todos los días a la oficina"/>
    <s v="Todas por videoconferencia"/>
    <s v="Igual que cuando eran en la oficina"/>
    <s v="Igual que cuando iba todos los días a la oficina"/>
    <s v="Igual que cuando iba todos los días a la oficina"/>
    <s v="Igual que cuando iba todos los días a la oficina"/>
    <s v="Menor que cuando iba todos los días a la oficina"/>
    <x v="4"/>
    <x v="3"/>
    <x v="0"/>
    <s v="Menor que cuando iba todos los días a la oficina"/>
    <x v="2"/>
    <s v="No tengo la información para contestar a la pregunta"/>
    <s v="Igual que cuando iba todos los días a la oficina"/>
    <s v="Menos que cuando iba todos los días a la oficina"/>
    <s v="Menos que cuando iba todos los días a la oficina"/>
    <s v="Más que cuando iba todos los días a la oficina"/>
    <s v="Igual que cuando iba todos los días a la oficina"/>
    <s v="Mas que cuando iba todos los días a la oficina"/>
    <s v="Mas que cuando iba todos los días a la oficina"/>
    <s v="Mas que cuando iba todos los días a la oficina"/>
    <s v="Menores que cuando iba todos los días a la oficina"/>
    <s v="Menor que cuando iba todos los días a la oficina"/>
    <s v="Igual que cuando iba todos los días a la oficina"/>
    <s v="Mayor que cuando iba todos los días a la oficina"/>
    <s v="Mayor que cuando iba todos los días a la oficina"/>
    <s v="Mayor que cuando iba todos los días a la oficina"/>
    <s v="Mayor que cuando iba todos los días a la oficina"/>
    <s v="Igual que cuando iba todos los días a la oficina"/>
    <s v="Mayor que cuando iba todos los días a la oficina"/>
    <s v="Iguales que cuando iba todos los días a la oficina"/>
    <s v="Igual que cuando iba todos los días a la oficina"/>
    <s v="Iguales que cuando iba todos los días a la oficina"/>
    <s v="Igual que cuando iba todos los días a la oficina"/>
    <s v="Mayores que cuando iba todos los días a la oficina"/>
    <s v="Iguales que cuando iba todos los días a la oficina"/>
    <s v="Igual que cuando iba todos los días a la oficina"/>
    <s v="Menor que cuando iba todos los días a la oficina"/>
    <s v="Mayores que cuando iba todos los días a la oficina"/>
    <s v="Menor que cuando iba todos los días a la oficina"/>
    <s v="Mayor que cuando iba todos los días a la oficina"/>
    <s v="Más que cuando iba todos los días a la oficina"/>
    <s v="Iguales que cuando iba todos los días a la oficina"/>
    <s v="Igual que cuando iba todos los días a la oficina"/>
    <s v="Menor que cuando iba todos los días a la oficina"/>
    <s v="Menor que cuando iba todos los días a la oficina"/>
    <s v="Mayor que cuando iba todos los días a la oficina"/>
    <s v="Igual que cuando iba todos los días a la oficina"/>
    <s v="Igual que cuando iba todos los días a la oficina"/>
    <s v="Igual que cuando iba todos los días a la oficina"/>
    <s v="Menor que cuando iba todos los días a la oficina"/>
    <s v="Menor que cuando iba todos los días a la oficina"/>
    <s v="Igual que cuando iba todos los días a la oficina"/>
    <s v="Menos que cuando iba todos los días a la oficina"/>
    <s v="Iguales que cuando iba todos los días a la oficina"/>
    <s v="Igual que cuando iba todos los días a la oficina"/>
    <s v="Mayor que cuando iba todos los días a la oficina"/>
    <s v="Menor que cuando iba todos los días a la oficina"/>
    <s v="Mayor que cuando iba todos los días a la oficina"/>
    <s v="Menor que cuando iba todos los días a la oficina"/>
    <s v="Mayor que cuando iba todos los días a la oficina"/>
    <s v="Peor que cuando iba todos los días a la oficina"/>
    <s v="Menor que cuando iba todos los días a la oficina"/>
    <s v="Menor que cuando iba todos los días a la oficina"/>
    <s v="Igual que cuando iba todos los días a la oficina"/>
    <s v="Igual que cuando iba todos los días a la oficina"/>
    <s v="Igual que cuando iba todos los días a la oficina"/>
    <s v="Mayores que cuando iba todos los días a la oficina"/>
    <s v="Mucho menor que cuando iba todos los días a la oficina"/>
    <s v="Menor que cuando iba todos los días a la oficina"/>
    <m/>
    <s v="301+ empleados"/>
    <n v="1"/>
  </r>
  <r>
    <s v="Colombia"/>
    <s v="&lt;35 años"/>
    <s v="Masculino"/>
    <s v="Maestria - Terminando  "/>
    <s v="5-10 años"/>
    <s v="Developer"/>
    <s v="Líder Técnico"/>
    <s v="&gt;500 empleados."/>
    <s v="Empresa que desarrolla software a medida partiendo desde cero"/>
    <s v="Nacional (múltiples sedes en el mismo país)"/>
    <s v="Nunca"/>
    <s v="Alto"/>
    <s v="&gt;5 días"/>
    <s v="Ninguno"/>
    <s v="Híbrida casa (más días en casa que en la oficina)"/>
    <s v="Impuesta por la empresa"/>
    <s v="En desacuerdo"/>
    <s v="Menor que cuando iba todos los días a la oficina"/>
    <s v="Menor que cuando iba todos los días a la oficina"/>
    <s v="Menor que cuando iba todos los días a la oficina"/>
    <s v="Diferentes que cuando iba todos los días a la oficina, ahora necesito menos horas para hacer lo mismo"/>
    <s v="Casi todas por videoconferencia"/>
    <s v="Mucho menor que cuando eran en la oficina"/>
    <s v="Mayor que cuando iba todos los días a la oficina"/>
    <s v="Menor que cuando iba todos los días a la oficina"/>
    <s v="Mayor que cuando iba todos los días a la oficina"/>
    <s v="Mucho Mayor que cuando iba todos los días a la oficina"/>
    <x v="0"/>
    <x v="0"/>
    <x v="3"/>
    <s v="Menor que cuando iba todos los días a la oficina"/>
    <x v="1"/>
    <s v="Mucho más que cuando iba todos los días a la oficina"/>
    <s v="No trabajo con personas de distintas culturas"/>
    <s v="No trabajo con personas con un horario distinto al mío"/>
    <s v="No trabajo  con personas que se encuentran geográficamente distribuidas"/>
    <s v="Mucho más que cuando iba todos los días a la oficina"/>
    <s v="Mas que cuando iba todos los días a la oficina"/>
    <s v="Mas que cuando iba todos los días a la oficina"/>
    <s v="Mas que cuando iba todos los días a la oficina"/>
    <s v="Mas que cuando iba todos los días a la oficina"/>
    <s v="Menores que cuando iba todos los días a la oficina"/>
    <s v="Mayor que cuando iba todos los días a la oficina"/>
    <s v="Igual que cuando iba todos los días a la oficina"/>
    <s v="Mucho menor que cuando iba todos los días a la oficina"/>
    <s v="Mayor que cuando iba todos los días a la oficina"/>
    <s v="Menor que cuando iba todos los días a la oficina"/>
    <s v="Menor que cuando iba todos los días a la oficina"/>
    <s v="Menor que cuando iba todos los días a la oficina"/>
    <s v="Mayor que cuando iba todos los días a la oficina"/>
    <s v="Mucho menores que cuando iba todos los días a la oficina"/>
    <s v="Mucho mayor que cuando iba todos los días a la oficina"/>
    <s v="No hay diferencias culturales en mi equipo"/>
    <s v="Mucho menor que cuando iba todos los días a la oficina"/>
    <s v="Mucho mayores que cuando iba todos los días a la oficina"/>
    <s v="No tengo que utilizar diferentes idiomas en mi trabajo"/>
    <s v="No trabajo con personas con distintos horarios"/>
    <s v="Menor que cuando iba todos los días a la oficina"/>
    <s v="Menores que cuando iba todos los días a la oficina"/>
    <s v="Mayor que cuando iba todos los días a la oficina"/>
    <s v="Mucho mayor que cuando iba todos los días a la oficina"/>
    <s v="Más que cuando iba todos los días a la oficina"/>
    <s v="Mucho mayores que cuando iba todos los días a la oficina"/>
    <s v="Mejor que cuando iba todos los días a la oficina"/>
    <s v="Mayor que cuando iba todos los días a la oficina"/>
    <s v="Mucho Mayor que cuando iba todos los días a la oficina"/>
    <s v="Mucho mayor que cuando iba todos los días a la oficina"/>
    <s v="Igual que cuando iba todos los días a la oficina"/>
    <s v="Mayor que cuando iba todos los días a la oficina"/>
    <s v="Mayor que cuando iba todos los días a la oficina"/>
    <s v="Mayor que cuando iba todos los días a la oficina"/>
    <s v="Mayor que cuando iba todos los días a la oficina"/>
    <s v="Menor que cuando iba todos los días a la oficina"/>
    <s v="Igual que cuando iba todos los días a la oficina"/>
    <s v="Mucho menores que cuando iba todos los días a la oficina"/>
    <s v="Menor que cuando iba todos los días a la oficina"/>
    <s v="Mayor que cuando iba todos los días a la oficina"/>
    <s v="Mucho menor que cuando iba todos los días a la oficina"/>
    <s v="Mucho menor que cuando iba todos los días a la oficina"/>
    <s v="Menor que cuando iba todos los días a la oficina"/>
    <s v="Mucho menor que cuando iba todos los días a la oficina"/>
    <s v="Peor que cuando iba todos los días a la oficina"/>
    <s v="Mayor que cuando iba todos los días a la oficina"/>
    <s v="Mucho menor que cuando iba todos los días a la oficina"/>
    <s v="Menor que cuando iba todos los días a la oficina"/>
    <s v="Menor que cuando iba todos los días a la oficina"/>
    <s v="Mucho menor que cuando iba todos los días a la oficina"/>
    <s v="Mayores que cuando iba todos los días a la oficina"/>
    <s v="Mayor que cuando iba todos los días a la oficina"/>
    <s v="Mucho mayor que cuando iba todos los días a la oficina"/>
    <s v="na.rodriguez2@uniandes.edu.co"/>
    <s v="301+ empleados"/>
    <n v="1"/>
  </r>
  <r>
    <s v="Colombia"/>
    <s v="&lt;35 años"/>
    <s v="Femenino"/>
    <s v="Maestria"/>
    <s v="5-10 años"/>
    <s v="Fullstack developer"/>
    <s v="Web UI Software Designer "/>
    <s v="&gt;500 empleados."/>
    <s v="Empresa que subcontrata (outsourcing) los servicios de otra empresa situada en otro país"/>
    <s v="Multinacional"/>
    <s v="Muy Frecuentemente"/>
    <s v="Alto"/>
    <s v="&gt;5 días"/>
    <s v="Ninguno"/>
    <s v="Remota ( todos los días en casa)"/>
    <s v="Consensuada por las dos partes"/>
    <s v="De acuerdo"/>
    <s v="Mayor que cuando iba todos los días a la oficina"/>
    <s v="Mayor que cuando iba todos los días a la oficina"/>
    <s v="Mayor que cuando iba todos los días a la oficina"/>
    <s v="Muy diferentes que cuando iba todos los días a la oficina, ahora necesito muchas menos horas para hacer lo mismo"/>
    <s v="Todas por videoconferencia"/>
    <s v="Mayor que cuando eran en la oficina"/>
    <s v="Mayor que cuando iba todos los días a la oficina"/>
    <s v="Mayor que cuando iba todos los días a la oficina"/>
    <s v="Igual que cuando iba todos los días a la oficina"/>
    <s v="Mayor que cuando iba todos los días a la oficina"/>
    <x v="2"/>
    <x v="1"/>
    <x v="2"/>
    <s v="Mayor que cuando iba todos los días a la oficina"/>
    <x v="2"/>
    <s v="Igual que cuando iba todos los días a la oficina"/>
    <s v="Igual que cuando iba todos los días a la oficina"/>
    <s v="Menos que cuando iba todos los días a la oficina"/>
    <s v="Igual que cuando iba todos los días a la oficina"/>
    <s v="Igual que cuando iba todos los días a la oficina"/>
    <s v="Igual que cuando iba todos los días a la oficina"/>
    <s v="Mas que cuando iba todos los días a la oficina"/>
    <s v="Mas que cuando iba todos los días a la oficina"/>
    <s v="Igual que cuando iba todos los días a la oficina"/>
    <s v="Iguales que cuando iba todos los días a la oficina"/>
    <s v="Igual que cuando iba todos los días a la oficina"/>
    <s v="Igual que cuando iba todos los días a la oficina"/>
    <s v="Mayor que cuando iba todos los días a la oficina"/>
    <s v="Mayor que cuando iba todos los días a la oficina"/>
    <s v="Igual que cuando iba todos los días a la oficina"/>
    <s v="Igual que cuando iba todos los días a la oficina"/>
    <s v="Igual que cuando iba todos los días a la oficina"/>
    <s v="Mayor que cuando iba todos los días a la oficina"/>
    <s v="Iguales que cuando iba todos los días a la oficina"/>
    <s v="Igual que cuando iba todos los días a la oficina"/>
    <s v="Iguales que cuando iba todos los días a la oficina"/>
    <s v="Igual que cuando iba todos los días a la oficina"/>
    <s v="Iguales que cuando iba todos los días a la oficina"/>
    <s v="Iguales que cuando iba todos los días a la oficina"/>
    <s v="Igual que cuando iba todos los días a la oficina"/>
    <s v="Igual que cuando iba todos los días a la oficina"/>
    <s v="Menores que cuando iba todos los días a la oficina"/>
    <s v="Mayor que cuando iba todos los días a la oficina"/>
    <s v="Mayor que cuando iba todos los días a la oficina"/>
    <s v="Igual que cuando iba todos los días a la oficina"/>
    <s v="Iguales que cuando iba todos los días a la oficina"/>
    <s v="Igual que cuando iba todos los días a la oficina"/>
    <s v="Mayor que cuando iba todos los días a la oficina"/>
    <s v="Mayor que cuando iba todos los días a la oficina"/>
    <s v="Mayor que cuando iba todos los días a la oficina"/>
    <s v="Mayor que cuando iba todos los días a la oficina"/>
    <s v="Mayor que cuando iba todos los días a la oficina"/>
    <s v="Mayor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Mayores que cuando iba todos los días a la oficina"/>
    <s v="Igual que cuando iba todos los días a la oficina"/>
    <s v="Mayor que cuando iba todos los días a la oficina"/>
    <s v="Mayor que cuando iba todos los días a la oficina"/>
    <s v="Igual que cuando iba todos los días a la oficina"/>
    <s v="Menor que cuando iba todos los días a la oficina"/>
    <s v="Igual que cuando iba todos los días a la oficina"/>
    <s v="Igual que cuando iba todos los días a la oficina"/>
    <s v="Igual que cuando iba todos los días a la oficina"/>
    <s v="Menor que cuando iba todos los días a la oficina"/>
    <s v="Menor que cuando iba todos los días a la oficina"/>
    <s v="Igual que cuando iba todos los días a la oficina"/>
    <s v="Igual que cuando iba todos los días a la oficina"/>
    <s v="Iguales que cuando iba todos los días a la oficina"/>
    <s v="Menor que cuando iba todos los días a la oficina"/>
    <s v="Mayor que cuando iba todos los días a la oficina"/>
    <m/>
    <s v="301+ empleados"/>
    <n v="0"/>
  </r>
  <r>
    <s v="Colombia"/>
    <s v="&lt;35 años"/>
    <s v="Masculino"/>
    <s v="Maestría"/>
    <s v="11-20 años"/>
    <s v="Gerente general"/>
    <s v="Gerente general"/>
    <s v="&lt;50 empleados"/>
    <s v="Fábrica de Software"/>
    <s v="Local"/>
    <s v="Casi Nunca"/>
    <s v="Alto"/>
    <s v="&gt;5 días"/>
    <s v="Ninguno"/>
    <s v="Remota ( todos los días en casa)"/>
    <s v="Consensuada por las dos partes"/>
    <s v="En desacuerdo"/>
    <s v="Igual que cuando iba todos los días a la oficina"/>
    <s v="Menor que cuando iba todos los días a la oficina"/>
    <s v="Igual que cuando iba todos los días a la oficina"/>
    <s v="Diferentes que cuando iba todos los días a la oficina, ahora necesito menos horas para hacer lo mismo"/>
    <s v="Casi todas por videoconferencia"/>
    <s v="Menor que cuando eran en la oficina"/>
    <s v="Menor cuando iba todos los días a la oficina"/>
    <s v="Menor que cuando iba todos los días a la oficina"/>
    <s v="Menor que cuando iba todos los días a la oficina"/>
    <s v="Igual que cuando iba todos los días a la oficina"/>
    <x v="2"/>
    <x v="1"/>
    <x v="0"/>
    <s v="Igual que cuando iba todos los días a la oficina"/>
    <x v="1"/>
    <s v="Más que cuando iba todos los días a la oficina"/>
    <s v="No trabajo con personas de distintas culturas"/>
    <s v="No trabajo con personas con un horario distinto al mío"/>
    <s v="Igual que cuando iba todos los días a la oficina"/>
    <s v="Más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Mayores que cuando iba todos los días a la oficina"/>
    <s v="Igual que cuando iba todos los días a la oficina"/>
    <s v="Igual que cuando iba todos los días a la oficina"/>
    <s v="Menor que cuando iba todos los días a la oficina"/>
    <s v="Igual que cuando iba todos los días a la oficina"/>
    <s v="Menor que cuando iba todos los días a la oficina"/>
    <s v="Igual que cuando iba todos los días a la oficina"/>
    <s v="Menor que cuando iba todos los días a la oficina"/>
    <s v="Mucho mayor que cuando iba todos los días a la oficina"/>
    <s v="Menores que cuando iba todos los días a la oficina"/>
    <s v="Mucho mayor que cuando iba todos los días a la oficina"/>
    <s v="No hay diferencias culturales en mi equipo"/>
    <s v="Mayor que cuando iba todos los días a la oficina"/>
    <s v="Mayores que cuando iba todos los días a la oficina"/>
    <s v="No tengo que utilizar diferentes idiomas en mi trabajo"/>
    <s v="No trabajo con personas con distintos horarios"/>
    <s v="Menor que cuando iba todos los días a la oficina"/>
    <s v="Mucho menores que cuando iba todos los días a la oficina"/>
    <s v="Mayor que cuando iba todos los días a la oficina"/>
    <s v="Igual que cuando iba todos los días a la oficina"/>
    <s v="Igual que cuando iba todos los días a la oficina"/>
    <s v="Iguales que cuando iba todos los días a la oficina"/>
    <s v="Mejor que cuando iba todos los días a la oficina"/>
    <s v="Mayor que cuando iba todos los días a la oficina"/>
    <s v="Menor que cuando iba todos los días a la oficina"/>
    <s v="Mayor que cuando iba todos los días a la oficina"/>
    <s v="Igual que cuando iba todos los días a la oficina"/>
    <s v="Igual que cuando iba todos los días a la oficina"/>
    <s v="Igual que cuando iba todos los días a la oficina"/>
    <s v="Mayor que cuando iba todos los días a la oficina"/>
    <s v="Igual que cuando iba todos los días a la oficina"/>
    <s v="Igual que cuando iba todos los días a la oficina"/>
    <s v="Igual que cuando iba todos los días a la oficina"/>
    <s v="Menores que cuando iba todos los días a la oficina"/>
    <s v="Igual que cuando iba todos los días a la oficina"/>
    <s v="Menor que cuando iba todos los días a la oficina"/>
    <s v="Mayor que cuando iba todos los días a la oficina"/>
    <s v="Menor que cuando iba todos los días a la oficina"/>
    <s v="Menor que cuando iba todos los días a la oficina"/>
    <s v="Igual que cuando iba todos los días a la oficina"/>
    <s v="Igual que cuando iba todos los días a la oficina"/>
    <s v="Igual que cuando iba todos los días a la oficina"/>
    <s v="Mucho menor que cuando iba todos los días a la oficina"/>
    <s v="Igual que cuando iba todos los días a la oficina"/>
    <s v="Mayor que cuando iba todos los días a la oficina"/>
    <s v="Menor que cuando iba todos los días a la oficina"/>
    <s v="Iguales que cuando iba todos los días a la oficina"/>
    <s v="Igual que cuando iba todos los días a la oficina"/>
    <s v="Igual que cuando iba todos los días a la oficina"/>
    <s v="gcarrillo@sinerware.com"/>
    <s v="&lt;301 empleados"/>
    <n v="1"/>
  </r>
  <r>
    <s v="Colombia"/>
    <s v="&lt;35 años"/>
    <s v="Masculino"/>
    <s v="Maestria"/>
    <s v="11-20 años"/>
    <s v="Programador Junior"/>
    <s v="Programador Senior"/>
    <s v="301-500 empleados"/>
    <s v="Empresa que desarrolla software a medida partiendo desde cero"/>
    <s v="Multinacional"/>
    <s v="Muy Frecuentemente"/>
    <s v="Alto"/>
    <s v="&gt;5 días"/>
    <s v="Ninguno"/>
    <s v="Remota ( todos los días en casa)"/>
    <s v="Decidida por ti"/>
    <s v="Totalmente de acuerdo"/>
    <s v="Mucho mayor que cuando iba todos los días a la oficina"/>
    <s v="Mucho Mayor que cuando iba todos los días a la oficina"/>
    <s v="Mucho Mayor que cuando iba todos los días a la oficina"/>
    <s v="Iguales que cuando iba todos los días a la oficina"/>
    <s v="Todas por videoconferencia"/>
    <s v="Mayor que cuando eran en la oficina"/>
    <s v="Mucho Mayor que cuando iba todos los días a la oficina"/>
    <s v="No tengo la información para contestar a la pregunta"/>
    <s v="No tengo la información para contestar a la pregunta"/>
    <s v="Mucho Mayor que cuando iba todos los días a la oficina"/>
    <x v="1"/>
    <x v="2"/>
    <x v="1"/>
    <s v="Mucho mayor que cuando iba todos los días a la oficina"/>
    <x v="3"/>
    <s v="No tengo la información para contestar a la pregunta"/>
    <s v="Mucho menos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es que cuando iba todos los días a la oficina"/>
    <s v="Igual que cuando iba todos los días a la oficina"/>
    <s v="Igual que cuando iba todos los días a la oficina"/>
    <s v="Mucho menor que cuando iba todos los días a la oficina"/>
    <s v="Mucho Mayor que cuando iba todos los días a la oficina"/>
    <s v="Mucho menor que cuando iba todos los días a la oficina"/>
    <s v="Mucho menor que cuando iba todos los días a la oficina"/>
    <s v="Mucho menor que cuando iba todos los días a la oficina"/>
    <s v="Mucho mayor que cuando iba todos los días a la oficina"/>
    <s v="Iguales que cuando iba todos los días a la oficina"/>
    <s v="Igual que cuando iba todos los días a la oficina"/>
    <s v="Iguales que cuando iba todos los días a la oficina"/>
    <s v="Igual que cuando iba todos los días a la oficina"/>
    <s v="Iguales que cuando iba todos los días a la oficina"/>
    <s v="Iguales que cuando iba todos los días a la oficina"/>
    <s v="Igual que cuando iba todos los días a la oficina"/>
    <s v="Igual que cuando iba todos los días a la oficina"/>
    <s v="Iguales que cuando iba todos los días a la oficina"/>
    <s v="Igual que cuando iba todos los días a la oficina"/>
    <s v="Igual que cuando iba todos los días a la oficina"/>
    <s v="Igual que cuando iba todos los días a la oficina"/>
    <s v="Iguales que cuando iba todos los días a la oficina"/>
    <s v="Igual que cuando iba todos los días a la oficina"/>
    <s v="Mucho Mayor que cuando iba todos los días a la oficina"/>
    <s v="Igual que cuando iba todos los días a la oficina"/>
    <s v="Mucho mayor que cuando iba todos los días a la oficina"/>
    <s v="Igual que cuando iba todos los días a la oficina"/>
    <s v="Igual que cuando iba todos los días a la oficina"/>
    <s v="Mayor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es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es que cuando iba todos los días a la oficina"/>
    <s v="Igual que cuando iba todos los días a la oficina"/>
    <s v="Igual que cuando iba todos los días a la oficina"/>
    <m/>
    <s v="301+ empleados"/>
    <n v="0"/>
  </r>
  <r>
    <s v="Colombia"/>
    <s v="&lt;35 años"/>
    <s v="Femenino"/>
    <s v="Maestria"/>
    <s v="11-20 años"/>
    <s v="QA Tester"/>
    <s v="NInguno"/>
    <s v="&lt;50 empleados"/>
    <s v="Empresa que subcontrata (outsourcing) los servicios de otra empresa situada en otro país"/>
    <s v="Local"/>
    <s v="Muy Frecuentemente"/>
    <s v="Alto"/>
    <s v="&gt;5 días"/>
    <s v="Ninguno"/>
    <s v="Remota ( todos los días en casa)"/>
    <s v="Decidida por ti"/>
    <s v="Totalmente en desacuerdo"/>
    <s v="Igual que cuando iba todos los días a la oficina"/>
    <s v="Igual que cuando iba todos los días a la oficina"/>
    <s v="Igual que cuando iba todos los días a la oficina"/>
    <s v="Diferentes que cuando iba todos los días a la oficina, ahora necesito menos horas para hacer lo mismo"/>
    <s v="Todas por videoconferencia"/>
    <s v="Mucho menor que cuando eran en la oficina"/>
    <s v="Mayor que cuando iba todos los días a la oficina"/>
    <s v="Mayor que cuando iba todos los días a la oficina"/>
    <s v="Igual que cuando iba todos los días a la oficina"/>
    <s v="Mayor que cuando iba todos los días a la oficina"/>
    <x v="2"/>
    <x v="2"/>
    <x v="1"/>
    <s v="Mayor que cuando iba todos los días a la oficina"/>
    <x v="3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Mucho más que cuando iba todos los días a la oficina"/>
    <s v="Igual que cuando iba todos los días a la oficina"/>
    <s v="Igual que cuando iba todos los días a la oficina"/>
    <s v="Iguales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Mucho mayor que cuando iba todos los días a la oficina"/>
    <s v="Iguales que cuando iba todos los días a la oficina"/>
    <s v="Igual que cuando iba todos los días a la oficina"/>
    <s v="Mayores que cuando iba todos los días a la oficina"/>
    <s v="Igual que cuando iba todos los días a la oficina"/>
    <s v="Iguales que cuando iba todos los días a la oficina"/>
    <s v="Iguales que cuando iba todos los días a la oficina"/>
    <s v="Igual que cuando iba todos los días a la oficina"/>
    <s v="Igual que cuando iba todos los días a la oficina"/>
    <s v="Iguales que cuando iba todos los días a la oficina"/>
    <s v="Mucho mayor que cuando iba todos los días a la oficina"/>
    <s v="Igual que cuando iba todos los días a la oficina"/>
    <s v="Igual que cuando iba todos los días a la oficina"/>
    <s v="Iguales que cuando iba todos los días a la oficina"/>
    <s v="Igual que cuando iba todos los días a la oficina"/>
    <s v="Mayor que cuando iba todos los días a la oficina"/>
    <s v="Mayor que cuando iba todos los días a la oficina"/>
    <s v="Mayor que cuando iba todos los días a la oficina"/>
    <s v="Igual que cuando iba todos los días a la oficina"/>
    <s v="Igual que cuando iba todos los días a la oficina"/>
    <s v="Igual que cuando iba todos los días a la oficina"/>
    <s v="Mayor que cuando iba todos los días a la oficina"/>
    <s v="Igual que cuando iba todos los días a la oficina"/>
    <s v="Igual que cuando iba todos los días a la oficina"/>
    <s v="Igual que cuando iba todos los días a la oficina"/>
    <s v="Iguales que cuando iba todos los días a la oficina"/>
    <s v="Igual que cuando iba todos los días a la oficina"/>
    <s v="Mucho Mayor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Mucho Mayor que cuando iba todos los días a la oficina"/>
    <s v="Menor que cuando iba todos los días a la oficina"/>
    <s v="Iguales que cuando iba todos los días a la oficina"/>
    <s v="Igual que cuando iba todos los días a la oficina"/>
    <s v="Igual que cuando iba todos los días a la oficina"/>
    <s v="rdpcm82@gmail.com"/>
    <s v="&lt;301 empleados"/>
    <n v="0"/>
  </r>
  <r>
    <s v="Colombia"/>
    <s v="&lt;35 años"/>
    <s v="Masculino"/>
    <s v="PhD"/>
    <s v="5-10 años"/>
    <s v="Senior Software Engineer"/>
    <s v="Developer Support Engineer"/>
    <s v="&lt;50 empleados"/>
    <s v="Fábrica de Software"/>
    <s v="Multinacional"/>
    <s v="Muy Frecuentemente"/>
    <s v="Alto"/>
    <s v="&gt;5 días"/>
    <s v="Ninguno"/>
    <s v="Remota ( todos los días en casa)"/>
    <s v="Consensuada por las dos partes"/>
    <s v="De acuerdo"/>
    <s v="Igual que cuando iba todos los días a la oficina"/>
    <s v="Menor que cuando iba todos los días a la oficina"/>
    <s v="Mucho menor que cuando iba todos los días a la oficina"/>
    <s v="Diferentes que cuando iba todos los días a la oficina, ahora necesito menos horas para hacer lo mismo"/>
    <s v="Todas por videoconferencia"/>
    <s v="Menor que cuando eran en la oficina"/>
    <s v="Igual que cuando iba todos los días a la oficina"/>
    <s v="Igual que cuando iba todos los días a la oficina"/>
    <s v="Igual que cuando iba todos los días a la oficina"/>
    <s v="Mucho Mayor que cuando iba todos los días a la oficina"/>
    <x v="1"/>
    <x v="1"/>
    <x v="0"/>
    <s v="Mayor que cuando iba todos los días a la oficina"/>
    <x v="4"/>
    <s v="Más que cuando iba todos los días a la oficina"/>
    <s v="Igual que cuando iba todos los días a la oficina"/>
    <s v="Más que cuando iba todos los días a la oficina"/>
    <s v="Más que cuando iba todos los días a la oficina"/>
    <s v="Más que cuando iba todos los días a la oficina"/>
    <s v="Igual que cuando iba todos los días a la oficina"/>
    <s v="Igual que cuando iba todos los días a la oficina"/>
    <s v="Igual que cuando iba todos los días a la oficina"/>
    <s v="Mas que cuando iba todos los días a la oficina"/>
    <s v="Iguales que cuando iba todos los días a la oficina"/>
    <s v="Mayor que cuando iba todos los días a la oficina"/>
    <s v="Mayor que cuando iba todos los días a la oficina"/>
    <s v="Menor que cuando iba todos los días a la oficina"/>
    <s v="Mayor que cuando iba todos los días a la oficina"/>
    <s v="Mayor que cuando iba todos los días a la oficina"/>
    <s v="Mayor que cuando iba todos los días a la oficina"/>
    <s v="Igual que cuando iba todos los días a la oficina"/>
    <s v="Mucho mayor que cuando iba todos los días a la oficina"/>
    <s v="Iguales que cuando iba todos los días a la oficina"/>
    <s v="Igual que cuando iba todos los días a la oficina"/>
    <s v="Iguales que cuando iba todos los días a la oficina"/>
    <s v="Igual que cuando iba todos los días a la oficina"/>
    <s v="Mayores que cuando iba todos los días a la oficina"/>
    <s v="Iguales que cuando iba todos los días a la oficina"/>
    <s v="Igual que cuando iba todos los días a la oficina"/>
    <s v="Menor que cuando iba todos los días a la oficina"/>
    <s v="Mucho menores que cuando iba todos los días a la oficina"/>
    <s v="Mucho mayor que cuando iba todos los días a la oficina"/>
    <s v="Igual que cuando iba todos los días a la oficina"/>
    <s v="Igual que cuando iba todos los días a la oficina"/>
    <s v="Iguales que cuando iba todos los días a la oficina"/>
    <s v="Igual que cuando iba todos los días a la oficina"/>
    <s v="Mucho Mayor que cuando iba todos los días a la oficina"/>
    <s v="Mucho Mayor que cuando iba todos los días a la oficina"/>
    <s v="Mucho mayor que cuando iba todos los días a la oficina"/>
    <s v="Igual que cuando iba todos los días a la oficina"/>
    <s v="Igual que cuando iba todos los días a la oficina"/>
    <s v="Mucho Mayor que cuando iba todos los días a la oficina"/>
    <s v="Mucho Mayor que cuando iba todos los días a la oficina"/>
    <s v="Mucho Mayor que cuando iba todos los días a la oficina"/>
    <s v="Mayor que cuando iba todos los días a la oficina"/>
    <s v="Igual que cuando iba todos los días a la oficina"/>
    <s v="Mayores que cuando iba todos los días a la oficina"/>
    <s v="Igual que cuando iba todos los días a la oficina"/>
    <s v="Mucho Mayor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Mejor que cuando iba todos los días a la oficina"/>
    <s v="Menor que cuando iba todos los días a la oficina"/>
    <s v="Menor que cuando iba todos los días a la oficina"/>
    <s v="Igual que cuando iba todos los días a la oficina"/>
    <s v="Mayor que cuando iba todos los días a la oficina"/>
    <s v="Mayor que cuando iba todos los días a la oficina"/>
    <s v="Mayores que cuando iba todos los días a la oficina"/>
    <s v="Mayor que cuando iba todos los días a la oficina"/>
    <s v="Mucho mayor que cuando iba todos los días a la oficina"/>
    <m/>
    <s v="&lt;301 empleados"/>
    <n v="0"/>
  </r>
  <r>
    <s v="Colombia"/>
    <s v="&lt;35 años"/>
    <s v="Masculino"/>
    <s v="Posgrado"/>
    <s v="21-30 años"/>
    <s v="Technical Manager"/>
    <s v="Technical Manager"/>
    <s v="&gt;500 empleados."/>
    <s v="Empresa que desarrolla software a medida partiendo desde cero"/>
    <s v="Multinacional"/>
    <s v="Muy Frecuentemente"/>
    <s v="Alto"/>
    <s v="&gt;5 días"/>
    <s v="Ninguno"/>
    <s v="Remota ( todos los días en casa)"/>
    <s v="Consensuada por las dos partes"/>
    <s v="Totalmente en desacuerdo"/>
    <s v="Mucho menor que cuando iba todos los días a la oficina"/>
    <s v="Menor que cuando iba todos los días a la oficina"/>
    <s v="Menor que cuando iba todos los días a la oficina"/>
    <s v="Diferentes que cuando iba todos los días a la oficina, ahora necesito menos horas para hacer lo mismo"/>
    <s v="Todas por videoconferencia"/>
    <s v="Mayor que cuando eran en la oficina"/>
    <s v="Menor cuando iba todos los días a la oficina"/>
    <s v="Mayor que cuando iba todos los días a la oficina"/>
    <s v="Mayor que cuando iba todos los días a la oficina"/>
    <s v="Menor que cuando iba todos los días a la oficina"/>
    <x v="0"/>
    <x v="1"/>
    <x v="1"/>
    <s v="Igual que cuando iba todos los días a la oficina"/>
    <x v="1"/>
    <s v="Mucho más que cuando iba todos los días a la oficina"/>
    <s v="Igual que cuando iba todos los días a la oficina"/>
    <s v="Igual que cuando iba todos los días a la oficina"/>
    <s v="Igual que cuando iba todos los días a la oficina"/>
    <s v="Más que cuando iba todos los días a la oficina"/>
    <s v="Mas que cuando iba todos los días a la oficina"/>
    <s v="Mucho más que cuando iba todos los días a la oficina"/>
    <s v="Mas que cuando iba todos los días a la oficina"/>
    <s v="Igual que cuando iba todos los días a la oficina"/>
    <s v="Iguales que cuando iba todos los días a la oficina"/>
    <s v="Mayor que cuando iba todos los días a la oficina"/>
    <s v="Menor que cuando iba todos los días a la oficina"/>
    <s v="Mayor que cuando iba todos los días a la oficina"/>
    <s v="Mayor que cuando iba todos los días a la oficina"/>
    <s v="Menor que cuando iba todos los días a la oficina"/>
    <s v="Igual que cuando iba todos los días a la oficina"/>
    <s v="Igual que cuando iba todos los días a la oficina"/>
    <s v="Mucho mayor que cuando iba todos los días a la oficina"/>
    <s v="Menores que cuando iba todos los días a la oficina"/>
    <s v="Igual que cuando iba todos los días a la oficina"/>
    <s v="Iguales que cuando iba todos los días a la oficina"/>
    <s v="Mayor que cuando iba todos los días a la oficina"/>
    <s v="Iguales que cuando iba todos los días a la oficina"/>
    <s v="Iguales que cuando iba todos los días a la oficina"/>
    <s v="Igual que cuando iba todos los días a la oficina"/>
    <s v="Igual que cuando iba todos los días a la oficina"/>
    <s v="Mayores que cuando iba todos los días a la oficina"/>
    <s v="Mucho mayor que cuando iba todos los días a la oficina"/>
    <s v="Mayor que cuando iba todos los días a la oficina"/>
    <s v="Más que cuando iba todos los días a la oficina"/>
    <s v="Iguales que cuando iba todos los días a la oficina"/>
    <s v="Mejor que cuando iba todos los días a la oficina"/>
    <s v="Menor que cuando iba todos los días a la oficina"/>
    <s v="Mucho menor que cuando iba todos los días a la oficina"/>
    <s v="Mayor que cuando iba todos los días a la oficina"/>
    <s v="Igual que cuando iba todos los días a la oficina"/>
    <s v="Igual que cuando iba todos los días a la oficina"/>
    <s v="Mayor que cuando iba todos los días a la oficina"/>
    <s v="Igual que cuando iba todos los días a la oficina"/>
    <s v="Igual que cuando iba todos los días a la oficina"/>
    <s v="Mayor que cuando iba todos los días a la oficina"/>
    <s v="Igual que cuando iba todos los días a la oficina"/>
    <s v="Iguales que cuando iba todos los días a la oficina"/>
    <s v="Mayor que cuando iba todos los días a la oficina"/>
    <s v="Mayor que cuando iba todos los días a la oficina"/>
    <s v="Mucho menor que cuando iba todos los días a la oficina"/>
    <s v="Mayor que cuando iba todos los días a la oficina"/>
    <s v="Igual que cuando iba todos los días a la oficina"/>
    <s v="Menor que cuando iba todos los días a la oficina"/>
    <s v="Igual que cuando iba todos los días a la oficina"/>
    <s v="Mayor que cuando iba todos los días a la oficina"/>
    <s v="Mucho menor que cuando iba todos los días a la oficina"/>
    <s v="Menor que cuando iba todos los días a la oficina"/>
    <s v="Mayor que cuando iba todos los días a la oficina"/>
    <s v="Mucho menor que cuando iba todos los días a la oficina"/>
    <s v="Menores que cuando iba todos los días a la oficina"/>
    <s v="Igual que cuando iba todos los días a la oficina"/>
    <s v="Mayor que cuando iba todos los días a la oficina"/>
    <s v="dxcorzo@gmail.com"/>
    <s v="301+ empleados"/>
    <n v="1"/>
  </r>
  <r>
    <s v="Colombia"/>
    <s v="&lt;35 años"/>
    <s v="Masculino"/>
    <s v="universitario"/>
    <s v="5-10 años"/>
    <s v="Web Team Lead"/>
    <s v="CTO"/>
    <s v="&lt;50 empleados"/>
    <s v="Empresa que desarrolla software a medida partiendo desde cero"/>
    <s v="Multinacional"/>
    <s v="Muy Frecuentemente"/>
    <s v="Alto"/>
    <s v="&gt;5 días"/>
    <s v="Ninguno"/>
    <s v="Remota ( todos los días en casa)"/>
    <s v="Consensuada por las dos partes"/>
    <s v="En desacuerdo"/>
    <s v="Mayor que cuando iba todos los días a la oficina"/>
    <s v="Mayor que cuando iba todos los días a la oficina"/>
    <s v="Menor que cuando iba todos los días a la oficina"/>
    <s v="Diferentes que cuando iba todos los días a la oficina, ahora necesito menos horas para hacer lo mismo"/>
    <s v="Todas por videoconferencia"/>
    <s v="Menor que cuando eran en la oficina"/>
    <s v="Mucho Mayor que cuando iba todos los días a la oficina"/>
    <s v="Mucho Mayor que cuando iba todos los días a la oficina"/>
    <s v="Mucho Mayor que cuando iba todos los días a la oficina"/>
    <s v="Mayor que cuando iba todos los días a la oficina"/>
    <x v="1"/>
    <x v="1"/>
    <x v="2"/>
    <s v="Mayor que cuando iba todos los días a la oficina"/>
    <x v="4"/>
    <s v="Igual que cuando iba todos los días a la oficina"/>
    <s v="Mucho más que cuando iba todos los días a la oficina"/>
    <s v="Menos que cuando iba todos los días a la oficina"/>
    <s v="Mucho menos que cuando iba todos los días a la oficina"/>
    <s v="Mucho menos que cuando iba todos los días a la oficina"/>
    <s v="Menos que cuando iba todos los días a la oficina"/>
    <s v="Menos que cuando iba todos los días a la oficina"/>
    <s v="Mas que cuando iba todos los días a la oficina"/>
    <s v="Igual que cuando iba todos los días a la oficina"/>
    <s v="Mayores que cuando iba todos los días a la oficina"/>
    <s v="Mayor que cuando iba todos los días a la oficina"/>
    <s v="Mucho Mayor que cuando iba todos los días a la oficina"/>
    <s v="Menor que cuando iba todos los días a la oficina"/>
    <s v="Mayor que cuando iba todos los días a la oficina"/>
    <s v="Menor que cuando iba todos los días a la oficina"/>
    <s v="Mayor que cuando iba todos los días a la oficina"/>
    <s v="Igual que cuando iba todos los días a la oficina"/>
    <s v="Mucho mayor que cuando iba todos los días a la oficina"/>
    <s v="Menores que cuando iba todos los días a la oficina"/>
    <s v="Mucho mayor que cuando iba todos los días a la oficina"/>
    <s v="Iguales que cuando iba todos los días a la oficina"/>
    <s v="Mayor que cuando iba todos los días a la oficina"/>
    <s v="Mucho mayores que cuando iba todos los días a la oficina"/>
    <s v="No tengo que utilizar diferentes idiomas en mi trabajo"/>
    <s v="Igual que cuando iba todos los días a la oficina"/>
    <s v="Menor que cuando iba todos los días a la oficina"/>
    <s v="Menores que cuando iba todos los días a la oficina"/>
    <s v="Mayor que cuando iba todos los días a la oficina"/>
    <s v="Igual que cuando iba todos los días a la oficina"/>
    <s v="Mucho más que cuando iba todos los días a la oficina"/>
    <s v="Iguales que cuando iba todos los días a la oficina"/>
    <s v="Igual que cuando iba todos los días a la oficina"/>
    <s v="Igual que cuando iba todos los días a la oficina"/>
    <s v="Mayor que cuando iba todos los días a la oficina"/>
    <s v="Mucho mayor que cuando iba todos los días a la oficina"/>
    <s v="Mayor que cuando iba todos los días a la oficina"/>
    <s v="Mayor que cuando iba todos los días a la oficina"/>
    <s v="Mucho Mayor que cuando iba todos los días a la oficina"/>
    <s v="Mayor que cuando iba todos los días a la oficina"/>
    <s v="Igual que cuando iba todos los días a la oficina"/>
    <s v="Menor que cuando iba todos los días a la oficina"/>
    <s v="Igual que cuando iba todos los días a la oficina"/>
    <s v="Iguales que cuando iba todos los días a la oficina"/>
    <s v="Mayor que cuando iba todos los días a la oficina"/>
    <s v="Mucho Mayor que cuando iba todos los días a la oficina"/>
    <s v="Menor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Mayor que cuando iba todos los días a la oficina"/>
    <s v="Igual que cuando iba todos los días a la oficina"/>
    <s v="Mayores que cuando iba todos los días a la oficina"/>
    <s v="Igual que cuando iba todos los días a la oficina"/>
    <s v="Mayor que cuando iba todos los días a la oficina"/>
    <s v="encuestauniandes@estebandalelr.co"/>
    <s v="&lt;301 empleados"/>
    <n v="1"/>
  </r>
  <r>
    <s v="España"/>
    <s v="&lt;35 años"/>
    <s v="Masculino"/>
    <s v="Máster universitario"/>
    <s v="5-10 años"/>
    <s v="Analista de ciberseguridad"/>
    <s v="Analista de ciberseguridad"/>
    <s v="&gt;500 empleados."/>
    <s v="Empresa que desarrolla software a medida partiendo desde cero"/>
    <s v="Multinacional"/>
    <s v="A veces"/>
    <s v="Alto"/>
    <s v="&gt;5 días"/>
    <s v="Ninguno"/>
    <s v="Remota ( todos los días en casa)"/>
    <s v="Consensuada por las dos partes"/>
    <s v="De acuerdo"/>
    <s v="Menor que cuando iba todos los días a la oficina"/>
    <s v="Menor que cuando iba todos los días a la oficina"/>
    <s v="Menor que cuando iba todos los días a la oficina"/>
    <s v="Diferentes que cuando iba todos los días a la oficina, ahora necesito menos horas para hacer lo mismo"/>
    <s v="Todas por videoconferencia"/>
    <s v="Menor que cuando eran en la oficina"/>
    <s v="Mucho Mayor que cuando iba todos los días a la oficina"/>
    <s v="Mucho Mayor que cuando iba todos los días a la oficina"/>
    <s v="Mucho Mayor que cuando iba todos los días a la oficina"/>
    <s v="Igual que cuando iba todos los días a la oficina"/>
    <x v="1"/>
    <x v="0"/>
    <x v="0"/>
    <s v="Igual que cuando iba todos los días a la oficina"/>
    <x v="1"/>
    <s v="Más que cuando iba todos los días a la oficina"/>
    <s v="Igual que cuando iba todos los días a la oficina"/>
    <s v="Igual que cuando iba todos los días a la oficina"/>
    <s v="Igual que cuando iba todos los días a la oficina"/>
    <s v="Más que cuando iba todos los días a la oficina"/>
    <s v="Mas que cuando iba todos los días a la oficina"/>
    <s v="Igual que cuando iba todos los días a la oficina"/>
    <s v="Igual que cuando iba todos los días a la oficina"/>
    <s v="Mas que cuando iba todos los días a la oficina"/>
    <s v="Iguales que cuando iba todos los días a la oficina"/>
    <s v="Igual que cuando iba todos los días a la oficina"/>
    <s v="Igual que cuando iba todos los días a la oficina"/>
    <s v="Mucho menor que cuando iba todos los días a la oficina"/>
    <s v="Igual que cuando iba todos los días a la oficina"/>
    <s v="Menor que cuando iba todos los días a la oficina"/>
    <s v="Menor que cuando iba todos los días a la oficina"/>
    <s v="Igual que cuando iba todos los días a la oficina"/>
    <s v="Mayor que cuando iba todos los días a la oficina"/>
    <s v="Iguales que cuando iba todos los días a la oficina"/>
    <s v="Mayor que cuando iba todos los días a la oficina"/>
    <s v="Mucho menores que cuando iba todos los días a la oficina"/>
    <s v="Igual que cuando iba todos los días a la oficina"/>
    <s v="Iguales que cuando iba todos los días a la oficina"/>
    <s v="Iguales que cuando iba todos los días a la oficina"/>
    <s v="Menos que cuando iba todos los días a la oficina"/>
    <s v="Menor que cuando iba todos los días a la oficina"/>
    <s v="Menores que cuando iba todos los días a la oficina"/>
    <s v="Mayor que cuando iba todos los días a la oficina"/>
    <s v="Igual que cuando iba todos los días a la oficina"/>
    <s v="Igual que cuando iba todos los días a la oficina"/>
    <s v="Iguales que cuando iba todos los días a la oficina"/>
    <s v="Igual que cuando iba todos los días a la oficina"/>
    <s v="Igual que cuando iba todos los días a la oficina"/>
    <s v="Mayor que cuando iba todos los días a la oficina"/>
    <s v="Mucho mayor que cuando iba todos los días a la oficina"/>
    <s v="Igual que cuando iba todos los días a la oficina"/>
    <s v="Igual que cuando iba todos los días a la oficina"/>
    <s v="Igual que cuando iba todos los días a la oficina"/>
    <s v="Menor que cuando iba todos los días a la oficina"/>
    <s v="Igual que cuando iba todos los días a la oficina"/>
    <s v="Igual que cuando iba todos los días a la oficina"/>
    <s v="Igual que cuando iba todos los días a la oficina"/>
    <s v="Menores que cuando iba todos los días a la oficina"/>
    <s v="Igual que cuando iba todos los días a la oficina"/>
    <s v="Mucho Mayor que cuando iba todos los días a la oficina"/>
    <s v="Igual que cuando iba todos los días a la oficina"/>
    <s v="Igual que cuando iba todos los días a la oficina"/>
    <s v="Igual que cuando iba todos los días a la oficina"/>
    <s v="Menor que cuando iba todos los días a la oficina"/>
    <s v="Igual que cuando iba todos los días a la oficina"/>
    <s v="Igual que cuando iba todos los días a la oficina"/>
    <s v="Menor que cuando iba todos los días a la oficina"/>
    <s v="Igual que cuando iba todos los días a la oficina"/>
    <s v="Mayor que cuando iba todos los días a la oficina"/>
    <s v="Menor que cuando iba todos los días a la oficina"/>
    <s v="Iguales que cuando iba todos los días a la oficina"/>
    <s v="Menor que cuando iba todos los días a la oficina"/>
    <s v="Igual que cuando iba todos los días a la oficina"/>
    <m/>
    <s v="301+ empleados"/>
    <n v="0"/>
  </r>
  <r>
    <s v="España"/>
    <s v="&lt;35 años"/>
    <s v="Masculino"/>
    <s v="Grado en Ingeniería Informática"/>
    <s v="5-10 años"/>
    <s v="Consultor software"/>
    <s v="Consultor software"/>
    <s v="51-150 empleados"/>
    <s v="Fábrica de Software"/>
    <s v="Nacional (múltiples sedes en el mismo país)"/>
    <s v="A veces"/>
    <s v="Alto"/>
    <s v="&gt;5 días"/>
    <s v="Ninguno"/>
    <s v="Remota ( todos los días en casa)"/>
    <s v="Consensuada por las dos partes"/>
    <s v="En desacuerdo"/>
    <s v="Igual que cuando iba todos los días a la oficina"/>
    <s v="Igual que cuando iba todos los días a la oficina"/>
    <s v="Igual que cuando iba todos los días a la oficina"/>
    <s v="Muy diferentes que cuando iba todos los días a la oficina, ahora necesito muchas menos horas para hacer lo mismo"/>
    <s v="Todas por videoconferencia"/>
    <s v="Mucho menor que cuando eran en la oficina"/>
    <s v="Mayor que cuando iba todos los días a la oficina"/>
    <s v="Mayor que cuando iba todos los días a la oficina"/>
    <s v="Mayor que cuando iba todos los días a la oficina"/>
    <s v="Mucho Mayor que cuando iba todos los días a la oficina"/>
    <x v="2"/>
    <x v="0"/>
    <x v="0"/>
    <s v="Mucho mayor que cuando iba todos los días a la oficina"/>
    <x v="2"/>
    <s v="Igual que cuando iba todos los días a la oficina"/>
    <s v="Igual que cuando iba todos los días a la oficina"/>
    <s v="No trabajo con personas con un horario distinto al mío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es que cuando iba todos los días a la oficina"/>
    <s v="Igual que cuando iba todos los días a la oficina"/>
    <s v="Igual que cuando iba todos los días a la oficina"/>
    <s v="Menor que cuando iba todos los días a la oficina"/>
    <s v="Mayor que cuando iba todos los días a la oficina"/>
    <s v="Igual que cuando iba todos los días a la oficina"/>
    <s v="Igual que cuando iba todos los días a la oficina"/>
    <s v="Igual que cuando iba todos los días a la oficina"/>
    <s v="Mucho mayor que cuando iba todos los días a la oficina"/>
    <s v="Iguales que cuando iba todos los días a la oficina"/>
    <s v="Mucho mayor que cuando iba todos los días a la oficina"/>
    <s v="No hay diferencias culturales en mi equipo"/>
    <s v="Mayor que cuando iba todos los días a la oficina"/>
    <s v="Iguales que cuando iba todos los días a la oficina"/>
    <s v="Menores que cuando iba todos los días a la oficina"/>
    <s v="No trabajo con personas con distintos horarios"/>
    <s v="Menor que cuando iba todos los días a la oficina"/>
    <s v="Mucho menores que cuando iba todos los días a la oficina"/>
    <s v="Mayor que cuando iba todos los días a la oficina"/>
    <s v="Igual que cuando iba todos los días a la oficina"/>
    <s v="Menos que cuando iba todos los días a la oficina"/>
    <s v="Iguales que cuando iba todos los días a la oficina"/>
    <s v="Igual que cuando iba todos los días a la oficina"/>
    <s v="Igual que cuando iba todos los días a la oficina"/>
    <s v="Mucho Mayor que cuando iba todos los días a la oficina"/>
    <s v="Mucho mayor que cuando iba todos los días a la oficina"/>
    <s v="Igual que cuando iba todos los días a la oficina"/>
    <s v="Igual que cuando iba todos los días a la oficina"/>
    <s v="Mayor que cuando iba todos los días a la oficina"/>
    <s v="Mayor que cuando iba todos los días a la oficina"/>
    <s v="Mayor que cuando iba todos los días a la oficina"/>
    <s v="Igual que cuando iba todos los días a la oficina"/>
    <s v="Igual que cuando iba todos los días a la oficina"/>
    <s v="Iguales que cuando iba todos los días a la oficina"/>
    <s v="Igual que cuando iba todos los días a la oficina"/>
    <s v="Mayor que cuando iba todos los días a la oficina"/>
    <s v="Igual que cuando iba todos los días a la oficina"/>
    <s v="Menor que cuando iba todos los días a la oficina"/>
    <s v="Igual que cuando iba todos los días a la oficina"/>
    <s v="Menor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Mayor que cuando iba todos los días a la oficina"/>
    <s v="Mucho menor que cuando iba todos los días a la oficina"/>
    <s v="Iguales que cuando iba todos los días a la oficina"/>
    <s v="Igual que cuando iba todos los días a la oficina"/>
    <s v="Mayor que cuando iba todos los días a la oficina"/>
    <s v="acasado@madrija.com"/>
    <s v="&lt;301 empleados"/>
    <n v="0"/>
  </r>
  <r>
    <s v="España"/>
    <s v="&lt;35 años"/>
    <s v="Femenino"/>
    <s v="Estudios universitarios "/>
    <s v="5-10 años"/>
    <s v="Consultora dé Calidad "/>
    <s v="Consultora de Calidad"/>
    <s v="&lt;50 empleados"/>
    <s v="Fábrica de Software"/>
    <s v="Local"/>
    <s v="Casi Nunca"/>
    <s v="Alto"/>
    <s v="&gt;5 días"/>
    <s v="Ninguno"/>
    <s v="Remota ( todos los días en casa)"/>
    <s v="Consensuada por las dos partes"/>
    <s v="De acuerdo"/>
    <s v="Igual que cuando iba todos los días a la oficina"/>
    <s v="Igual que cuando iba todos los días a la oficina"/>
    <s v="Menor que cuando iba todos los días a la oficina"/>
    <s v="Iguales que cuando iba todos los días a la oficina"/>
    <s v="Todas por videoconferencia"/>
    <s v="Mayor que cuando eran en la oficina"/>
    <s v="Igual que cuando iba todos los días a la oficina"/>
    <s v="Igual que cuando iba todos los días a la oficina"/>
    <s v="Igual que cuando iba todos los días a la oficina"/>
    <s v="Igual que cuando iba todos los días a la oficina"/>
    <x v="2"/>
    <x v="1"/>
    <x v="1"/>
    <s v="Igual que cuando iba todos los días a la oficina"/>
    <x v="2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es que cuando iba todos los días a la oficina"/>
    <s v="Igual que cuando iba todos los días a la oficina"/>
    <s v="Igual que cuando iba todos los días a la oficina"/>
    <s v="Mayor que cuando iba todos los días a la oficina"/>
    <s v="Mayor que cuando iba todos los días a la oficina"/>
    <s v="Igual que cuando iba todos los días a la oficina"/>
    <s v="Mayor que cuando iba todos los días a la oficina"/>
    <s v="Igual que cuando iba todos los días a la oficina"/>
    <s v="Igual que cuando iba todos los días a la oficina"/>
    <s v="Menores que cuando iba todos los días a la oficina"/>
    <s v="Igual que cuando iba todos los días a la oficina"/>
    <s v="Iguales que cuando iba todos los días a la oficina"/>
    <s v="Igual que cuando iba todos los días a la oficina"/>
    <s v="Iguales que cuando iba todos los días a la oficina"/>
    <s v="Iguales que cuando iba todos los días a la oficina"/>
    <s v="Igual que cuando iba todos los días a la oficina"/>
    <s v="Menor que cuando iba todos los días a la oficina"/>
    <s v="Menores que cuando iba todos los días a la oficina"/>
    <s v="Mayor que cuando iba todos los días a la oficina"/>
    <s v="Igual que cuando iba todos los días a la oficina"/>
    <s v="Igual que cuando iba todos los días a la oficina"/>
    <s v="Iguales que cuando iba todos los días a la oficina"/>
    <s v="Igual que cuando iba todos los días a la oficina"/>
    <s v="Igual que cuando iba todos los días a la oficina"/>
    <s v="Mayor que cuando iba todos los días a la oficina"/>
    <s v="Mayor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es que cuando iba todos los días a la oficina"/>
    <s v="Igual que cuando iba todos los días a la oficina"/>
    <s v="Mayor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Peor que cuando iba todos los días a la oficina"/>
    <s v="Igual que cuando iba todos los días a la oficina"/>
    <s v="Menor que cuando iba todos los días a la oficina"/>
    <s v="Menor que cuando iba todos los días a la oficina"/>
    <s v="Igual que cuando iba todos los días a la oficina"/>
    <s v="Igual que cuando iba todos los días a la oficina"/>
    <s v="Iguales que cuando iba todos los días a la oficina"/>
    <s v="Igual que cuando iba todos los días a la oficina"/>
    <s v="Igual que cuando iba todos los días a la oficina"/>
    <m/>
    <s v="&lt;301 empleados"/>
    <n v="0"/>
  </r>
  <r>
    <s v="España"/>
    <s v="&lt;35 años"/>
    <s v="Masculino"/>
    <s v="Graduado"/>
    <s v="11-20 años"/>
    <s v="Desarrollador analista"/>
    <s v="Desarrollador analista "/>
    <s v="&gt;500 empleados."/>
    <s v="Fábrica de Software"/>
    <s v="Multinacional"/>
    <s v="Nunca"/>
    <s v="Alto"/>
    <s v="&gt;5 días"/>
    <s v="Ninguno"/>
    <s v="Híbrida oficina (más días en la oficina que en casa)"/>
    <s v="Decidida por ti"/>
    <s v="Totalmente en desacuerdo"/>
    <s v="Igual que cuando iba todos los días a la oficina"/>
    <s v="Igual que cuando iba todos los días a la oficina"/>
    <s v="Igual que cuando iba todos los días a la oficina"/>
    <s v="Diferentes que cuando iba todos los días a la oficina, ahora necesito menos horas para hacer lo mismo"/>
    <s v="Todas por videoconferencia"/>
    <s v="Menor que cuando eran en la oficina"/>
    <s v="Mayor que cuando iba todos los días a la oficina"/>
    <s v="Mayor que cuando iba todos los días a la oficina"/>
    <s v="Mayor que cuando iba todos los días a la oficina"/>
    <s v="Mayor que cuando iba todos los días a la oficina"/>
    <x v="0"/>
    <x v="0"/>
    <x v="3"/>
    <s v="Mayor que cuando iba todos los días a la oficina"/>
    <x v="1"/>
    <s v="Más que cuando iba todos los días a la oficina"/>
    <s v="Igual que cuando iba todos los días a la oficina"/>
    <s v="Más que cuando iba todos los días a la oficina"/>
    <s v="Más que cuando iba todos los días a la oficina"/>
    <s v="Igual que cuando iba todos los días a la oficina"/>
    <s v="Igual que cuando iba todos los días a la oficina"/>
    <s v="Mas que cuando iba todos los días a la oficina"/>
    <s v="Mas que cuando iba todos los días a la oficina"/>
    <s v="Igual que cuando iba todos los días a la oficina"/>
    <s v="Iguales que cuando iba todos los días a la oficina"/>
    <s v="Igual que cuando iba todos los días a la oficina"/>
    <s v="Mayor que cuando iba todos los días a la oficina"/>
    <s v="Menor que cuando iba todos los días a la oficina"/>
    <s v="Menor que cuando iba todos los días a la oficina"/>
    <s v="Igual que cuando iba todos los días a la oficina"/>
    <s v="Igual que cuando iba todos los días a la oficina"/>
    <s v="Igual que cuando iba todos los días a la oficina"/>
    <s v="Mucho mayor que cuando iba todos los días a la oficina"/>
    <s v="Mayores que cuando iba todos los días a la oficina"/>
    <s v="Mayor que cuando iba todos los días a la oficina"/>
    <s v="Mayores que cuando iba todos los días a la oficina"/>
    <s v="Mayor que cuando iba todos los días a la oficina"/>
    <s v="Mucho mayores que cuando iba todos los días a la oficina"/>
    <s v="Mayores que cuando iba todos los días a la oficina"/>
    <s v="Más que cuando iba todos los días a la oficina"/>
    <s v="Mayor que cuando iba todos los días a la oficina"/>
    <s v="Mucho menores que cuando iba todos los días a la oficina"/>
    <s v="Igual que cuando iba todos los días a la oficina"/>
    <s v="Mayor que cuando iba todos los días a la oficina"/>
    <s v="Más que cuando iba todos los días a la oficina"/>
    <s v="Iguales que cuando iba todos los días a la oficina"/>
    <s v="Igual que cuando iba todos los días a la oficina"/>
    <s v="Mucho menor que cuando iba todos los días a la oficina"/>
    <s v="Menor que cuando iba todos los días a la oficina"/>
    <s v="Mucho mayor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Mucho menor que cuando iba todos los días a la oficina"/>
    <s v="Mucho mayor que cuando iba todos los días a la oficina"/>
    <s v="Igual que cuando iba todos los días a la oficina"/>
    <s v="Iguales que cuando iba todos los días a la oficina"/>
    <s v="Mayor que cuando iba todos los días a la oficina"/>
    <s v="Menor que cuando iba todos los días a la oficina"/>
    <s v="Mayor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Mayor que cuando iba todos los días a la oficina"/>
    <s v="Menor que cuando iba todos los días a la oficina"/>
    <s v="Menores que cuando iba todos los días a la oficina"/>
    <s v="Igual que cuando iba todos los días a la oficina"/>
    <s v="Menor que cuando iba todos los días a la oficina"/>
    <m/>
    <s v="301+ empleados"/>
    <n v="0"/>
  </r>
  <r>
    <s v="España"/>
    <s v="&lt;35 años"/>
    <s v="Masculino"/>
    <s v="Master"/>
    <s v="11-20 años"/>
    <s v="Desarrollador, Project Manager, Agile Coach"/>
    <s v="Agile Coach / Delivery Manager"/>
    <s v="&gt;500 empleados."/>
    <s v="Empresa que desarrolla software a medida partiendo desde cero"/>
    <s v="Multinacional"/>
    <s v="Muy Frecuentemente"/>
    <s v="Alto"/>
    <s v="&gt;5 días"/>
    <s v="Ninguno"/>
    <s v="Híbrida casa (más días en casa que en la oficina)"/>
    <s v="Impuesta por la empresa"/>
    <s v="De acuerdo"/>
    <s v="Igual que cuando iba todos los días a la oficina"/>
    <s v="Igual que cuando iba todos los días a la oficina"/>
    <s v="Igual que cuando iba todos los días a la oficina"/>
    <s v="Diferentes que cuando iba todos los días a la oficina, ahora necesito menos horas para hacer lo mismo"/>
    <s v="Todas por videoconferencia"/>
    <s v="Menor que cuando eran en la oficina"/>
    <s v="Mayor que cuando iba todos los días a la oficina"/>
    <s v="Igual que cuando iba todos los días a la oficina"/>
    <s v="Igual que cuando iba todos los días a la oficina"/>
    <s v="Mayor que cuando iba todos los días a la oficina"/>
    <x v="2"/>
    <x v="1"/>
    <x v="0"/>
    <s v="Igual que cuando iba todos los días a la oficina"/>
    <x v="4"/>
    <s v="Igual que cuando iba todos los días a la oficina"/>
    <s v="Menos que cuando iba todos los días a la oficina"/>
    <s v="Menos que cuando iba todos los días a la oficina"/>
    <s v="Mucho menos que cuando iba todos los días a la oficina"/>
    <s v="Mucho más que cuando iba todos los días a la oficina"/>
    <s v="Igual que cuando iba todos los días a la oficina"/>
    <s v="Mucho más que cuando iba todos los días a la oficina"/>
    <s v="Igual que cuando iba todos los días a la oficina"/>
    <s v="Igual que cuando iba todos los días a la oficina"/>
    <s v="Iguales que cuando iba todos los días a la oficina"/>
    <s v="Igual que cuando iba todos los días a la oficina"/>
    <s v="Igual que cuando iba todos los días a la oficina"/>
    <s v="Menor que cuando iba todos los días a la oficina"/>
    <s v="Igual que cuando iba todos los días a la oficina"/>
    <s v="Menor que cuando iba todos los días a la oficina"/>
    <s v="Igual que cuando iba todos los días a la oficina"/>
    <s v="Igual que cuando iba todos los días a la oficina"/>
    <s v="Mucho mayor que cuando iba todos los días a la oficina"/>
    <s v="Iguales que cuando iba todos los días a la oficina"/>
    <s v="Mucho mayor que cuando iba todos los días a la oficina"/>
    <s v="Mucho menores que cuando iba todos los días a la oficina"/>
    <s v="Menor que cuando iba todos los días a la oficina"/>
    <s v="Iguales que cuando iba todos los días a la oficina"/>
    <s v="Mucho menores que cuando iba todos los días a la oficina"/>
    <s v="Igual que cuando iba todos los días a la oficina"/>
    <s v="Igual que cuando iba todos los días a la oficina"/>
    <s v="Menores que cuando iba todos los días a la oficina"/>
    <s v="Mayor que cuando iba todos los días a la oficina"/>
    <s v="Igual que cuando iba todos los días a la oficina"/>
    <s v="Igual que cuando iba todos los días a la oficina"/>
    <s v="Iguales que cuando iba todos los días a la oficina"/>
    <s v="Igual que cuando iba todos los días a la oficina"/>
    <s v="Mayor que cuando iba todos los días a la oficina"/>
    <s v="Mayor que cuando iba todos los días a la oficina"/>
    <s v="Mayor que cuando iba todos los días a la oficina"/>
    <s v="Igual que cuando iba todos los días a la oficina"/>
    <s v="Igual que cuando iba todos los días a la oficina"/>
    <s v="Igual que cuando iba todos los días a la oficina"/>
    <s v="Mayor que cuando iba todos los días a la oficina"/>
    <s v="Mayor que cuando iba todos los días a la oficina"/>
    <s v="Igual que cuando iba todos los días a la oficina"/>
    <s v="Menos que cuando iba todos los días a la oficina"/>
    <s v="Menores que cuando iba todos los días a la oficina"/>
    <s v="Igual que cuando iba todos los días a la oficina"/>
    <s v="Mucho Mayor que cuando iba todos los días a la oficina"/>
    <s v="Igual que cuando iba todos los días a la oficina"/>
    <s v="Menor que cuando iba todos los días a la oficina"/>
    <s v="Igual que cuando iba todos los días a la oficina"/>
    <s v="Mucho Mayor que cuando iba todos los días a la oficina"/>
    <s v="Igual que cuando iba todos los días a la oficina"/>
    <s v="Menor que cuando iba todos los días a la oficina"/>
    <s v="Mucho menor que cuando iba todos los días a la oficina"/>
    <s v="Igual que cuando iba todos los días a la oficina"/>
    <s v="Igual que cuando iba todos los días a la oficina"/>
    <s v="Igual que cuando iba todos los días a la oficina"/>
    <s v="Iguales que cuando iba todos los días a la oficina"/>
    <s v="Igual que cuando iba todos los días a la oficina"/>
    <s v="Mayor que cuando iba todos los días a la oficina"/>
    <s v="joseanmp@gmail.com"/>
    <s v="301+ empleados"/>
    <n v="1"/>
  </r>
  <r>
    <s v="España"/>
    <s v="&lt;35 años"/>
    <s v="Masculino"/>
    <s v="superiores"/>
    <s v="21-30 años"/>
    <s v="Gerente"/>
    <s v="Gerente"/>
    <s v="&gt;500 empleados."/>
    <s v="Fábrica de Software"/>
    <s v="Multinacional"/>
    <s v="A veces"/>
    <s v="Alto"/>
    <s v="&gt;5 días"/>
    <s v="Ninguno"/>
    <s v="Híbrida casa (más días en casa que en la oficina)"/>
    <s v="Consensuada por las dos partes"/>
    <s v="Totalmente en desacuerdo"/>
    <s v="Igual que cuando iba todos los días a la oficina"/>
    <s v="Igual que cuando iba todos los días a la oficina"/>
    <s v="Igual que cuando iba todos los días a la oficina"/>
    <s v="Iguales que cuando iba todos los días a la oficina"/>
    <s v="Todas por videoconferencia"/>
    <s v="Mucho menor que cuando eran en la oficina"/>
    <s v="Igual que cuando iba todos los días a la oficina"/>
    <s v="Igual que cuando iba todos los días a la oficina"/>
    <s v="Igual que cuando iba todos los días a la oficina"/>
    <s v="Mayor que cuando iba todos los días a la oficina"/>
    <x v="0"/>
    <x v="1"/>
    <x v="0"/>
    <s v="Mucho mayor que cuando iba todos los días a la oficina"/>
    <x v="1"/>
    <s v="Menos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Menos que cuando iba todos los días a la oficina"/>
    <s v="Menos que cuando iba todos los días a la oficina"/>
    <s v="Igual que cuando iba todos los días a la oficina"/>
    <s v="Iguales que cuando iba todos los días a la oficina"/>
    <s v="Igual que cuando iba todos los días a la oficina"/>
    <s v="Igual que cuando iba todos los días a la oficina"/>
    <s v="Mayor que cuando iba todos los días a la oficina"/>
    <s v="Igual que cuando iba todos los días a la oficina"/>
    <s v="Igual que cuando iba todos los días a la oficina"/>
    <s v="Igual que cuando iba todos los días a la oficina"/>
    <s v="Mayor que cuando iba todos los días a la oficina"/>
    <s v="Mucho mayor que cuando iba todos los días a la oficina"/>
    <s v="Iguales que cuando iba todos los días a la oficina"/>
    <s v="Igual que cuando iba todos los días a la oficina"/>
    <s v="Iguales que cuando iba todos los días a la oficina"/>
    <s v="Igual que cuando iba todos los días a la oficina"/>
    <s v="Iguales que cuando iba todos los días a la oficina"/>
    <s v="Iguales que cuando iba todos los días a la oficina"/>
    <s v="Igual que cuando iba todos los días a la oficina"/>
    <s v="Igual que cuando iba todos los días a la oficina"/>
    <s v="Menores que cuando iba todos los días a la oficina"/>
    <s v="Mayor que cuando iba todos los días a la oficina"/>
    <s v="Igual que cuando iba todos los días a la oficina"/>
    <s v="Igual que cuando iba todos los días a la oficina"/>
    <s v="Iguales que cuando iba todos los días a la oficina"/>
    <s v="Igual que cuando iba todos los días a la oficina"/>
    <s v="Igual que cuando iba todos los días a la oficina"/>
    <s v="Mayor que cuando iba todos los días a la oficina"/>
    <s v="Mucho mayor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es que cuando iba todos los días a la oficina"/>
    <s v="Igual que cuando iba todos los días a la oficina"/>
    <s v="Menor que cuando iba todos los días a la oficina"/>
    <s v="Igual que cuando iba todos los días a la oficina"/>
    <s v="Menor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Menor que cuando iba todos los días a la oficina"/>
    <s v="Igual que cuando iba todos los días a la oficina"/>
    <s v="Igual que cuando iba todos los días a la oficina"/>
    <s v="Menor que cuando iba todos los días a la oficina"/>
    <s v="Iguales que cuando iba todos los días a la oficina"/>
    <s v="Igual que cuando iba todos los días a la oficina"/>
    <s v="Igual que cuando iba todos los días a la oficina"/>
    <m/>
    <s v="301+ empleados"/>
    <n v="1"/>
  </r>
  <r>
    <s v="España"/>
    <s v="&lt;35 años"/>
    <s v="Masculino"/>
    <s v="Ingeniero "/>
    <s v="11-20 años"/>
    <s v="Ing. Senior "/>
    <s v="Ing. Senior "/>
    <s v="&gt;500 empleados."/>
    <s v="Empresa que desarrolla software a medida partiendo desde cero"/>
    <s v="Multinacional"/>
    <s v="Frecuentemente"/>
    <s v="Alto"/>
    <s v="&gt;5 días"/>
    <s v="Ninguno"/>
    <s v="Remota ( todos los días en casa)"/>
    <s v="Consensuada por las dos partes"/>
    <s v="De acuerdo"/>
    <s v="Igual que cuando iba todos los días a la oficina"/>
    <s v="Igual que cuando iba todos los días a la oficina"/>
    <s v="Igual que cuando iba todos los días a la oficina"/>
    <s v="Iguales que cuando iba todos los días a la oficina"/>
    <s v="Todas por videoconferencia"/>
    <s v="Igual que cuando eran en la oficina"/>
    <s v="Mayor que cuando iba todos los días a la oficina"/>
    <s v="Mayor que cuando iba todos los días a la oficina"/>
    <s v="Mayor que cuando iba todos los días a la oficina"/>
    <s v="Mayor que cuando iba todos los días a la oficina"/>
    <x v="2"/>
    <x v="1"/>
    <x v="0"/>
    <s v="Igual que cuando iba todos los días a la oficina"/>
    <x v="2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es que cuando iba todos los días a la oficina"/>
    <s v="Igual que cuando iba todos los días a la oficina"/>
    <s v="Igual que cuando iba todos los días a la oficina"/>
    <s v="Igual que cuando iba todos los días a la oficina"/>
    <s v="Mayor que cuando iba todos los días a la oficina"/>
    <s v="Igual que cuando iba todos los días a la oficina"/>
    <s v="Igual que cuando iba todos los días a la oficina"/>
    <s v="Igual que cuando iba todos los días a la oficina"/>
    <s v="Mayor que cuando iba todos los días a la oficina"/>
    <s v="Menores que cuando iba todos los días a la oficina"/>
    <s v="Igual que cuando iba todos los días a la oficina"/>
    <s v="Iguales que cuando iba todos los días a la oficina"/>
    <s v="Igual que cuando iba todos los días a la oficina"/>
    <s v="Iguales que cuando iba todos los días a la oficina"/>
    <s v="Iguales que cuando iba todos los días a la oficina"/>
    <s v="Igual que cuando iba todos los días a la oficina"/>
    <s v="Igual que cuando iba todos los días a la oficina"/>
    <s v="Menores que cuando iba todos los días a la oficina"/>
    <s v="Igual que cuando iba todos los días a la oficina"/>
    <s v="Igual que cuando iba todos los días a la oficina"/>
    <s v="Igual que cuando iba todos los días a la oficina"/>
    <s v="Iguales que cuando iba todos los días a la oficina"/>
    <s v="Igual que cuando iba todos los días a la oficina"/>
    <s v="Igual que cuando iba todos los días a la oficina"/>
    <s v="Mayor que cuando iba todos los días a la oficina"/>
    <s v="Mayor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Mas que cuando iba todos los días a la oficina"/>
    <s v="Iguales que cuando iba todos los días a la oficina"/>
    <s v="Igual que cuando iba todos los días a la oficina"/>
    <s v="Mayor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es que cuando iba todos los días a la oficina"/>
    <s v="Igual que cuando iba todos los días a la oficina"/>
    <s v="Igual que cuando iba todos los días a la oficina"/>
    <s v="ramonsanchezlozano@gmail.com"/>
    <s v="301+ empleados"/>
    <n v="0"/>
  </r>
  <r>
    <s v="España"/>
    <s v="&lt;35 años"/>
    <s v="Masculino"/>
    <s v="Educación superior de posgrado"/>
    <s v="5-10 años"/>
    <s v="Ingeniero Software"/>
    <s v="Ingeniero Software Senior"/>
    <s v="301-500 empleados"/>
    <s v="Empresa que desarrolla software a medida partiendo desde cero"/>
    <s v="Multinacional"/>
    <s v="A veces"/>
    <s v="Alto"/>
    <s v="&gt;5 días"/>
    <s v="Ninguno"/>
    <s v="Remota ( todos los días en casa)"/>
    <s v="Decidida por ti"/>
    <s v="Totalmente de acuerdo"/>
    <s v="Mayor que cuando iba todos los días a la oficina"/>
    <s v="Igual que cuando iba todos los días a la oficina"/>
    <s v="Igual que cuando iba todos los días a la oficina"/>
    <s v="Iguales que cuando iba todos los días a la oficina"/>
    <s v="Todas por videoconferencia"/>
    <s v="Igual que cuando eran en la oficina"/>
    <s v="Mayor que cuando iba todos los días a la oficina"/>
    <s v="Mayor que cuando iba todos los días a la oficina"/>
    <s v="Mayor que cuando iba todos los días a la oficina"/>
    <s v="Mayor que cuando iba todos los días a la oficina"/>
    <x v="0"/>
    <x v="0"/>
    <x v="2"/>
    <s v="Mayor que cuando iba todos los días a la oficina"/>
    <x v="2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es que cuando iba todos los días a la oficina"/>
    <s v="Igual que cuando iba todos los días a la oficina"/>
    <s v="Mayor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Mucho mayor que cuando iba todos los días a la oficina"/>
    <s v="Iguales que cuando iba todos los días a la oficina"/>
    <s v="Mayor que cuando iba todos los días a la oficina"/>
    <s v="Iguales que cuando iba todos los días a la oficina"/>
    <s v="Mayor que cuando iba todos los días a la oficina"/>
    <s v="Iguales que cuando iba todos los días a la oficina"/>
    <s v="Iguales que cuando iba todos los días a la oficina"/>
    <s v="Igual que cuando iba todos los días a la oficina"/>
    <s v="Igual que cuando iba todos los días a la oficina"/>
    <s v="Menores que cuando iba todos los días a la oficina"/>
    <s v="Igual que cuando iba todos los días a la oficina"/>
    <s v="Igual que cuando iba todos los días a la oficina"/>
    <s v="Igual que cuando iba todos los días a la oficina"/>
    <s v="Iguales que cuando iba todos los días a la oficina"/>
    <s v="Igual que cuando iba todos los días a la oficina"/>
    <s v="Igual que cuando iba todos los días a la oficina"/>
    <s v="Igual que cuando iba todos los días a la oficina"/>
    <s v="Mucho mayor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es que cuando iba todos los días a la oficina"/>
    <s v="Igual que cuando iba todos los días a la oficina"/>
    <s v="Mucho Mayor que cuando iba todos los días a la oficina"/>
    <s v="Igual que cuando iba todos los días a la oficina"/>
    <s v="Mayor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es que cuando iba todos los días a la oficina"/>
    <s v="Igual que cuando iba todos los días a la oficina"/>
    <s v="Igual que cuando iba todos los días a la oficina"/>
    <s v="javier.parrapatino@gmail.com"/>
    <s v="301+ empleados"/>
    <n v="0"/>
  </r>
  <r>
    <s v="España"/>
    <s v="&lt;35 años"/>
    <s v="Masculino"/>
    <s v="Ingenieria en informatica"/>
    <s v="11-20 años"/>
    <s v="Lider tecnico"/>
    <s v="Project Manager"/>
    <s v="&gt;500 empleados."/>
    <s v="Empresa que desarrolla software a medida partiendo desde cero"/>
    <s v="Multinacional"/>
    <s v="A veces"/>
    <s v="Alto"/>
    <s v="&gt;5 días"/>
    <s v="1-2 días"/>
    <s v="Híbrida casa (más días en casa que en la oficina)"/>
    <s v="Decidida por ti"/>
    <s v="En desacuerdo"/>
    <s v="Igual que cuando iba todos los días a la oficina"/>
    <s v="Igual que cuando iba todos los días a la oficina"/>
    <s v="Igual que cuando iba todos los días a la oficina"/>
    <s v="Iguales que cuando iba todos los días a la oficina"/>
    <s v="Casi todas por videoconferencia"/>
    <s v="Igual que cuando eran en la oficina"/>
    <s v="Mayor que cuando iba todos los días a la oficina"/>
    <s v="Mucho Mayor que cuando iba todos los días a la oficina"/>
    <s v="Mucho Mayor que cuando iba todos los días a la oficina"/>
    <s v="Mayor que cuando iba todos los días a la oficina"/>
    <x v="2"/>
    <x v="1"/>
    <x v="0"/>
    <s v="Mayor que cuando iba todos los días a la oficina"/>
    <x v="0"/>
    <s v="Mucho más que cuando iba todos los días a la oficina"/>
    <s v="Más que cuando iba todos los días a la oficina"/>
    <s v="Más que cuando iba todos los días a la oficina"/>
    <s v="Más que cuando iba todos los días a la oficina"/>
    <s v="Mucho más que cuando iba todos los días a la oficina"/>
    <s v="Mas que cuando iba todos los días a la oficina"/>
    <s v="Mucho más que cuando iba todos los días a la oficina"/>
    <s v="Mas que cuando iba todos los días a la oficina"/>
    <s v="Mas que cuando iba todos los días a la oficina"/>
    <s v="Mayores que cuando iba todos los días a la oficina"/>
    <s v="Mayor que cuando iba todos los días a la oficina"/>
    <s v="Mayor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es que cuando iba todos los días a la oficina"/>
    <s v="Igual que cuando iba todos los días a la oficina"/>
    <s v="Iguales que cuando iba todos los días a la oficina"/>
    <s v="Igual que cuando iba todos los días a la oficina"/>
    <s v="Iguales que cuando iba todos los días a la oficina"/>
    <s v="Iguales que cuando iba todos los días a la oficina"/>
    <s v="Igual que cuando iba todos los días a la oficina"/>
    <s v="Igual que cuando iba todos los días a la oficina"/>
    <s v="Iguales que cuando iba todos los días a la oficina"/>
    <s v="Igual que cuando iba todos los días a la oficina"/>
    <s v="Igual que cuando iba todos los días a la oficina"/>
    <s v="Igual que cuando iba todos los días a la oficina"/>
    <s v="Iguales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es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es que cuando iba todos los días a la oficina"/>
    <s v="Igual que cuando iba todos los días a la oficina"/>
    <s v="Igual que cuando iba todos los días a la oficina"/>
    <m/>
    <s v="301+ empleados"/>
    <n v="1"/>
  </r>
  <r>
    <s v="España"/>
    <s v="&lt;35 años"/>
    <s v="Femenino"/>
    <s v="Grado universitario "/>
    <s v="5-10 años"/>
    <s v="Product owner"/>
    <s v="Desarrolladora frontend"/>
    <s v="&lt;50 empleados"/>
    <s v="Fábrica de Software"/>
    <s v="Local"/>
    <s v="Casi Nunca"/>
    <s v="Alto"/>
    <s v="&gt;5 días"/>
    <s v="Ninguno"/>
    <s v="Remota ( todos los días en casa)"/>
    <s v="Consensuada por las dos partes"/>
    <s v="De acuerdo"/>
    <s v="Igual que cuando iba todos los días a la oficina"/>
    <s v="Igual que cuando iba todos los días a la oficina"/>
    <s v="Igual que cuando iba todos los días a la oficina"/>
    <s v="Diferentes que cuando iba todos los días a la oficina, ahora necesito menos horas para hacer lo mismo"/>
    <s v="Todas por videoconferencia"/>
    <s v="Igual que cuando eran en la oficina"/>
    <s v="Mucho Mayor que cuando iba todos los días a la oficina"/>
    <s v="Mucho Mayor que cuando iba todos los días a la oficina"/>
    <s v="Mayor que cuando iba todos los días a la oficina"/>
    <s v="Mucho Mayor que cuando iba todos los días a la oficina"/>
    <x v="0"/>
    <x v="2"/>
    <x v="1"/>
    <s v="Igual que cuando iba todos los días a la oficina"/>
    <x v="2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Mayores que cuando iba todos los días a la oficina"/>
    <s v="Mayor que cuando iba todos los días a la oficina"/>
    <s v="Igual que cuando iba todos los días a la oficina"/>
    <s v="Mayor que cuando iba todos los días a la oficina"/>
    <s v="Mayor que cuando iba todos los días a la oficina"/>
    <s v="Igual que cuando iba todos los días a la oficina"/>
    <s v="Igual que cuando iba todos los días a la oficina"/>
    <s v="Mayor que cuando iba todos los días a la oficina"/>
    <s v="Igual que cuando iba todos los días a la oficina"/>
    <s v="Iguales que cuando iba todos los días a la oficina"/>
    <s v="Igual que cuando iba todos los días a la oficina"/>
    <s v="Iguales que cuando iba todos los días a la oficina"/>
    <s v="Igual que cuando iba todos los días a la oficina"/>
    <s v="Menores que cuando iba todos los días a la oficina"/>
    <s v="Iguales que cuando iba todos los días a la oficina"/>
    <s v="Igual que cuando iba todos los días a la oficina"/>
    <s v="Igual que cuando iba todos los días a la oficina"/>
    <s v="Iguales que cuando iba todos los días a la oficina"/>
    <s v="Mucho mayor que cuando iba todos los días a la oficina"/>
    <s v="Igual que cuando iba todos los días a la oficina"/>
    <s v="Igual que cuando iba todos los días a la oficina"/>
    <s v="Iguales que cuando iba todos los días a la oficina"/>
    <s v="Igual que cuando iba todos los días a la oficina"/>
    <s v="Mayor que cuando iba todos los días a la oficina"/>
    <s v="Mucho Mayor que cuando iba todos los días a la oficina"/>
    <s v="Mucho mayor que cuando iba todos los días a la oficina"/>
    <s v="Igual que cuando iba todos los días a la oficina"/>
    <s v="Igual que cuando iba todos los días a la oficina"/>
    <s v="Mayor que cuando iba todos los días a la oficina"/>
    <s v="Mayor que cuando iba todos los días a la oficina"/>
    <s v="Mayor que cuando iba todos los días a la oficina"/>
    <s v="Igual que cuando iba todos los días a la oficina"/>
    <s v="Igual que cuando iba todos los días a la oficina"/>
    <s v="Iguales que cuando iba todos los días a la oficina"/>
    <s v="Mayor que cuando iba todos los días a la oficina"/>
    <s v="Mayor que cuando iba todos los días a la oficina"/>
    <s v="Igual que cuando iba todos los días a la oficina"/>
    <s v="Mucho menor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es que cuando iba todos los días a la oficina"/>
    <s v="Igual que cuando iba todos los días a la oficina"/>
    <s v="Mayor que cuando iba todos los días a la oficina"/>
    <m/>
    <s v="&lt;301 empleados"/>
    <n v="0"/>
  </r>
  <r>
    <s v="España"/>
    <s v="&lt;35 años"/>
    <s v="Masculino"/>
    <s v="FP superior"/>
    <s v="5-10 años"/>
    <s v="Regular Software Engineer"/>
    <s v="Senior Software Engineer"/>
    <s v="&gt;500 empleados."/>
    <s v="Empresa que desarrolla software a medida partiendo desde cero"/>
    <s v="Multinacional"/>
    <s v="Muy Frecuentemente"/>
    <s v="Alto"/>
    <s v="&gt;5 días"/>
    <s v="Ninguno"/>
    <s v="Remota ( todos los días en casa)"/>
    <s v="Impuesta por la empresa"/>
    <s v="De acuerdo"/>
    <s v="Igual que cuando iba todos los días a la oficina"/>
    <s v="Igual que cuando iba todos los días a la oficina"/>
    <s v="Igual que cuando iba todos los días a la oficina"/>
    <s v="Diferentes que cuando iba todos los días a la oficina, ahora necesito menos horas para hacer lo mismo"/>
    <s v="Todas por videoconferencia"/>
    <s v="Menor que cuando eran en la oficina"/>
    <s v="Igual que cuando iba todos los días a la oficina"/>
    <s v="Igual que cuando iba todos los días a la oficina"/>
    <s v="Igual que cuando iba todos los días a la oficina"/>
    <s v="Menor que cuando iba todos los días a la oficina"/>
    <x v="0"/>
    <x v="1"/>
    <x v="1"/>
    <s v="Igual que cuando iba todos los días a la oficina"/>
    <x v="2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es que cuando iba todos los días a la oficina"/>
    <s v="Igual que cuando iba todos los días a la oficina"/>
    <s v="Igual que cuando iba todos los días a la oficina"/>
    <s v="Menor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Mayor que cuando iba todos los días a la oficina"/>
    <s v="Iguales que cuando iba todos los días a la oficina"/>
    <s v="Mayor que cuando iba todos los días a la oficina"/>
    <s v="Iguales que cuando iba todos los días a la oficina"/>
    <s v="Igual que cuando iba todos los días a la oficina"/>
    <s v="Iguales que cuando iba todos los días a la oficina"/>
    <s v="Iguales que cuando iba todos los días a la oficina"/>
    <s v="Igual que cuando iba todos los días a la oficina"/>
    <s v="Igual que cuando iba todos los días a la oficina"/>
    <s v="Mayores que cuando iba todos los días a la oficina"/>
    <s v="Mayor que cuando iba todos los días a la oficina"/>
    <s v="Igual que cuando iba todos los días a la oficina"/>
    <s v="Igual que cuando iba todos los días a la oficina"/>
    <s v="Iguales que cuando iba todos los días a la oficina"/>
    <s v="Igual que cuando iba todos los días a la oficina"/>
    <s v="Igual que cuando iba todos los días a la oficina"/>
    <s v="Menor que cuando iba todos los días a la oficina"/>
    <s v="Mayor que cuando iba todos los días a la oficina"/>
    <s v="Igual que cuando iba todos los días a la oficina"/>
    <s v="Igual que cuando iba todos los días a la oficina"/>
    <s v="Igual que cuando iba todos los días a la oficina"/>
    <s v="Mayor que cuando iba todos los días a la oficina"/>
    <s v="Igual que cuando iba todos los días a la oficina"/>
    <s v="Igual que cuando iba todos los días a la oficina"/>
    <s v="Igual que cuando iba todos los días a la oficina"/>
    <s v="Iguales que cuando iba todos los días a la oficina"/>
    <s v="Igual que cuando iba todos los días a la oficina"/>
    <s v="Mucho Mayor que cuando iba todos los días a la oficina"/>
    <s v="Igual que cuando iba todos los días a la oficina"/>
    <s v="Igual que cuando iba todos los días a la oficina"/>
    <s v="Menor que cuando iba todos los días a la oficina"/>
    <s v="Igual que cuando iba todos los días a la oficina"/>
    <s v="Mejor que cuando iba todos los días a la oficina"/>
    <s v="Igual que cuando iba todos los días a la oficina"/>
    <s v="Menor que cuando iba todos los días a la oficina"/>
    <s v="Igual que cuando iba todos los días a la oficina"/>
    <s v="Igual que cuando iba todos los días a la oficina"/>
    <s v="Igual que cuando iba todos los días a la oficina"/>
    <s v="Iguales que cuando iba todos los días a la oficina"/>
    <s v="Igual que cuando iba todos los días a la oficina"/>
    <s v="Igual que cuando iba todos los días a la oficina"/>
    <m/>
    <s v="301+ empleados"/>
    <n v="0"/>
  </r>
  <r>
    <s v="España"/>
    <s v="&lt;35 años"/>
    <s v="Masculino"/>
    <s v="Universitarios"/>
    <s v="11-20 años"/>
    <s v="Senior Project Manager"/>
    <s v="Head of Engineering"/>
    <s v="151-300 empleados"/>
    <s v="Fábrica de Software"/>
    <s v="Multinacional"/>
    <s v="Frecuentemente"/>
    <s v="Alto"/>
    <s v="&gt;5 días"/>
    <s v="Ninguno"/>
    <s v="Híbrida casa (más días en casa que en la oficina)"/>
    <s v="Consensuada por las dos partes"/>
    <s v="En desacuerdo"/>
    <s v="Igual que cuando iba todos los días a la oficina"/>
    <s v="Igual que cuando iba todos los días a la oficina"/>
    <s v="Igual que cuando iba todos los días a la oficina"/>
    <s v="Diferentes que cuando iba todos los días a la oficina, ahora necesito menos horas para hacer lo mismo"/>
    <s v="Casi todas por videoconferencia"/>
    <s v="Igual que cuando eran en la oficina"/>
    <s v="Mayor que cuando iba todos los días a la oficina"/>
    <s v="Mayor que cuando iba todos los días a la oficina"/>
    <s v="Mayor que cuando iba todos los días a la oficina"/>
    <s v="Mayor que cuando iba todos los días a la oficina"/>
    <x v="0"/>
    <x v="2"/>
    <x v="1"/>
    <s v="Igual que cuando iba todos los días a la oficina"/>
    <x v="2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es que cuando iba todos los días a la oficina"/>
    <s v="Igual que cuando iba todos los días a la oficina"/>
    <s v="Igual que cuando iba todos los días a la oficina"/>
    <s v="Menor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Mucho mayor que cuando iba todos los días a la oficina"/>
    <s v="Iguales que cuando iba todos los días a la oficina"/>
    <s v="Mayor que cuando iba todos los días a la oficina"/>
    <s v="Iguales que cuando iba todos los días a la oficina"/>
    <s v="Igual que cuando iba todos los días a la oficina"/>
    <s v="Iguales que cuando iba todos los días a la oficina"/>
    <s v="Iguales que cuando iba todos los días a la oficina"/>
    <s v="Igual que cuando iba todos los días a la oficina"/>
    <s v="Mayor que cuando iba todos los días a la oficina"/>
    <s v="Menores que cuando iba todos los días a la oficina"/>
    <s v="Mayor que cuando iba todos los días a la oficina"/>
    <s v="Igual que cuando iba todos los días a la oficina"/>
    <s v="Igual que cuando iba todos los días a la oficina"/>
    <s v="Iguales que cuando iba todos los días a la oficina"/>
    <s v="Igual que cuando iba todos los días a la oficina"/>
    <s v="Mayor que cuando iba todos los días a la oficina"/>
    <s v="Mayor que cuando iba todos los días a la oficina"/>
    <s v="Mucho mayor que cuando iba todos los días a la oficina"/>
    <s v="Igual que cuando iba todos los días a la oficina"/>
    <s v="Igual que cuando iba todos los días a la oficina"/>
    <s v="Igual que cuando iba todos los días a la oficina"/>
    <s v="Mayor que cuando iba todos los días a la oficina"/>
    <s v="Igual que cuando iba todos los días a la oficina"/>
    <s v="Igual que cuando iba todos los días a la oficina"/>
    <s v="Igual que cuando iba todos los días a la oficina"/>
    <s v="Iguales que cuando iba todos los días a la oficina"/>
    <s v="Igual que cuando iba todos los días a la oficina"/>
    <s v="Mucho Mayor que cuando iba todos los días a la oficina"/>
    <s v="Mayor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Menor que cuando iba todos los días a la oficina"/>
    <s v="Igual que cuando iba todos los días a la oficina"/>
    <s v="Igual que cuando iba todos los días a la oficina"/>
    <s v="Igual que cuando iba todos los días a la oficina"/>
    <s v="Iguales que cuando iba todos los días a la oficina"/>
    <s v="Igual que cuando iba todos los días a la oficina"/>
    <s v="Igual que cuando iba todos los días a la oficina"/>
    <m/>
    <s v="&lt;301 empleados"/>
    <n v="1"/>
  </r>
  <r>
    <s v="España"/>
    <s v="&lt;35 años"/>
    <s v="Masculino"/>
    <s v="Magister"/>
    <s v="11-20 años"/>
    <s v="Gerente de Desarrollo "/>
    <s v="Tech Lead"/>
    <s v="&lt;50 empleados"/>
    <s v="Empresa que desarrolla software a medida partiendo desde cero"/>
    <s v="Local"/>
    <s v="Muy Frecuentemente"/>
    <s v="Alto"/>
    <s v="&gt;5 días"/>
    <s v="Ninguno"/>
    <s v="Remota ( todos los días en casa)"/>
    <s v="Consensuada por las dos partes"/>
    <s v="En desacuerdo"/>
    <s v="Igual que cuando iba todos los días a la oficina"/>
    <s v="Menor que cuando iba todos los días a la oficina"/>
    <s v="Igual que cuando iba todos los días a la oficina"/>
    <s v="Diferentes que cuando iba todos los días a la oficina, ahora necesito menos horas para hacer lo mismo"/>
    <s v="Casi todas por videoconferencia"/>
    <s v="Menor que cuando eran en la oficina"/>
    <s v="Mayor que cuando iba todos los días a la oficina"/>
    <s v="Mayor que cuando iba todos los días a la oficina"/>
    <s v="Mayor que cuando iba todos los días a la oficina"/>
    <s v="Mayor que cuando iba todos los días a la oficina"/>
    <x v="1"/>
    <x v="1"/>
    <x v="1"/>
    <s v="Igual que cuando iba todos los días a la oficina"/>
    <x v="2"/>
    <s v="Igual que cuando iba todos los días a la oficina"/>
    <s v="Igual que cuando iba todos los días a la oficina"/>
    <s v="No trabajo con personas con un horario distinto al mío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es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Mucho mayor que cuando iba todos los días a la oficina"/>
    <s v="Iguales que cuando iba todos los días a la oficina"/>
    <s v="Mayor que cuando iba todos los días a la oficina"/>
    <s v="Iguales que cuando iba todos los días a la oficina"/>
    <s v="Igual que cuando iba todos los días a la oficina"/>
    <s v="Iguales que cuando iba todos los días a la oficina"/>
    <s v="No tengo que utilizar diferentes idiomas en mi trabajo"/>
    <s v="No trabajo con personas con distintos horarios"/>
    <s v="Igual que cuando iba todos los días a la oficina"/>
    <s v="Menores que cuando iba todos los días a la oficina"/>
    <s v="Igual que cuando iba todos los días a la oficina"/>
    <s v="Igual que cuando iba todos los días a la oficina"/>
    <s v="Igual que cuando iba todos los días a la oficina"/>
    <s v="Iguales que cuando iba todos los días a la oficina"/>
    <s v="Igual que cuando iba todos los días a la oficina"/>
    <s v="Igual que cuando iba todos los días a la oficina"/>
    <s v="Mayor que cuando iba todos los días a la oficina"/>
    <s v="Mayor que cuando iba todos los días a la oficina"/>
    <s v="Igual que cuando iba todos los días a la oficina"/>
    <s v="Igual que cuando iba todos los días a la oficina"/>
    <s v="Igual que cuando iba todos los días a la oficina"/>
    <s v="Menor que cuando iba todos los días a la oficina"/>
    <s v="Igual que cuando iba todos los días a la oficina"/>
    <s v="Igual que cuando iba todos los días a la oficina"/>
    <s v="Igual que cuando iba todos los días a la oficina"/>
    <s v="Iguales que cuando iba todos los días a la oficina"/>
    <s v="Igual que cuando iba todos los días a la oficina"/>
    <s v="Mucho Mayor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Menor que cuando iba todos los días a la oficina"/>
    <s v="Igual que cuando iba todos los días a la oficina"/>
    <s v="Mayor que cuando iba todos los días a la oficina"/>
    <s v="Igual que cuando iba todos los días a la oficina"/>
    <s v="Iguales que cuando iba todos los días a la oficina"/>
    <s v="Igual que cuando iba todos los días a la oficina"/>
    <s v="Igual que cuando iba todos los días a la oficina"/>
    <s v="Farruza@gmail.com"/>
    <s v="&lt;301 empleados"/>
    <n v="1"/>
  </r>
  <r>
    <s v="México"/>
    <s v="&lt;35 años"/>
    <s v="Masculino"/>
    <s v="Maestría"/>
    <s v="11-20 años"/>
    <s v="Administrador de Infrastructura"/>
    <s v="Ingeniero DevOps"/>
    <s v="&gt;500 empleados."/>
    <s v="Empresa que desarrolla software a medida partiendo desde cero"/>
    <s v="Multinacional"/>
    <s v="Muy Frecuentemente"/>
    <s v="Alto"/>
    <s v="&gt;5 días"/>
    <s v="Ninguno"/>
    <s v="Híbrida casa (más días en casa que en la oficina)"/>
    <s v="Impuesta por la empresa"/>
    <s v="De acuerdo"/>
    <s v="Igual que cuando iba todos los días a la oficina"/>
    <s v="Igual que cuando iba todos los días a la oficina"/>
    <s v="Igual que cuando iba todos los días a la oficina"/>
    <s v="Muy diferentes que cuando iba todos los días a la oficina, ahora necesito muchas menos horas para hacer lo mismo"/>
    <s v="Todas por videoconferencia"/>
    <s v="Menor que cuando eran en la oficina"/>
    <s v="Mucho Mayor que cuando iba todos los días a la oficina"/>
    <s v="No tengo la información para contestar a la pregunta"/>
    <s v="Mucho Mayor que cuando iba todos los días a la oficina"/>
    <s v="Mayor que cuando iba todos los días a la oficina"/>
    <x v="4"/>
    <x v="1"/>
    <x v="0"/>
    <s v="Mucho mayor que cuando iba todos los días a la oficina"/>
    <x v="0"/>
    <s v="Menos que cuando iba todos los días a la oficina"/>
    <s v="Mucho menos que cuando iba todos los días a la oficina"/>
    <s v="Igual que cuando iba todos los días a la oficina"/>
    <s v="Mucho menos que cuando iba todos los días a la oficina"/>
    <s v="Menos que cuando iba todos los días a la oficina"/>
    <s v="Mucho menos que cuando iba todos los días a la oficina"/>
    <s v="Mucho menos que cuando iba todos los días a la oficina"/>
    <s v="Mucho menos que cuando iba todos los días a la oficina"/>
    <s v="Mucho menos que cuando iba todos los días a la oficina"/>
    <s v="Mucho Mayores que cuando iba todos los días a la oficina"/>
    <s v="Mucho Mayor que cuando iba todos los días a la oficina"/>
    <s v="Mucho Mayor que cuando iba todos los días a la oficina"/>
    <s v="Mucho menor que cuando iba todos los días a la oficina"/>
    <s v="Mucho Mayor que cuando iba todos los días a la oficina"/>
    <s v="Igual que cuando iba todos los días a la oficina"/>
    <s v="Menor que cuando iba todos los días a la oficina"/>
    <s v="Menor que cuando iba todos los días a la oficina"/>
    <s v="Mucho mayor que cuando iba todos los días a la oficina"/>
    <s v="Iguales que cuando iba todos los días a la oficina"/>
    <s v="Mucho mayor que cuando iba todos los días a la oficina"/>
    <s v="No hay diferencias culturales en mi equipo"/>
    <s v="Mucho mayor que cuando iba todos los días a la oficina"/>
    <s v="Iguales que cuando iba todos los días a la oficina"/>
    <s v="Mucho menores que cuando iba todos los días a la oficina"/>
    <s v="Mucho menos que cuando iba todos los días a la oficina"/>
    <s v="Mayor que cuando iba todos los días a la oficina"/>
    <s v="Mucho menores que cuando iba todos los días a la oficina"/>
    <s v="Igual que cuando iba todos los días a la oficina"/>
    <s v="Mucho mayor que cuando iba todos los días a la oficina"/>
    <s v="Menos que cuando iba todos los días a la oficina"/>
    <s v="Mucho menores que cuando iba todos los días a la oficina"/>
    <s v="Mucho mejor que cuando iba todos los días a la oficina"/>
    <s v="Mucho Mayor que cuando iba todos los días a la oficina"/>
    <s v="Mucho Mayor que cuando iba todos los días a la oficina"/>
    <s v="Mucho mayor que cuando iba todos los días a la oficina"/>
    <s v="Igual que cuando iba todos los días a la oficina"/>
    <s v="Mucho Mayor que cuando iba todos los días a la oficina"/>
    <s v="Mucho Mayor que cuando iba todos los días a la oficina"/>
    <s v="Mucho Mayor que cuando iba todos los días a la oficina"/>
    <s v="Mucho Mayor que cuando iba todos los días a la oficina"/>
    <s v="Mucho menor que cuando iba todos los días a la oficina"/>
    <s v="Mas que cuando iba todos los días a la oficina"/>
    <s v="Mayores que cuando iba todos los días a la oficina"/>
    <s v="Mucho Mayor que cuando iba todos los días a la oficina"/>
    <s v="Mucho Mayor que cuando iba todos los días a la oficina"/>
    <s v="Mucho Mayor que cuando iba todos los días a la oficina"/>
    <s v="Mucho menor que cuando iba todos los días a la oficina"/>
    <s v="Mayor que cuando iba todos los días a la oficina"/>
    <s v="Igual que cuando iba todos los días a la oficina"/>
    <s v="Mucho Mejor que cuando iba todos los días a la oficina"/>
    <s v="Mayor que cuando iba todos los días a la oficina"/>
    <s v="Igual que cuando iba todos los días a la oficina"/>
    <s v="Mucho Mayor que cuando iba todos los días a la oficina"/>
    <s v="Mucho Mayor que cuando iba todos los días a la oficina"/>
    <s v="Mucho menor que cuando iba todos los días a la oficina"/>
    <s v="Mucho menores que cuando iba todos los días a la oficina"/>
    <s v="Mucho Mayor que cuando iba todos los días a la oficina"/>
    <s v="Mucho mayor que cuando iba todos los días a la oficina"/>
    <m/>
    <s v="301+ empleados"/>
    <n v="0"/>
  </r>
  <r>
    <s v="México"/>
    <s v="&lt;35 años"/>
    <s v="Femenino"/>
    <s v="Maestria"/>
    <s v="&lt;5 años"/>
    <s v="Analista de Información"/>
    <s v="Analista BI"/>
    <s v="51-150 empleados"/>
    <s v="Empresa que subcontrata (outsourcing) los servicios de otra del mismo país"/>
    <s v="Multinacional"/>
    <s v="Casi Nunca"/>
    <s v="Alto"/>
    <s v="&gt;5 días"/>
    <s v="Ninguno"/>
    <s v="Remota ( todos los días en casa)"/>
    <s v="Consensuada por las dos partes"/>
    <s v="De acuerdo"/>
    <s v="Igual que cuando iba todos los días a la oficina"/>
    <s v="Menor que cuando iba todos los días a la oficina"/>
    <s v="Menor que cuando iba todos los días a la oficina"/>
    <s v="Diferentes que cuando iba todos los días a la oficina, ahora necesito menos horas para hacer lo mismo"/>
    <s v="Todas por videoconferencia"/>
    <s v="Mucho menor que cuando eran en la oficina"/>
    <s v="Igual que cuando iba todos los días a la oficina"/>
    <s v="Mayor que cuando iba todos los días a la oficina"/>
    <s v="No tengo la información para contestar a la pregunta"/>
    <s v="Mayor que cuando iba todos los días a la oficina"/>
    <x v="2"/>
    <x v="1"/>
    <x v="0"/>
    <s v="Mayor que cuando iba todos los días a la oficina"/>
    <x v="4"/>
    <s v="Igual que cuando iba todos los días a la oficina"/>
    <s v="Mucho menos que cuando iba todos los días a la oficina"/>
    <s v="Mucho menos que cuando iba todos los días a la oficina"/>
    <s v="Mucho menos que cuando iba todos los días a la oficina"/>
    <s v="Menos que cuando iba todos los días a la oficina"/>
    <s v="Menos que cuando iba todos los días a la oficina"/>
    <s v="Igual que cuando iba todos los días a la oficina"/>
    <s v="Menos que cuando iba todos los días a la oficina"/>
    <s v="Menos que cuando iba todos los días a la oficina"/>
    <s v="Iguales que cuando iba todos los días a la oficina"/>
    <s v="Mayor que cuando iba todos los días a la oficina"/>
    <s v="Igual que cuando iba todos los días a la oficina"/>
    <s v="Mucho menor que cuando iba todos los días a la oficina"/>
    <s v="Mucho Mayor que cuando iba todos los días a la oficina"/>
    <s v="Menor que cuando iba todos los días a la oficina"/>
    <s v="Menor que cuando iba todos los días a la oficina"/>
    <s v="Mayor que cuando iba todos los días a la oficina"/>
    <s v="Mucho mayor que cuando iba todos los días a la oficina"/>
    <s v="Iguales que cuando iba todos los días a la oficina"/>
    <s v="Mayor que cuando iba todos los días a la oficina"/>
    <s v="Menores que cuando iba todos los días a la oficina"/>
    <s v="Mayor que cuando iba todos los días a la oficina"/>
    <s v="Iguales que cuando iba todos los días a la oficina"/>
    <s v="Iguales que cuando iba todos los días a la oficina"/>
    <s v="Menos que cuando iba todos los días a la oficina"/>
    <s v="Mayor que cuando iba todos los días a la oficina"/>
    <s v="Iguales que cuando iba todos los días a la oficina"/>
    <s v="Mayor que cuando iba todos los días a la oficina"/>
    <s v="Igual que cuando iba todos los días a la oficina"/>
    <s v="Menos que cuando iba todos los días a la oficina"/>
    <s v="Menores que cuando iba todos los días a la oficina"/>
    <s v="Mejor que cuando iba todos los días a la oficina"/>
    <s v="Mucho Mayor que cuando iba todos los días a la oficina"/>
    <s v="Igual que cuando iba todos los días a la oficina"/>
    <s v="Mucho mayor que cuando iba todos los días a la oficina"/>
    <s v="Mucho Mayor que cuando iba todos los días a la oficina"/>
    <s v="Mayor que cuando iba todos los días a la oficina"/>
    <s v="Mayor que cuando iba todos los días a la oficina"/>
    <s v="Mucho Mayor que cuando iba todos los días a la oficina"/>
    <s v="Mayor que cuando iba todos los días a la oficina"/>
    <s v="Menor que cuando iba todos los días a la oficina"/>
    <s v="Igual que cuando iba todos los días a la oficina"/>
    <s v="Mayores que cuando iba todos los días a la oficina"/>
    <s v="Igual que cuando iba todos los días a la oficina"/>
    <s v="Mucho Mayor que cuando iba todos los días a la oficina"/>
    <s v="Mayor que cuando iba todos los días a la oficina"/>
    <s v="Mucho menor que cuando iba todos los días a la oficina"/>
    <s v="Mayor que cuando iba todos los días a la oficina"/>
    <s v="Igual que cuando iba todos los días a la oficina"/>
    <s v="Mejor que cuando iba todos los días a la oficina"/>
    <s v="Igual que cuando iba todos los días a la oficina"/>
    <s v="Menor que cuando iba todos los días a la oficina"/>
    <s v="Mayor que cuando iba todos los días a la oficina"/>
    <s v="Mayor que cuando iba todos los días a la oficina"/>
    <s v="Menor que cuando iba todos los días a la oficina"/>
    <s v="Iguales que cuando iba todos los días a la oficina"/>
    <s v="Igual que cuando iba todos los días a la oficina"/>
    <s v="Mayor que cuando iba todos los días a la oficina"/>
    <m/>
    <s v="&lt;301 empleados"/>
    <n v="0"/>
  </r>
  <r>
    <s v="México"/>
    <s v="&lt;35 años"/>
    <s v="Masculino"/>
    <s v="Universidad "/>
    <s v="11-20 años"/>
    <s v="Analista de Transformación "/>
    <s v="Gerente "/>
    <s v="&gt;500 empleados."/>
    <s v="Empresa que subcontrata (outsourcing) los servicios de otra empresa situada en otro país"/>
    <s v="Multinacional"/>
    <s v="Muy Frecuentemente"/>
    <s v="Alto"/>
    <s v="&gt;5 días"/>
    <s v="Ninguno"/>
    <s v="Remota ( todos los días en casa)"/>
    <s v="Consensuada por las dos partes"/>
    <s v="Totalmente en desacuerdo"/>
    <s v="Igual que cuando iba todos los días a la oficina"/>
    <s v="Mayor que cuando iba todos los días a la oficina"/>
    <s v="Igual que cuando iba todos los días a la oficina"/>
    <s v="Diferentes que cuando iba todos los días a la oficina, ahora necesito menos horas para hacer lo mismo"/>
    <s v="Todas por videoconferencia"/>
    <s v="Igual que cuando eran en la oficina"/>
    <s v="Mucho Mayor que cuando iba todos los días a la oficina"/>
    <s v="Mucho Mayor que cuando iba todos los días a la oficina"/>
    <s v="Mayor que cuando iba todos los días a la oficina"/>
    <s v="Mucho Mayor que cuando iba todos los días a la oficina"/>
    <x v="0"/>
    <x v="1"/>
    <x v="0"/>
    <s v="Mucho mayor que cuando iba todos los días a la oficina"/>
    <x v="4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Mucho menos que cuando iba todos los días a la oficina"/>
    <s v="Igual que cuando iba todos los días a la oficina"/>
    <s v="Mucho menos que cuando iba todos los días a la oficina"/>
    <s v="Igual que cuando iba todos los días a la oficina"/>
    <s v="Iguales que cuando iba todos los días a la oficina"/>
    <s v="Igual que cuando iba todos los días a la oficina"/>
    <s v="Igual que cuando iba todos los días a la oficina"/>
    <s v="Mayor que cuando iba todos los días a la oficina"/>
    <s v="Mucho Mayor que cuando iba todos los días a la oficina"/>
    <s v="Igual que cuando iba todos los días a la oficina"/>
    <s v="Igual que cuando iba todos los días a la oficina"/>
    <s v="Mayor que cuando iba todos los días a la oficina"/>
    <s v="Mayor que cuando iba todos los días a la oficina"/>
    <s v="Mucho menores que cuando iba todos los días a la oficina"/>
    <s v="Mayor que cuando iba todos los días a la oficina"/>
    <s v="Iguales que cuando iba todos los días a la oficina"/>
    <s v="Igual que cuando iba todos los días a la oficina"/>
    <s v="Iguales que cuando iba todos los días a la oficina"/>
    <s v="Iguales que cuando iba todos los días a la oficina"/>
    <s v="Igual que cuando iba todos los días a la oficina"/>
    <s v="Igual que cuando iba todos los días a la oficina"/>
    <s v="Menores que cuando iba todos los días a la oficina"/>
    <s v="Mayor que cuando iba todos los días a la oficina"/>
    <s v="Igual que cuando iba todos los días a la oficina"/>
    <s v="Igual que cuando iba todos los días a la oficina"/>
    <s v="Iguales que cuando iba todos los días a la oficina"/>
    <s v="Igual que cuando iba todos los días a la oficina"/>
    <s v="Igual que cuando iba todos los días a la oficina"/>
    <s v="Mucho Mayor que cuando iba todos los días a la oficina"/>
    <s v="Mucho mayor que cuando iba todos los días a la oficina"/>
    <s v="Mucho Mayor que cuando iba todos los días a la oficina"/>
    <s v="Mucho Mayor que cuando iba todos los días a la oficina"/>
    <s v="Mucho Mayor que cuando iba todos los días a la oficina"/>
    <s v="Mucho Mayor que cuando iba todos los días a la oficina"/>
    <s v="Mayor que cuando iba todos los días a la oficina"/>
    <s v="Igual que cuando iba todos los días a la oficina"/>
    <s v="Igual que cuando iba todos los días a la oficina"/>
    <s v="Menores que cuando iba todos los días a la oficina"/>
    <s v="Igual que cuando iba todos los días a la oficina"/>
    <s v="Mayor que cuando iba todos los días a la oficina"/>
    <s v="Igual que cuando iba todos los días a la oficina"/>
    <s v="Igual que cuando iba todos los días a la oficina"/>
    <s v="Mucho Mayor que cuando iba todos los días a la oficina"/>
    <s v="Igual que cuando iba todos los días a la oficina"/>
    <s v="Mejor que cuando iba todos los días a la oficina"/>
    <s v="Mucho Mayor que cuando iba todos los días a la oficina"/>
    <s v="Mayor que cuando iba todos los días a la oficina"/>
    <s v="Mayor que cuando iba todos los días a la oficina"/>
    <s v="Mayor que cuando iba todos los días a la oficina"/>
    <s v="Mucho menor que cuando iba todos los días a la oficina"/>
    <s v="Mucho menores que cuando iba todos los días a la oficina"/>
    <s v="Igual que cuando iba todos los días a la oficina"/>
    <s v="Mayor que cuando iba todos los días a la oficina"/>
    <s v="andresbernalc@live.com.mx"/>
    <s v="301+ empleados"/>
    <n v="1"/>
  </r>
  <r>
    <s v="México"/>
    <s v="&lt;35 años"/>
    <s v="Femenino"/>
    <s v="Doctorado"/>
    <s v="&lt;5 años"/>
    <s v="Cientifico de Datos"/>
    <s v="Ingeniero de lenguaje"/>
    <s v="&gt;500 empleados."/>
    <s v="Fábrica de Software"/>
    <s v="Multinacional"/>
    <s v="Casi Nunca"/>
    <s v="Alto"/>
    <s v="&gt;5 días"/>
    <s v="Ninguno"/>
    <s v="Remota ( todos los días en casa)"/>
    <s v="Decidida por ti"/>
    <s v="Totalmente en desacuerdo"/>
    <s v="Igual que cuando iba todos los días a la oficina"/>
    <s v="Igual que cuando iba todos los días a la oficina"/>
    <s v="Igual que cuando iba todos los días a la oficina"/>
    <s v="Iguales que cuando iba todos los días a la oficina"/>
    <s v="Todas por videoconferencia"/>
    <s v="Menor que cuando eran en la oficina"/>
    <s v="Mucho Mayor que cuando iba todos los días a la oficina"/>
    <s v="No tengo la información para contestar a la pregunta"/>
    <s v="No tengo la información para contestar a la pregunta"/>
    <s v="Mucho Mayor que cuando iba todos los días a la oficina"/>
    <x v="2"/>
    <x v="1"/>
    <x v="2"/>
    <s v="Mayor que cuando iba todos los días a la oficina"/>
    <x v="2"/>
    <s v="No tengo la información para contestar a la pregunta"/>
    <s v="No trabajo con personas de distintas culturas"/>
    <s v="No trabajo con personas con un horario distinto al mío"/>
    <s v="Menos que cuando iba todos los días a la oficina"/>
    <s v="No tengo la información para contestar a la pregunta"/>
    <s v="Igual que cuando iba todos los días a la oficina"/>
    <s v="Menos que cuando iba todos los días a la oficina"/>
    <s v="Menos que cuando iba todos los días a la oficina"/>
    <s v="Igual que cuando iba todos los días a la oficina"/>
    <s v="Iguales que cuando iba todos los días a la oficina"/>
    <s v="Igual que cuando iba todos los días a la oficina"/>
    <s v="Mayor que cuando iba todos los días a la oficina"/>
    <s v="Mucho menor que cuando iba todos los días a la oficina"/>
    <s v="Igual que cuando iba todos los días a la oficina"/>
    <s v="Menor que cuando iba todos los días a la oficina"/>
    <s v="Menor que cuando iba todos los días a la oficina"/>
    <s v="Igual que cuando iba todos los días a la oficina"/>
    <s v="Mucho mayor que cuando iba todos los días a la oficina"/>
    <s v="Mayores que cuando iba todos los días a la oficina"/>
    <s v="Mucho mayor que cuando iba todos los días a la oficina"/>
    <s v="No hay diferencias culturales en mi equipo"/>
    <s v="Igual que cuando iba todos los días a la oficina"/>
    <s v="Iguales que cuando iba todos los días a la oficina"/>
    <s v="No tengo que utilizar diferentes idiomas en mi trabajo"/>
    <s v="No trabajo con personas con distintos horarios"/>
    <s v="Igual que cuando iba todos los días a la oficina"/>
    <s v="Menores que cuando iba todos los días a la oficina"/>
    <s v="Mayor que cuando iba todos los días a la oficina"/>
    <s v="No tengo la información para contestar a la pregunta"/>
    <s v="Igual que cuando iba todos los días a la oficina"/>
    <s v="Iguales que cuando iba todos los días a la oficina"/>
    <s v="Igual que cuando iba todos los días a la oficina"/>
    <s v="Igual que cuando iba todos los días a la oficina"/>
    <s v="Igual que cuando iba todos los días a la oficina"/>
    <s v="Mucho mayor que cuando iba todos los días a la oficina"/>
    <s v="Igual que cuando iba todos los días a la oficina"/>
    <s v="Igual que cuando iba todos los días a la oficina"/>
    <s v="Mayor que cuando iba todos los días a la oficina"/>
    <s v="Mayor que cuando iba todos los días a la oficina"/>
    <s v="Mayor que cuando iba todos los días a la oficina"/>
    <s v="Igual que cuando iba todos los días a la oficina"/>
    <s v="Mas que cuando iba todos los días a la oficina"/>
    <s v="Iguales que cuando iba todos los días a la oficina"/>
    <s v="Mayor que cuando iba todos los días a la oficina"/>
    <s v="Mucho Mayor que cuando iba todos los días a la oficina"/>
    <s v="Igual que cuando iba todos los días a la oficina"/>
    <s v="Mucho menor que cuando iba todos los días a la oficina"/>
    <s v="Mayor que cuando iba todos los días a la oficina"/>
    <s v="Menor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Mucho Mayor que cuando iba todos los días a la oficina"/>
    <s v="Menor que cuando iba todos los días a la oficina"/>
    <s v="Iguales que cuando iba todos los días a la oficina"/>
    <s v="Igual que cuando iba todos los días a la oficina"/>
    <s v="Mayor que cuando iba todos los días a la oficina"/>
    <s v="male141@hotmail.com"/>
    <s v="301+ empleados"/>
    <n v="0"/>
  </r>
  <r>
    <s v="México"/>
    <s v="&lt;35 años"/>
    <s v="Masculino"/>
    <s v="Licenciatura"/>
    <s v="5-10 años"/>
    <s v="Desarrollador de Software"/>
    <s v="Desarrollador de Software"/>
    <s v="&lt;50 empleados"/>
    <s v="Empresa que desarrolla software a medida partiendo desde cero"/>
    <s v="Multinacional"/>
    <s v="A veces"/>
    <s v="Alto"/>
    <s v="&gt;5 días"/>
    <s v="Ninguno"/>
    <s v="Remota ( todos los días en casa)"/>
    <s v="Impuesta por la empresa"/>
    <s v="Totalmente en desacuerdo"/>
    <s v="Menor que cuando iba todos los días a la oficina"/>
    <s v="Menor que cuando iba todos los días a la oficina"/>
    <s v="Menor que cuando iba todos los días a la oficina"/>
    <s v="Diferentes que cuando iba todos los días a la oficina, ahora necesito menos horas para hacer lo mismo"/>
    <s v="Casi todas por videoconferencia"/>
    <s v="Mucho menor que cuando eran en la oficina"/>
    <s v="Igual que cuando iba todos los días a la oficina"/>
    <s v="Menor que cuando iba todos los días a la oficina"/>
    <s v="Igual que cuando iba todos los días a la oficina"/>
    <s v="Mayor que cuando iba todos los días a la oficina"/>
    <x v="2"/>
    <x v="1"/>
    <x v="1"/>
    <s v="Menor que cuando iba todos los días a la oficina"/>
    <x v="2"/>
    <s v="Más que cuando iba todos los días a la oficina"/>
    <s v="No trabajo con personas de distintas culturas"/>
    <s v="No trabajo con personas con un horario distinto al mío"/>
    <s v="No trabajo  con personas que se encuentran geográficamente distribuidas"/>
    <s v="Mucho más que cuando iba todos los días a la oficina"/>
    <s v="Mas que cuando iba todos los días a la oficina"/>
    <s v="Mucho más que cuando iba todos los días a la oficina"/>
    <s v="Mas que cuando iba todos los días a la oficina"/>
    <s v="Mucho mas que cuando iba todos los días a la oficina"/>
    <s v="Iguales que cuando iba todos los días a la oficina"/>
    <s v="Mayor que cuando iba todos los días a la oficina"/>
    <s v="Igual que cuando iba todos los días a la oficina"/>
    <s v="Mucho Mayor que cuando iba todos los días a la oficina"/>
    <s v="Mayor que cuando iba todos los días a la oficina"/>
    <s v="Mucho Mayor que cuando iba todos los días a la oficina"/>
    <s v="Mucho Mayor que cuando iba todos los días a la oficina"/>
    <s v="Mayor que cuando iba todos los días a la oficina"/>
    <s v="Mucho mayor que cuando iba todos los días a la oficina"/>
    <s v="Mucho menores que cuando iba todos los días a la oficina"/>
    <s v="Mucho menor que cuando iba todos los días a la oficina"/>
    <s v="No hay diferencias culturales en mi equipo"/>
    <s v="Igual que cuando iba todos los días a la oficina"/>
    <s v="Menores que cuando iba todos los días a la oficina"/>
    <s v="No tengo que utilizar diferentes idiomas en mi trabajo"/>
    <s v="No trabajo con personas con distintos horarios"/>
    <s v="Menor que cuando iba todos los días a la oficina"/>
    <s v="Iguales que cuando iba todos los días a la oficina"/>
    <s v="Mucho mayor que cuando iba todos los días a la oficina"/>
    <s v="Menor que cuando iba todos los días a la oficina"/>
    <s v="Menos que cuando iba todos los días a la oficina"/>
    <s v="Iguales que cuando iba todos los días a la oficina"/>
    <s v="Peor que cuando iba todos los días a la oficina"/>
    <s v="Menor que cuando iba todos los días a la oficina"/>
    <s v="Mayor que cuando iba todos los días a la oficina"/>
    <s v="Mucho mayor que cuando iba todos los días a la oficina"/>
    <s v="Mayor que cuando iba todos los días a la oficina"/>
    <s v="Mayor que cuando iba todos los días a la oficina"/>
    <s v="Igual que cuando iba todos los días a la oficina"/>
    <s v="Mayor que cuando iba todos los días a la oficina"/>
    <s v="Igual que cuando iba todos los días a la oficina"/>
    <s v="Mayor que cuando iba todos los días a la oficina"/>
    <s v="Menos que cuando iba todos los días a la oficina"/>
    <s v="Mucho menores que cuando iba todos los días a la oficina"/>
    <s v="Igual que cuando iba todos los días a la oficina"/>
    <s v="Mucho menor que cuando iba todos los días a la oficina"/>
    <s v="Menor que cuando iba todos los días a la oficina"/>
    <s v="Mucho Mayor que cuando iba todos los días a la oficina"/>
    <s v="Menor que cuando iba todos los días a la oficina"/>
    <s v="Igual que cuando iba todos los días a la oficina"/>
    <s v="Peor que cuando iba todos los días a la oficina"/>
    <s v="Igual que cuando iba todos los días a la oficina"/>
    <s v="Menor que cuando iba todos los días a la oficina"/>
    <s v="Igual que cuando iba todos los días a la oficina"/>
    <s v="Mucho Mayor que cuando iba todos los días a la oficina"/>
    <s v="Mucho menor que cuando iba todos los días a la oficina"/>
    <s v="Iguales que cuando iba todos los días a la oficina"/>
    <s v="Menor que cuando iba todos los días a la oficina"/>
    <s v="Mayor que cuando iba todos los días a la oficina"/>
    <s v="renancarrillo@gmail.com"/>
    <s v="&lt;301 empleados"/>
    <n v="0"/>
  </r>
  <r>
    <s v="México"/>
    <s v="&lt;35 años"/>
    <s v="Masculino"/>
    <s v="Maestría"/>
    <s v="11-20 años"/>
    <s v="Desarrollador de software"/>
    <s v="Cloud Full Stack Developer"/>
    <s v="51-150 empleados"/>
    <s v="Empresa que subcontrata (outsourcing) los servicios de otra empresa situada en otro país"/>
    <s v="Multinacional"/>
    <s v="Muy Frecuentemente"/>
    <s v="Alto"/>
    <s v="&gt;5 días"/>
    <s v="Ninguno"/>
    <s v="Remota ( todos los días en casa)"/>
    <s v="Consensuada por las dos partes"/>
    <s v="Totalmente de acuerdo"/>
    <s v="Mucho mayor que cuando iba todos los días a la oficina"/>
    <s v="Mucho Mayor que cuando iba todos los días a la oficina"/>
    <s v="Mucho Mayor que cuando iba todos los días a la oficina"/>
    <s v="Muy diferentes que cuando iba todos los días a la oficina, ahora necesito muchas menos horas para hacer lo mismo"/>
    <s v="Todas por videoconferencia"/>
    <s v="Mucho menor que cuando eran en la oficina"/>
    <s v="Mucho Mayor que cuando iba todos los días a la oficina"/>
    <s v="Mayor que cuando iba todos los días a la oficina"/>
    <s v="Mucho Mayor que cuando iba todos los días a la oficina"/>
    <s v="Mucho Mayor que cuando iba todos los días a la oficina"/>
    <x v="1"/>
    <x v="2"/>
    <x v="0"/>
    <s v="Mucho mayor que cuando iba todos los días a la oficina"/>
    <x v="4"/>
    <s v="Igual que cuando iba todos los días a la oficina"/>
    <s v="Mucho menos que cuando iba todos los días a la oficina"/>
    <s v="Mucho menos que cuando iba todos los días a la oficina"/>
    <s v="Mucho menos que cuando iba todos los días a la oficina"/>
    <s v="Igual que cuando iba todos los días a la oficina"/>
    <s v="Igual que cuando iba todos los días a la oficina"/>
    <s v="Menos que cuando iba todos los días a la oficina"/>
    <s v="Igual que cuando iba todos los días a la oficina"/>
    <s v="Menos que cuando iba todos los días a la oficina"/>
    <s v="Mucho Mayores que cuando iba todos los días a la oficina"/>
    <s v="Mucho Mayor que cuando iba todos los días a la oficina"/>
    <s v="Mayor que cuando iba todos los días a la oficina"/>
    <s v="Mucho menor que cuando iba todos los días a la oficina"/>
    <s v="Mucho Mayor que cuando iba todos los días a la oficina"/>
    <s v="Mucho menor que cuando iba todos los días a la oficina"/>
    <s v="Mucho menor que cuando iba todos los días a la oficina"/>
    <s v="Menor que cuando iba todos los días a la oficina"/>
    <s v="Mucho mayor que cuando iba todos los días a la oficina"/>
    <s v="Menores que cuando iba todos los días a la oficina"/>
    <s v="Mucho mayor que cuando iba todos los días a la oficina"/>
    <s v="Menores que cuando iba todos los días a la oficina"/>
    <s v="Mayor que cuando iba todos los días a la oficina"/>
    <s v="Menores que cuando iba todos los días a la oficina"/>
    <s v="Iguales que cuando iba todos los días a la oficina"/>
    <s v="Mucho menos que cuando iba todos los días a la oficina"/>
    <s v="Igual que cuando iba todos los días a la oficina"/>
    <s v="Mucho menores que cuando iba todos los días a la oficina"/>
    <s v="Mucho mayor que cuando iba todos los días a la oficina"/>
    <s v="Mayor que cuando iba todos los días a la oficina"/>
    <s v="Menos que cuando iba todos los días a la oficina"/>
    <s v="Iguales que cuando iba todos los días a la oficina"/>
    <s v="Mejor que cuando iba todos los días a la oficina"/>
    <s v="Mucho Mayor que cuando iba todos los días a la oficina"/>
    <s v="Mucho Mayor que cuando iba todos los días a la oficina"/>
    <s v="Mucho mayor que cuando iba todos los días a la oficina"/>
    <s v="Mayor que cuando iba todos los días a la oficina"/>
    <s v="Mayor que cuando iba todos los días a la oficina"/>
    <s v="Mayor que cuando iba todos los días a la oficina"/>
    <s v="Mucho Mayor que cuando iba todos los días a la oficina"/>
    <s v="Mucho Mayor que cuando iba todos los días a la oficina"/>
    <s v="Menor que cuando iba todos los días a la oficina"/>
    <s v="Mas que cuando iba todos los días a la oficina"/>
    <s v="Mayores que cuando iba todos los días a la oficina"/>
    <s v="Mucho Mayor que cuando iba todos los días a la oficina"/>
    <s v="Mucho Mayor que cuando iba todos los días a la oficina"/>
    <s v="Mucho Mayor que cuando iba todos los días a la oficina"/>
    <s v="Mucho menor que cuando iba todos los días a la oficina"/>
    <s v="Mayor que cuando iba todos los días a la oficina"/>
    <s v="Menor que cuando iba todos los días a la oficina"/>
    <s v="Mejor que cuando iba todos los días a la oficina"/>
    <s v="Mucho Mayor que cuando iba todos los días a la oficina"/>
    <s v="Igual que cuando iba todos los días a la oficina"/>
    <s v="Mayor que cuando iba todos los días a la oficina"/>
    <s v="Mucho Mayor que cuando iba todos los días a la oficina"/>
    <s v="Menor que cuando iba todos los días a la oficina"/>
    <s v="Menores que cuando iba todos los días a la oficina"/>
    <s v="Mayor que cuando iba todos los días a la oficina"/>
    <s v="Mucho mayor que cuando iba todos los días a la oficina"/>
    <s v="crizlucero@gmail.com"/>
    <s v="&lt;301 empleados"/>
    <n v="0"/>
  </r>
  <r>
    <s v="México"/>
    <s v="&lt;35 años"/>
    <s v="Masculino"/>
    <s v="Maestría"/>
    <s v="5-10 años"/>
    <s v="Desarrollador de Software"/>
    <s v="Consultor de Software"/>
    <s v="301-500 empleados"/>
    <s v="Empresa que desarrolla software a medida partiendo desde cero"/>
    <s v="Multinacional"/>
    <s v="A veces"/>
    <s v="Alto"/>
    <s v="&gt;5 días"/>
    <s v="Ninguno"/>
    <s v="Remota ( todos los días en casa)"/>
    <s v="Consensuada por las dos partes"/>
    <s v="En desacuerdo"/>
    <s v="Mucho menor que cuando iba todos los días a la oficina"/>
    <s v="Mucho menor que cuando iba todos los días a la oficina"/>
    <s v="Menor que cuando iba todos los días a la oficina"/>
    <s v="Diferentes que cuando iba todos los días a la oficina, ahora necesito menos horas para hacer lo mismo"/>
    <s v="Todas por videoconferencia"/>
    <s v="Igual que cuando eran en la oficina"/>
    <s v="Mayor que cuando iba todos los días a la oficina"/>
    <s v="Mayor que cuando iba todos los días a la oficina"/>
    <s v="Igual que cuando iba todos los días a la oficina"/>
    <s v="Igual que cuando iba todos los días a la oficina"/>
    <x v="0"/>
    <x v="2"/>
    <x v="1"/>
    <s v="Igual que cuando iba todos los días a la oficina"/>
    <x v="1"/>
    <s v="Igual que cuando iba todos los días a la oficina"/>
    <s v="Igual que cuando iba todos los días a la oficina"/>
    <s v="Igual que cuando iba todos los días a la oficina"/>
    <s v="Igual que cuando iba todos los días a la oficina"/>
    <s v="Mucho más que cuando iba todos los días a la oficina"/>
    <s v="Mas que cuando iba todos los días a la oficina"/>
    <s v="Igual que cuando iba todos los días a la oficina"/>
    <s v="Mas que cuando iba todos los días a la oficina"/>
    <s v="Mucho mas que cuando iba todos los días a la oficina"/>
    <s v="Mucho menores que cuando iba todos los días a la oficina"/>
    <s v="Mucho menor que cuando iba todos los días a la oficina"/>
    <s v="Mucho menor que cuando iba todos los días a la oficina"/>
    <s v="Mayor que cuando iba todos los días a la oficina"/>
    <s v="Igual que cuando iba todos los días a la oficina"/>
    <s v="Mayor que cuando iba todos los días a la oficina"/>
    <s v="Mayor que cuando iba todos los días a la oficina"/>
    <s v="Igual que cuando iba todos los días a la oficina"/>
    <s v="Igual que cuando iba todos los días a la oficina"/>
    <s v="Menores que cuando iba todos los días a la oficina"/>
    <s v="Menor que cuando iba todos los días a la oficina"/>
    <s v="No hay diferencias culturales en mi equipo"/>
    <s v="Mucho menor que cuando iba todos los días a la oficina"/>
    <s v="Mayores que cuando iba todos los días a la oficina"/>
    <s v="No tengo que utilizar diferentes idiomas en mi trabajo"/>
    <s v="Más que cuando iba todos los días a la oficina"/>
    <s v="Igual que cuando iba todos los días a la oficina"/>
    <s v="Iguales que cuando iba todos los días a la oficina"/>
    <s v="Mayor que cuando iba todos los días a la oficina"/>
    <s v="Igual que cuando iba todos los días a la oficina"/>
    <s v="Más que cuando iba todos los días a la oficina"/>
    <s v="Iguales que cuando iba todos los días a la oficina"/>
    <s v="Igual que cuando iba todos los días a la oficina"/>
    <s v="Igual que cuando iba todos los días a la oficina"/>
    <s v="Igual que cuando iba todos los días a la oficina"/>
    <s v="Mucho mayor que cuando iba todos los días a la oficina"/>
    <s v="Mucho Mayor que cuando iba todos los días a la oficina"/>
    <s v="Mucho Mayor que cuando iba todos los días a la oficina"/>
    <s v="Mucho Mayor que cuando iba todos los días a la oficina"/>
    <s v="Igual que cuando iba todos los días a la oficina"/>
    <s v="Igual que cuando iba todos los días a la oficina"/>
    <s v="Mucho menor que cuando iba todos los días a la oficina"/>
    <s v="Mucho menos que cuando iba todos los días a la oficina"/>
    <s v="Mucho menores que cuando iba todos los días a la oficina"/>
    <s v="Menor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Menor que cuando iba todos los días a la oficina"/>
    <s v="Menor que cuando iba todos los días a la oficina"/>
    <s v="Menor que cuando iba todos los días a la oficina"/>
    <s v="Mayor que cuando iba todos los días a la oficina"/>
    <s v="Mayor que cuando iba todos los días a la oficina"/>
    <s v="Iguales que cuando iba todos los días a la oficina"/>
    <s v="Menor que cuando iba todos los días a la oficina"/>
    <s v="Menor que cuando iba todos los días a la oficina"/>
    <s v="juliogalla12@gmail.com"/>
    <s v="301+ empleados"/>
    <n v="0"/>
  </r>
  <r>
    <s v="México"/>
    <s v="&lt;35 años"/>
    <s v="Masculino"/>
    <s v="Licenciatura"/>
    <s v="5-10 años"/>
    <s v="Desarrollador full stack"/>
    <s v="Desarrollador fullstack"/>
    <s v="&lt;50 empleados"/>
    <s v="Empresa que desarrolla software a medida partiendo desde cero"/>
    <s v="Local"/>
    <s v="A veces"/>
    <s v="Alto"/>
    <s v="&gt;5 días"/>
    <s v="Ninguno"/>
    <s v="Híbrida casa (más días en casa que en la oficina)"/>
    <s v="Impuesta por la empresa"/>
    <s v="No sé"/>
    <s v="Menor que cuando iba todos los días a la oficina"/>
    <s v="Menor que cuando iba todos los días a la oficina"/>
    <s v="Igual que cuando iba todos los días a la oficina"/>
    <s v="Iguales que cuando iba todos los días a la oficina"/>
    <s v="Todas por videoconferencia"/>
    <s v="Igual que cuando eran en la oficina"/>
    <s v="Igual que cuando iba todos los días a la oficina"/>
    <s v="Igual que cuando iba todos los días a la oficina"/>
    <s v="Igual que cuando iba todos los días a la oficina"/>
    <s v="Menor que cuando iba todos los días a la oficina"/>
    <x v="1"/>
    <x v="1"/>
    <x v="1"/>
    <s v="Igual que cuando iba todos los días a la oficina"/>
    <x v="1"/>
    <s v="Igual que cuando iba todos los días a la oficina"/>
    <s v="Igual que cuando iba todos los días a la oficina"/>
    <s v="Más que cuando iba todos los días a la oficina"/>
    <s v="Más que cuando iba todos los días a la oficina"/>
    <s v="Igual que cuando iba todos los días a la oficina"/>
    <s v="Igual que cuando iba todos los días a la oficina"/>
    <s v="Mas que cuando iba todos los días a la oficina"/>
    <s v="Mas que cuando iba todos los días a la oficina"/>
    <s v="Igual que cuando iba todos los días a la oficina"/>
    <s v="Iguales que cuando iba todos los días a la oficina"/>
    <s v="Mayor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Mayor que cuando iba todos los días a la oficina"/>
    <s v="Iguales que cuando iba todos los días a la oficina"/>
    <s v="Igual que cuando iba todos los días a la oficina"/>
    <s v="Iguales que cuando iba todos los días a la oficina"/>
    <s v="Igual que cuando iba todos los días a la oficina"/>
    <s v="Iguales que cuando iba todos los días a la oficina"/>
    <s v="Iguales que cuando iba todos los días a la oficina"/>
    <s v="Igual que cuando iba todos los días a la oficina"/>
    <s v="Menor que cuando iba todos los días a la oficina"/>
    <s v="Mayores que cuando iba todos los días a la oficina"/>
    <s v="Mayor que cuando iba todos los días a la oficina"/>
    <s v="Mayor que cuando iba todos los días a la oficina"/>
    <s v="Igual que cuando iba todos los días a la oficina"/>
    <s v="Iguales que cuando iba todos los días a la oficina"/>
    <s v="Igual que cuando iba todos los días a la oficina"/>
    <s v="Igual que cuando iba todos los días a la oficina"/>
    <s v="Menor que cuando iba todos los días a la oficina"/>
    <s v="Mayor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es que cuando iba todos los días a la oficina"/>
    <s v="Igual que cuando iba todos los días a la oficina"/>
    <s v="Mayor que cuando iba todos los días a la oficina"/>
    <s v="Igual que cuando iba todos los días a la oficina"/>
    <s v="Menor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Menor que cuando iba todos los días a la oficina"/>
    <s v="Igual que cuando iba todos los días a la oficina"/>
    <s v="Mayor que cuando iba todos los días a la oficina"/>
    <s v="Menor que cuando iba todos los días a la oficina"/>
    <s v="Iguales que cuando iba todos los días a la oficina"/>
    <s v="Igual que cuando iba todos los días a la oficina"/>
    <s v="Igual que cuando iba todos los días a la oficina"/>
    <m/>
    <s v="&lt;301 empleados"/>
    <n v="0"/>
  </r>
  <r>
    <s v="México"/>
    <s v="&lt;35 años"/>
    <s v="Masculino"/>
    <s v="Licenciatura"/>
    <s v="11-20 años"/>
    <s v="Desarrollador Jr/ Mid"/>
    <s v="Desarrollador Sr."/>
    <s v="&lt;50 empleados"/>
    <s v="Fábrica de Software"/>
    <s v="Local"/>
    <s v="Nunca"/>
    <s v="Alto"/>
    <s v="&gt;5 días"/>
    <s v="Ninguno"/>
    <s v="Remota ( todos los días en casa)"/>
    <s v="Consensuada por las dos partes"/>
    <s v="De acuerdo"/>
    <s v="Menor que cuando iba todos los días a la oficina"/>
    <s v="Igual que cuando iba todos los días a la oficina"/>
    <s v="Igual que cuando iba todos los días a la oficina"/>
    <s v="Diferentes que cuando iba todos los días a la oficina, ahora necesito menos horas para hacer lo mismo"/>
    <s v="Todas por videoconferencia"/>
    <s v="Menor que cuando eran en la oficina"/>
    <s v="Mayor que cuando iba todos los días a la oficina"/>
    <s v="Mayor que cuando iba todos los días a la oficina"/>
    <s v="Mayor que cuando iba todos los días a la oficina"/>
    <s v="Igual que cuando iba todos los días a la oficina"/>
    <x v="1"/>
    <x v="2"/>
    <x v="1"/>
    <s v="Menor que cuando iba todos los días a la oficina"/>
    <x v="3"/>
    <s v="Mucho más que cuando iba todos los días a la oficina"/>
    <s v="No trabajo con personas de distintas culturas"/>
    <s v="No trabajo con personas con un horario distinto al mío"/>
    <s v="Igual que cuando iba todos los días a la oficina"/>
    <s v="No tengo la información para contestar a la pregunta"/>
    <s v="Mas que cuando iba todos los días a la oficina"/>
    <s v="Mucho más que cuando iba todos los días a la oficina"/>
    <s v="Mas que cuando iba todos los días a la oficina"/>
    <s v="Mas que cuando iba todos los días a la oficina"/>
    <s v="Iguales que cuando iba todos los días a la oficina"/>
    <s v="Igual que cuando iba todos los días a la oficina"/>
    <s v="Igual que cuando iba todos los días a la oficina"/>
    <s v="Igual que cuando iba todos los días a la oficina"/>
    <s v="Mayor que cuando iba todos los días a la oficina"/>
    <s v="Igual que cuando iba todos los días a la oficina"/>
    <s v="Menor que cuando iba todos los días a la oficina"/>
    <s v="Menor que cuando iba todos los días a la oficina"/>
    <s v="Mucho mayor que cuando iba todos los días a la oficina"/>
    <s v="Iguales que cuando iba todos los días a la oficina"/>
    <s v="Mayor que cuando iba todos los días a la oficina"/>
    <s v="No hay diferencias culturales en mi equipo"/>
    <s v="Mucho mayor que cuando iba todos los días a la oficina"/>
    <s v="Mayores que cuando iba todos los días a la oficina"/>
    <s v="No tengo que utilizar diferentes idiomas en mi trabajo"/>
    <s v="Igual que cuando iba todos los días a la oficina"/>
    <s v="Menor que cuando iba todos los días a la oficina"/>
    <s v="Mayores que cuando iba todos los días a la oficina"/>
    <s v="Mayor que cuando iba todos los días a la oficina"/>
    <s v="Mucho mayor que cuando iba todos los días a la oficina"/>
    <s v="Igual que cuando iba todos los días a la oficina"/>
    <s v="Iguales que cuando iba todos los días a la oficina"/>
    <s v="Igual que cuando iba todos los días a la oficina"/>
    <s v="Mayor que cuando iba todos los días a la oficina"/>
    <s v="Mayor que cuando iba todos los días a la oficina"/>
    <s v="Mayor que cuando iba todos los días a la oficina"/>
    <s v="Igual que cuando iba todos los días a la oficina"/>
    <s v="Igual que cuando iba todos los días a la oficina"/>
    <s v="Mayor que cuando iba todos los días a la oficina"/>
    <s v="Mayor que cuando iba todos los días a la oficina"/>
    <s v="Mayor que cuando iba todos los días a la oficina"/>
    <s v="Menor que cuando iba todos los días a la oficina"/>
    <s v="Igual que cuando iba todos los días a la oficina"/>
    <s v="Iguales que cuando iba todos los días a la oficina"/>
    <s v="Mayor que cuando iba todos los días a la oficina"/>
    <s v="Mucho Mayor que cuando iba todos los días a la oficina"/>
    <s v="Igual que cuando iba todos los días a la oficina"/>
    <s v="Igual que cuando iba todos los días a la oficina"/>
    <s v="Menor que cuando iba todos los días a la oficina"/>
    <s v="Igual que cuando iba todos los días a la oficina"/>
    <s v="Mejor que cuando iba todos los días a la oficina"/>
    <s v="Menor que cuando iba todos los días a la oficina"/>
    <s v="Menor que cuando iba todos los días a la oficina"/>
    <s v="Igual que cuando iba todos los días a la oficina"/>
    <s v="Mayor que cuando iba todos los días a la oficina"/>
    <s v="Menor que cuando iba todos los días a la oficina"/>
    <s v="Iguales que cuando iba todos los días a la oficina"/>
    <s v="Igual que cuando iba todos los días a la oficina"/>
    <s v="Mayor que cuando iba todos los días a la oficina"/>
    <s v="emmanuel.fdz.g@gmail.com"/>
    <s v="&lt;301 empleados"/>
    <n v="0"/>
  </r>
  <r>
    <s v="México"/>
    <s v="&lt;35 años"/>
    <s v="Masculino"/>
    <s v="Maestria"/>
    <s v="5-10 años"/>
    <s v="Desarrollo de software "/>
    <s v="Desarrollador "/>
    <s v="&gt;500 empleados."/>
    <s v="Empresa que desarrolla software a medida partiendo desde cero"/>
    <s v="Nacional (múltiples sedes en el mismo país)"/>
    <s v="A veces"/>
    <s v="Alto"/>
    <s v="&gt;5 días"/>
    <s v="Ninguno"/>
    <s v="Remota ( todos los días en casa)"/>
    <s v="Consensuada por las dos partes"/>
    <s v="De acuerdo"/>
    <s v="Igual que cuando iba todos los días a la oficina"/>
    <s v="Igual que cuando iba todos los días a la oficina"/>
    <s v="Igual que cuando iba todos los días a la oficina"/>
    <s v="Diferentes que cuando iba todos los días a la oficina, ahora necesito más horas para hacer lo mismo"/>
    <s v="Casi todas por videoconferencia"/>
    <s v="Menor que cuando eran en la oficina"/>
    <s v="Mayor que cuando iba todos los días a la oficina"/>
    <s v="Mayor que cuando iba todos los días a la oficina"/>
    <s v="Mayor que cuando iba todos los días a la oficina"/>
    <s v="Mayor que cuando iba todos los días a la oficina"/>
    <x v="1"/>
    <x v="2"/>
    <x v="0"/>
    <s v="Mayor que cuando iba todos los días a la oficina"/>
    <x v="2"/>
    <s v="Igual que cuando iba todos los días a la oficina"/>
    <s v="Igual que cuando iba todos los días a la oficina"/>
    <s v="Menos que cuando iba todos los días a la oficina"/>
    <s v="Menos que cuando iba todos los días a la oficina"/>
    <s v="No tengo la información para contestar a la pregunta"/>
    <s v="Igual que cuando iba todos los días a la oficina"/>
    <s v="Igual que cuando iba todos los días a la oficina"/>
    <s v="Igual que cuando iba todos los días a la oficina"/>
    <s v="Igual que cuando iba todos los días a la oficina"/>
    <s v="Mayores que cuando iba todos los días a la oficina"/>
    <s v="Igual que cuando iba todos los días a la oficina"/>
    <s v="Igual que cuando iba todos los días a la oficina"/>
    <s v="Igual que cuando iba todos los días a la oficina"/>
    <s v="Mayor que cuando iba todos los días a la oficina"/>
    <s v="Menor que cuando iba todos los días a la oficina"/>
    <s v="Menor que cuando iba todos los días a la oficina"/>
    <s v="Igual que cuando iba todos los días a la oficina"/>
    <s v="Mayor que cuando iba todos los días a la oficina"/>
    <s v="Menores que cuando iba todos los días a la oficina"/>
    <s v="Mayor que cuando iba todos los días a la oficina"/>
    <s v="Menores que cuando iba todos los días a la oficina"/>
    <s v="Igual que cuando iba todos los días a la oficina"/>
    <s v="No tengo la información para contestar a la pregunta"/>
    <s v="Menores que cuando iba todos los días a la oficina"/>
    <s v="Igual que cuando iba todos los días a la oficina"/>
    <s v="Igual que cuando iba todos los días a la oficina"/>
    <s v="Menores que cuando iba todos los días a la oficina"/>
    <s v="Mucho mayor que cuando iba todos los días a la oficina"/>
    <s v="Menor que cuando iba todos los días a la oficina"/>
    <s v="No tengo la información para contestar a la pregunta"/>
    <s v="Iguales que cuando iba todos los días a la oficina"/>
    <s v="Igual que cuando iba todos los días a la oficina"/>
    <s v="Mucho Mayor que cuando iba todos los días a la oficina"/>
    <s v="Mayor que cuando iba todos los días a la oficina"/>
    <s v="Mucho mayor que cuando iba todos los días a la oficina"/>
    <s v="Igual que cuando iba todos los días a la oficina"/>
    <s v="Igual que cuando iba todos los días a la oficina"/>
    <s v="Mayor que cuando iba todos los días a la oficina"/>
    <s v="Mayor que cuando iba todos los días a la oficina"/>
    <s v="Igual que cuando iba todos los días a la oficina"/>
    <s v="Igual que cuando iba todos los días a la oficina"/>
    <s v="Igual que cuando iba todos los días a la oficina"/>
    <s v="Iguales que cuando iba todos los días a la oficina"/>
    <s v="Mayor que cuando iba todos los días a la oficina"/>
    <s v="Mucho Mayor que cuando iba todos los días a la oficina"/>
    <s v="Igual que cuando iba todos los días a la oficina"/>
    <s v="Igual que cuando iba todos los días a la oficina"/>
    <s v="Mayor que cuando iba todos los días a la oficina"/>
    <s v="Igual que cuando iba todos los días a la oficina"/>
    <s v="Mejor que cuando iba todos los días a la oficina"/>
    <s v="Menor que cuando iba todos los días a la oficina"/>
    <s v="Menor que cuando iba todos los días a la oficina"/>
    <s v="Igual que cuando iba todos los días a la oficina"/>
    <s v="Igual que cuando iba todos los días a la oficina"/>
    <s v="Menor que cuando iba todos los días a la oficina"/>
    <s v="Menores que cuando iba todos los días a la oficina"/>
    <s v="Mayor que cuando iba todos los días a la oficina"/>
    <s v="Mayor que cuando iba todos los días a la oficina"/>
    <m/>
    <s v="301+ empleados"/>
    <n v="0"/>
  </r>
  <r>
    <s v="México"/>
    <s v="&lt;35 años"/>
    <s v="Masculino"/>
    <s v="Licenciatura"/>
    <s v="5-10 años"/>
    <s v="Front End Junior"/>
    <s v="Creative Director"/>
    <s v="&lt;50 empleados"/>
    <s v="Empresa que desarrolla software a medida partiendo desde cero"/>
    <s v="Local"/>
    <s v="Frecuentemente"/>
    <s v="Alto"/>
    <s v="&gt;5 días"/>
    <s v="Ninguno"/>
    <s v="Remota ( todos los días en casa)"/>
    <s v="Decidida por ti"/>
    <s v="En desacuerdo"/>
    <s v="Mayor que cuando iba todos los días a la oficina"/>
    <s v="Mayor que cuando iba todos los días a la oficina"/>
    <s v="Mayor que cuando iba todos los días a la oficina"/>
    <s v="Diferentes que cuando iba todos los días a la oficina, ahora necesito menos horas para hacer lo mismo"/>
    <s v="Todas por videoconferencia"/>
    <s v="Mucho menor que cuando eran en la oficina"/>
    <s v="Mucho Mayor que cuando iba todos los días a la oficina"/>
    <s v="Mucho Mayor que cuando iba todos los días a la oficina"/>
    <s v="Mucho Mayor que cuando iba todos los días a la oficina"/>
    <s v="Mucho Mayor que cuando iba todos los días a la oficina"/>
    <x v="2"/>
    <x v="0"/>
    <x v="0"/>
    <s v="Mayor que cuando iba todos los días a la oficina"/>
    <x v="0"/>
    <s v="Mucho menos que cuando iba todos los días a la oficina"/>
    <s v="Igual que cuando iba todos los días a la oficina"/>
    <s v="Menos que cuando iba todos los días a la oficina"/>
    <s v="Menos que cuando iba todos los días a la oficina"/>
    <s v="Igual que cuando iba todos los días a la oficina"/>
    <s v="Menos que cuando iba todos los días a la oficina"/>
    <s v="Mucho menos que cuando iba todos los días a la oficina"/>
    <s v="Mucho menos que cuando iba todos los días a la oficina"/>
    <s v="Igual que cuando iba todos los días a la oficina"/>
    <s v="Iguales que cuando iba todos los días a la oficina"/>
    <s v="Menor que cuando iba todos los días a la oficina"/>
    <s v="Igual que cuando iba todos los días a la oficina"/>
    <s v="Mucho menor que cuando iba todos los días a la oficina"/>
    <s v="Mucho Mayor que cuando iba todos los días a la oficina"/>
    <s v="Menor que cuando iba todos los días a la oficina"/>
    <s v="Mucho menor que cuando iba todos los días a la oficina"/>
    <s v="Menor que cuando iba todos los días a la oficina"/>
    <s v="Mucho mayor que cuando iba todos los días a la oficina"/>
    <s v="Menores que cuando iba todos los días a la oficina"/>
    <s v="Igual que cuando iba todos los días a la oficina"/>
    <s v="Menores que cuando iba todos los días a la oficina"/>
    <s v="Igual que cuando iba todos los días a la oficina"/>
    <s v="Menores que cuando iba todos los días a la oficina"/>
    <s v="Iguales que cuando iba todos los días a la oficina"/>
    <s v="Mucho menos que cuando iba todos los días a la oficina"/>
    <s v="Igual que cuando iba todos los días a la oficina"/>
    <s v="Mucho menores que cuando iba todos los días a la oficina"/>
    <s v="Mayor que cuando iba todos los días a la oficina"/>
    <s v="Igual que cuando iba todos los días a la oficina"/>
    <s v="Mucho menos que cuando iba todos los días a la oficina"/>
    <s v="Menores que cuando iba todos los días a la oficina"/>
    <s v="Mejor que cuando iba todos los días a la oficina"/>
    <s v="Mayor que cuando iba todos los días a la oficina"/>
    <s v="Mayor que cuando iba todos los días a la oficina"/>
    <s v="Mucho mayor que cuando iba todos los días a la oficina"/>
    <s v="Mayor que cuando iba todos los días a la oficina"/>
    <s v="Mucho Mayor que cuando iba todos los días a la oficina"/>
    <s v="Mayor que cuando iba todos los días a la oficina"/>
    <s v="Mayor que cuando iba todos los días a la oficina"/>
    <s v="Mayor que cuando iba todos los días a la oficina"/>
    <s v="Menor que cuando iba todos los días a la oficina"/>
    <s v="Mas que cuando iba todos los días a la oficina"/>
    <s v="Iguales que cuando iba todos los días a la oficina"/>
    <s v="Mayor que cuando iba todos los días a la oficina"/>
    <s v="Mucho Mayor que cuando iba todos los días a la oficina"/>
    <s v="Mucho Mayor que cuando iba todos los días a la oficina"/>
    <s v="Mucho menor que cuando iba todos los días a la oficina"/>
    <s v="Mayor que cuando iba todos los días a la oficina"/>
    <s v="Menor que cuando iba todos los días a la oficina"/>
    <s v="Mejor que cuando iba todos los días a la oficina"/>
    <s v="Mayor que cuando iba todos los días a la oficina"/>
    <s v="Menor que cuando iba todos los días a la oficina"/>
    <s v="Mayor que cuando iba todos los días a la oficina"/>
    <s v="Mayor que cuando iba todos los días a la oficina"/>
    <s v="Menor que cuando iba todos los días a la oficina"/>
    <s v="Menores que cuando iba todos los días a la oficina"/>
    <s v="Igual que cuando iba todos los días a la oficina"/>
    <s v="Mayor que cuando iba todos los días a la oficina"/>
    <s v="clubdecinecc@gmail.com"/>
    <s v="&lt;301 empleados"/>
    <n v="1"/>
  </r>
  <r>
    <s v="México"/>
    <s v="&lt;35 años"/>
    <s v="Masculino"/>
    <s v="Carrera universitaria "/>
    <s v="5-10 años"/>
    <s v="Ingeniero de calidad de software"/>
    <s v="Staff Software QA engineer"/>
    <s v="&gt;500 empleados."/>
    <s v="Empresa que desarrolla software a medida partiendo desde cero"/>
    <s v="Multinacional"/>
    <s v="Muy Frecuentemente"/>
    <s v="Alto"/>
    <s v="&gt;5 días"/>
    <s v="Ninguno"/>
    <s v="Remota ( todos los días en casa)"/>
    <s v="Decidida por ti"/>
    <s v="Totalmente en desacuerdo"/>
    <s v="Igual que cuando iba todos los días a la oficina"/>
    <s v="Mayor que cuando iba todos los días a la oficina"/>
    <s v="Igual que cuando iba todos los días a la oficina"/>
    <s v="Iguales que cuando iba todos los días a la oficina"/>
    <s v="Todas por videoconferencia"/>
    <s v="Mayor que cuando eran en la oficina"/>
    <s v="Mucho Mayor que cuando iba todos los días a la oficina"/>
    <s v="Mucho Mayor que cuando iba todos los días a la oficina"/>
    <s v="Mucho Mayor que cuando iba todos los días a la oficina"/>
    <s v="Menor que cuando iba todos los días a la oficina"/>
    <x v="1"/>
    <x v="2"/>
    <x v="2"/>
    <s v="Mucho mayor que cuando iba todos los días a la oficina"/>
    <x v="1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es que cuando iba todos los días a la oficina"/>
    <s v="Igual que cuando iba todos los días a la oficina"/>
    <s v="Igual que cuando iba todos los días a la oficina"/>
    <s v="Igual que cuando iba todos los días a la oficina"/>
    <s v="Mucho Mayor que cuando iba todos los días a la oficina"/>
    <s v="Mucho Mayor que cuando iba todos los días a la oficina"/>
    <s v="Mayor que cuando iba todos los días a la oficina"/>
    <s v="Mayor que cuando iba todos los días a la oficina"/>
    <s v="Mucho mayor que cuando iba todos los días a la oficina"/>
    <s v="Iguales que cuando iba todos los días a la oficina"/>
    <s v="Mayor que cuando iba todos los días a la oficina"/>
    <s v="Iguales que cuando iba todos los días a la oficina"/>
    <s v="Mucho mayor que cuando iba todos los días a la oficina"/>
    <s v="Menores que cuando iba todos los días a la oficina"/>
    <s v="Iguales que cuando iba todos los días a la oficina"/>
    <s v="Igual que cuando iba todos los días a la oficina"/>
    <s v="Igual que cuando iba todos los días a la oficina"/>
    <s v="Iguales que cuando iba todos los días a la oficina"/>
    <s v="Mayor que cuando iba todos los días a la oficina"/>
    <s v="Mucho mayor que cuando iba todos los días a la oficina"/>
    <s v="Igual que cuando iba todos los días a la oficina"/>
    <s v="Iguales que cuando iba todos los días a la oficina"/>
    <s v="Igual que cuando iba todos los días a la oficina"/>
    <s v="Mucho Mayor que cuando iba todos los días a la oficina"/>
    <s v="Mayor que cuando iba todos los días a la oficina"/>
    <s v="Mucho mayor que cuando iba todos los días a la oficina"/>
    <s v="Mucho Mayor que cuando iba todos los días a la oficina"/>
    <s v="Mucho Mayor que cuando iba todos los días a la oficina"/>
    <s v="Mucho Mayor que cuando iba todos los días a la oficina"/>
    <s v="Mucho Mayor que cuando iba todos los días a la oficina"/>
    <s v="Mayor que cuando iba todos los días a la oficina"/>
    <s v="Igual que cuando iba todos los días a la oficina"/>
    <s v="Igual que cuando iba todos los días a la oficina"/>
    <s v="Mucho menores que cuando iba todos los días a la oficina"/>
    <s v="Mayor que cuando iba todos los días a la oficina"/>
    <s v="Mucho menor que cuando iba todos los días a la oficina"/>
    <s v="Mucho Mayor que cuando iba todos los días a la oficina"/>
    <s v="Menor que cuando iba todos los días a la oficina"/>
    <s v="Igual que cuando iba todos los días a la oficina"/>
    <s v="Mucho menor que cuando iba todos los días a la oficina"/>
    <s v="Mejor que cuando iba todos los días a la oficina"/>
    <s v="Mayor que cuando iba todos los días a la oficina"/>
    <s v="Mucho Mayor que cuando iba todos los días a la oficina"/>
    <s v="Mayor que cuando iba todos los días a la oficina"/>
    <s v="Mucho Mayor que cuando iba todos los días a la oficina"/>
    <s v="Igual que cuando iba todos los días a la oficina"/>
    <s v="Iguales que cuando iba todos los días a la oficina"/>
    <s v="Igual que cuando iba todos los días a la oficina"/>
    <s v="Mucho mayor que cuando iba todos los días a la oficina"/>
    <m/>
    <s v="301+ empleados"/>
    <n v="0"/>
  </r>
  <r>
    <s v="México"/>
    <s v="&lt;35 años"/>
    <s v="Masculino"/>
    <s v="Licenciatura"/>
    <s v="11-20 años"/>
    <s v="Ingeniero de Calidad Senior"/>
    <s v="Desarrollador en Pruebas de Software III"/>
    <s v="&gt;500 empleados."/>
    <s v="Empresa que subcontrata (outsourcing) los servicios de otra empresa situada en otro país"/>
    <s v="Multinacional"/>
    <s v="Muy Frecuentemente"/>
    <s v="Alto"/>
    <s v="&gt;5 días"/>
    <s v="Ninguno"/>
    <s v="Remota ( todos los días en casa)"/>
    <s v="Consensuada por las dos partes"/>
    <s v="Totalmente de acuerdo"/>
    <s v="Igual que cuando iba todos los días a la oficina"/>
    <s v="Igual que cuando iba todos los días a la oficina"/>
    <s v="Igual que cuando iba todos los días a la oficina"/>
    <s v="Iguales que cuando iba todos los días a la oficina"/>
    <s v="Todas por videoconferencia"/>
    <s v="Menor que cuando eran en la oficina"/>
    <s v="Mayor que cuando iba todos los días a la oficina"/>
    <s v="Mayor que cuando iba todos los días a la oficina"/>
    <s v="Mayor que cuando iba todos los días a la oficina"/>
    <s v="Mayor que cuando iba todos los días a la oficina"/>
    <x v="2"/>
    <x v="2"/>
    <x v="1"/>
    <s v="Igual que cuando iba todos los días a la oficina"/>
    <x v="3"/>
    <s v="No tengo la información para contestar a la pregunt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es que cuando iba todos los días a la oficina"/>
    <s v="Igual que cuando iba todos los días a la oficina"/>
    <s v="Igual que cuando iba todos los días a la oficina"/>
    <s v="Mucho menor que cuando iba todos los días a la oficina"/>
    <s v="Mayor que cuando iba todos los días a la oficina"/>
    <s v="Mucho menor que cuando iba todos los días a la oficina"/>
    <s v="Mucho menor que cuando iba todos los días a la oficina"/>
    <s v="Mucho menor que cuando iba todos los días a la oficina"/>
    <s v="Mucho mayor que cuando iba todos los días a la oficina"/>
    <s v="Iguales que cuando iba todos los días a la oficina"/>
    <s v="Igual que cuando iba todos los días a la oficina"/>
    <s v="Iguales que cuando iba todos los días a la oficina"/>
    <s v="Igual que cuando iba todos los días a la oficina"/>
    <s v="Iguales que cuando iba todos los días a la oficina"/>
    <s v="Iguales que cuando iba todos los días a la oficina"/>
    <s v="Igual que cuando iba todos los días a la oficina"/>
    <s v="Igual que cuando iba todos los días a la oficina"/>
    <s v="Menores que cuando iba todos los días a la oficina"/>
    <s v="Mayor que cuando iba todos los días a la oficina"/>
    <s v="Igual que cuando iba todos los días a la oficina"/>
    <s v="Igual que cuando iba todos los días a la oficina"/>
    <s v="Iguales que cuando iba todos los días a la oficina"/>
    <s v="Igual que cuando iba todos los días a la oficina"/>
    <s v="Mayor que cuando iba todos los días a la oficina"/>
    <s v="Mayor que cuando iba todos los días a la oficina"/>
    <s v="Mucho mayor que cuando iba todos los días a la oficina"/>
    <s v="Mayor que cuando iba todos los días a la oficina"/>
    <s v="Mayor que cuando iba todos los días a la oficina"/>
    <s v="Mayor que cuando iba todos los días a la oficina"/>
    <s v="Mucho Mayor que cuando iba todos los días a la oficina"/>
    <s v="Mayor que cuando iba todos los días a la oficina"/>
    <s v="Igual que cuando iba todos los días a la oficina"/>
    <s v="Mas que cuando iba todos los días a la oficina"/>
    <s v="Iguales que cuando iba todos los días a la oficina"/>
    <s v="Mayor que cuando iba todos los días a la oficina"/>
    <s v="Mucho Mayor que cuando iba todos los días a la oficina"/>
    <s v="Igual que cuando iba todos los días a la oficina"/>
    <s v="Mucho menor que cuando iba todos los días a la oficina"/>
    <s v="Igual que cuando iba todos los días a la oficina"/>
    <s v="Igual que cuando iba todos los días a la oficina"/>
    <s v="Mucho Mejor que cuando iba todos los días a la oficina"/>
    <s v="Igual que cuando iba todos los días a la oficina"/>
    <s v="Igual que cuando iba todos los días a la oficina"/>
    <s v="Igual que cuando iba todos los días a la oficina"/>
    <s v="Mayor que cuando iba todos los días a la oficina"/>
    <s v="Menor que cuando iba todos los días a la oficina"/>
    <s v="Iguales que cuando iba todos los días a la oficina"/>
    <s v="Igual que cuando iba todos los días a la oficina"/>
    <s v="Mayor que cuando iba todos los días a la oficina"/>
    <s v="pascual.rodriguez.serrano@gmail.com"/>
    <s v="301+ empleados"/>
    <n v="0"/>
  </r>
  <r>
    <s v="México"/>
    <s v="&lt;35 años"/>
    <s v="Masculino"/>
    <s v="Maestria en ciencia"/>
    <s v="5-10 años"/>
    <s v="Ingeniero de datos Sr"/>
    <s v="Ingeniero de datos Sr"/>
    <s v="&gt;500 empleados."/>
    <s v="Empresa que subcontrata (outsourcing) los servicios de otra del mismo país"/>
    <s v="Multinacional"/>
    <s v="Casi Nunca"/>
    <s v="Alto"/>
    <s v="&gt;5 días"/>
    <s v="Ninguno"/>
    <s v="Remota ( todos los días en casa)"/>
    <s v="Impuesta por la empresa"/>
    <s v="Totalmente de acuerdo"/>
    <s v="Igual que cuando iba todos los días a la oficina"/>
    <s v="Igual que cuando iba todos los días a la oficina"/>
    <s v="Mucho Mayor que cuando iba todos los días a la oficina"/>
    <s v="Iguales que cuando iba todos los días a la oficina"/>
    <s v="Todas por videoconferencia"/>
    <s v="Igual que cuando eran en la oficina"/>
    <s v="Mucho Mayor que cuando iba todos los días a la oficina"/>
    <s v="Mucho Mayor que cuando iba todos los días a la oficina"/>
    <s v="Mucho Mayor que cuando iba todos los días a la oficina"/>
    <s v="Mucho Mayor que cuando iba todos los días a la oficina"/>
    <x v="2"/>
    <x v="1"/>
    <x v="0"/>
    <s v="Mayor que cuando iba todos los días a la oficina"/>
    <x v="0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es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es que cuando iba todos los días a la oficina"/>
    <s v="Igual que cuando iba todos los días a la oficina"/>
    <s v="Iguales que cuando iba todos los días a la oficina"/>
    <s v="Igual que cuando iba todos los días a la oficina"/>
    <s v="Iguales que cuando iba todos los días a la oficina"/>
    <s v="Iguales que cuando iba todos los días a la oficina"/>
    <s v="Igual que cuando iba todos los días a la oficina"/>
    <s v="Igual que cuando iba todos los días a la oficina"/>
    <s v="Iguales que cuando iba todos los días a la oficina"/>
    <s v="Igual que cuando iba todos los días a la oficina"/>
    <s v="Igual que cuando iba todos los días a la oficina"/>
    <s v="Igual que cuando iba todos los días a la oficina"/>
    <s v="Iguales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es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es que cuando iba todos los días a la oficina"/>
    <s v="Igual que cuando iba todos los días a la oficina"/>
    <s v="Igual que cuando iba todos los días a la oficina"/>
    <s v="Carfk19@gmail.com"/>
    <s v="301+ empleados"/>
    <n v="0"/>
  </r>
  <r>
    <s v="México"/>
    <s v="&lt;35 años"/>
    <s v="Femenino"/>
    <s v="Licenciatura"/>
    <s v="5-10 años"/>
    <s v="Ingeniero de software"/>
    <s v="Ingeniero de software"/>
    <s v="&gt;500 empleados."/>
    <s v="Empresa que subcontrata (outsourcing) los servicios de otra empresa situada en otro país"/>
    <s v="Local"/>
    <s v="Muy Frecuentemente"/>
    <s v="Alto"/>
    <s v="&gt;5 días"/>
    <s v="Ninguno"/>
    <s v="Remota ( todos los días en casa)"/>
    <s v="Impuesta por la empresa"/>
    <s v="En desacuerdo"/>
    <s v="Igual que cuando iba todos los días a la oficina"/>
    <s v="Igual que cuando iba todos los días a la oficina"/>
    <s v="Igual que cuando iba todos los días a la oficina"/>
    <s v="Diferentes que cuando iba todos los días a la oficina, ahora necesito menos horas para hacer lo mismo"/>
    <s v="Todas por videoconferencia"/>
    <s v="Igual que cuando eran en la oficina"/>
    <s v="Igual que cuando iba todos los días a la oficina"/>
    <s v="Mucho Mayor que cuando iba todos los días a la oficina"/>
    <s v="Mucho Mayor que cuando iba todos los días a la oficina"/>
    <s v="Mucho Mayor que cuando iba todos los días a la oficina"/>
    <x v="1"/>
    <x v="2"/>
    <x v="2"/>
    <s v="Igual que cuando iba todos los días a la oficina"/>
    <x v="1"/>
    <s v="Igual que cuando iba todos los días a la oficina"/>
    <s v="Mucho menos que cuando iba todos los días a la oficina"/>
    <s v="Mucho menos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Menos que cuando iba todos los días a la oficina"/>
    <s v="Iguales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es que cuando iba todos los días a la oficina"/>
    <s v="Igual que cuando iba todos los días a la oficina"/>
    <s v="Iguales que cuando iba todos los días a la oficina"/>
    <s v="Igual que cuando iba todos los días a la oficina"/>
    <s v="Iguales que cuando iba todos los días a la oficina"/>
    <s v="Mucho menores que cuando iba todos los días a la oficina"/>
    <s v="Mucho menos que cuando iba todos los días a la oficina"/>
    <s v="Igual que cuando iba todos los días a la oficina"/>
    <s v="Mucho menores que cuando iba todos los días a la oficina"/>
    <s v="Menor que cuando iba todos los días a la oficina"/>
    <s v="Menor que cuando iba todos los días a la oficina"/>
    <s v="Igual que cuando iba todos los días a la oficina"/>
    <s v="Menores que cuando iba todos los días a la oficina"/>
    <s v="Igual que cuando iba todos los días a la oficina"/>
    <s v="Igual que cuando iba todos los días a la oficina"/>
    <s v="Mayor que cuando iba todos los días a la oficina"/>
    <s v="Mucho mayor que cuando iba todos los días a la oficina"/>
    <s v="Mayor que cuando iba todos los días a la oficina"/>
    <s v="Igual que cuando iba todos los días a la oficina"/>
    <s v="Mayor que cuando iba todos los días a la oficina"/>
    <s v="Mucho Mayor que cuando iba todos los días a la oficina"/>
    <s v="Igual que cuando iba todos los días a la oficina"/>
    <s v="Igual que cuando iba todos los días a la oficina"/>
    <s v="Mas que cuando iba todos los días a la oficina"/>
    <s v="Iguales que cuando iba todos los días a la oficina"/>
    <s v="Mayor que cuando iba todos los días a la oficina"/>
    <s v="Mucho Mayor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Mayor que cuando iba todos los días a la oficina"/>
    <s v="Mucho menor que cuando iba todos los días a la oficina"/>
    <s v="Iguales que cuando iba todos los días a la oficina"/>
    <s v="Menor que cuando iba todos los días a la oficina"/>
    <s v="Mayor que cuando iba todos los días a la oficina"/>
    <s v="roxdurazo@gmail.comn"/>
    <s v="301+ empleados"/>
    <n v="0"/>
  </r>
  <r>
    <s v="México"/>
    <s v="&lt;35 años"/>
    <s v="Masculino"/>
    <s v="Maestria"/>
    <s v="5-10 años"/>
    <s v="Lider tecnico"/>
    <s v="MLOps Engineer"/>
    <s v="&gt;500 empleados."/>
    <s v="Fábrica de Software"/>
    <s v="Multinacional"/>
    <s v="A veces"/>
    <s v="Alto"/>
    <s v="&gt;5 días"/>
    <s v="Ninguno"/>
    <s v="Remota ( todos los días en casa)"/>
    <s v="Consensuada por las dos partes"/>
    <s v="De acuerdo"/>
    <s v="Igual que cuando iba todos los días a la oficina"/>
    <s v="Menor que cuando iba todos los días a la oficina"/>
    <s v="Menor que cuando iba todos los días a la oficina"/>
    <s v="Diferentes que cuando iba todos los días a la oficina, ahora necesito menos horas para hacer lo mismo"/>
    <s v="Todas por videoconferencia"/>
    <s v="Igual que cuando eran en la oficina"/>
    <s v="Mayor que cuando iba todos los días a la oficina"/>
    <s v="Igual que cuando iba todos los días a la oficina"/>
    <s v="No tengo la información para contestar a la pregunta"/>
    <s v="Mucho Mayor que cuando iba todos los días a la oficina"/>
    <x v="0"/>
    <x v="1"/>
    <x v="0"/>
    <s v="Mayor que cuando iba todos los días a la oficina"/>
    <x v="1"/>
    <s v="Igual que cuando iba todos los días a la oficina"/>
    <s v="Igual que cuando iba todos los días a la oficina"/>
    <s v="Mucho menos que cuando iba todos los días a la oficina"/>
    <s v="Menos que cuando iba todos los días a la oficina"/>
    <s v="Más que cuando iba todos los días a la oficina"/>
    <s v="Menos que cuando iba todos los días a la oficina"/>
    <s v="Igual que cuando iba todos los días a la oficina"/>
    <s v="Igual que cuando iba todos los días a la oficina"/>
    <s v="Mas que cuando iba todos los días a la oficina"/>
    <s v="Iguales que cuando iba todos los días a la oficina"/>
    <s v="Menor que cuando iba todos los días a la oficina"/>
    <s v="Mayor que cuando iba todos los días a la oficina"/>
    <s v="Menor que cuando iba todos los días a la oficina"/>
    <s v="Mayor que cuando iba todos los días a la oficina"/>
    <s v="Igual que cuando iba todos los días a la oficina"/>
    <s v="Igual que cuando iba todos los días a la oficina"/>
    <s v="Menor que cuando iba todos los días a la oficina"/>
    <s v="Mayor que cuando iba todos los días a la oficina"/>
    <s v="Mucho menores que cuando iba todos los días a la oficina"/>
    <s v="Mucho mayor que cuando iba todos los días a la oficina"/>
    <s v="Menores que cuando iba todos los días a la oficina"/>
    <s v="Igual que cuando iba todos los días a la oficina"/>
    <s v="Mayores que cuando iba todos los días a la oficina"/>
    <s v="Menores que cuando iba todos los días a la oficina"/>
    <s v="Igual que cuando iba todos los días a la oficina"/>
    <s v="Igual que cuando iba todos los días a la oficina"/>
    <s v="Menores que cuando iba todos los días a la oficina"/>
    <s v="Mayor que cuando iba todos los días a la oficina"/>
    <s v="Mayor que cuando iba todos los días a la oficina"/>
    <s v="Más que cuando iba todos los días a la oficina"/>
    <s v="Iguales que cuando iba todos los días a la oficina"/>
    <s v="Igual que cuando iba todos los días a la oficina"/>
    <s v="Mayor que cuando iba todos los días a la oficina"/>
    <s v="Mayor que cuando iba todos los días a la oficina"/>
    <s v="Mucho mayor que cuando iba todos los días a la oficina"/>
    <s v="Mucho Mayor que cuando iba todos los días a la oficina"/>
    <s v="Igual que cuando iba todos los días a la oficina"/>
    <s v="Mayor que cuando iba todos los días a la oficina"/>
    <s v="Mayor que cuando iba todos los días a la oficina"/>
    <s v="Igual que cuando iba todos los días a la oficina"/>
    <s v="Igual que cuando iba todos los días a la oficina"/>
    <s v="Menos que cuando iba todos los días a la oficina"/>
    <s v="Iguales que cuando iba todos los días a la oficina"/>
    <s v="Mayor que cuando iba todos los días a la oficina"/>
    <s v="Mucho Mayor que cuando iba todos los días a la oficina"/>
    <s v="Igual que cuando iba todos los días a la oficina"/>
    <s v="Menor que cuando iba todos los días a la oficina"/>
    <s v="Igual que cuando iba todos los días a la oficina"/>
    <s v="Menor que cuando iba todos los días a la oficina"/>
    <s v="Igual que cuando iba todos los días a la oficina"/>
    <s v="Igual que cuando iba todos los días a la oficina"/>
    <s v="Menor que cuando iba todos los días a la oficina"/>
    <s v="Igual que cuando iba todos los días a la oficina"/>
    <s v="Mayor que cuando iba todos los días a la oficina"/>
    <s v="Mucho menor que cuando iba todos los días a la oficina"/>
    <s v="Menores que cuando iba todos los días a la oficina"/>
    <s v="Igual que cuando iba todos los días a la oficina"/>
    <s v="Mayor que cuando iba todos los días a la oficina"/>
    <s v="jjups96@gmail.com"/>
    <s v="301+ empleados"/>
    <n v="0"/>
  </r>
  <r>
    <s v="México"/>
    <s v="&lt;35 años"/>
    <s v="Femenino"/>
    <s v="Licenciatura "/>
    <s v="&lt;5 años"/>
    <s v="Marketing Director "/>
    <s v="Marketing Expert - Account Manager "/>
    <s v="51-150 empleados"/>
    <s v="Empresa que desarrolla software a medida partiendo desde cero"/>
    <s v="Multinacional"/>
    <s v="Muy Frecuentemente"/>
    <s v="Alto"/>
    <s v="&gt;5 días"/>
    <s v="Ninguno"/>
    <s v="Remota ( todos los días en casa)"/>
    <s v="Consensuada por las dos partes"/>
    <s v="En desacuerdo"/>
    <s v="Mucho menor que cuando iba todos los días a la oficina"/>
    <s v="Mucho menor que cuando iba todos los días a la oficina"/>
    <s v="Mucho menor que cuando iba todos los días a la oficina"/>
    <s v="Muy diferentes que cuando iba todos los días a la oficina, ahora necesito muchas menos horas para hacer lo mismo"/>
    <s v="Todas por videoconferencia"/>
    <s v="Menor que cuando eran en la oficina"/>
    <s v="Mucho Mayor que cuando iba todos los días a la oficina"/>
    <s v="Mayor que cuando iba todos los días a la oficina"/>
    <s v="Mayor que cuando iba todos los días a la oficina"/>
    <s v="Mayor que cuando iba todos los días a la oficina"/>
    <x v="1"/>
    <x v="1"/>
    <x v="0"/>
    <s v="Menor que cuando iba todos los días a la oficina"/>
    <x v="4"/>
    <s v="Más que cuando iba todos los días a la oficina"/>
    <s v="Mucho menos que cuando iba todos los días a la oficina"/>
    <s v="Más que cuando iba todos los días a la oficina"/>
    <s v="Más que cuando iba todos los días a la oficina"/>
    <s v="Mucho más que cuando iba todos los días a la oficina"/>
    <s v="Mas que cuando iba todos los días a la oficina"/>
    <s v="Menos que cuando iba todos los días a la oficina"/>
    <s v="Menos que cuando iba todos los días a la oficina"/>
    <s v="Igual que cuando iba todos los días a la oficina"/>
    <s v="Mayores que cuando iba todos los días a la oficina"/>
    <s v="Mayor que cuando iba todos los días a la oficina"/>
    <s v="Mayor que cuando iba todos los días a la oficina"/>
    <s v="Mucho menor que cuando iba todos los días a la oficina"/>
    <s v="Igual que cuando iba todos los días a la oficina"/>
    <s v="Mucho menor que cuando iba todos los días a la oficina"/>
    <s v="Mucho menor que cuando iba todos los días a la oficina"/>
    <s v="Mucho menor que cuando iba todos los días a la oficina"/>
    <s v="Mayor que cuando iba todos los días a la oficina"/>
    <s v="Iguales que cuando iba todos los días a la oficina"/>
    <s v="Mayor que cuando iba todos los días a la oficina"/>
    <s v="Iguales que cuando iba todos los días a la oficina"/>
    <s v="Mayor que cuando iba todos los días a la oficina"/>
    <s v="Mucho menores que cuando iba todos los días a la oficina"/>
    <s v="Iguales que cuando iba todos los días a la oficina"/>
    <s v="Igual que cuando iba todos los días a la oficina"/>
    <s v="Igual que cuando iba todos los días a la oficina"/>
    <s v="Mucho menores que cuando iba todos los días a la oficina"/>
    <s v="Mucho mayor que cuando iba todos los días a la oficina"/>
    <s v="Mayor que cuando iba todos los días a la oficina"/>
    <s v="Mucho menos que cuando iba todos los días a la oficina"/>
    <s v="Mucho menores que cuando iba todos los días a la oficina"/>
    <s v="Mejor que cuando iba todos los días a la oficina"/>
    <s v="Mayor que cuando iba todos los días a la oficina"/>
    <s v="Mayor que cuando iba todos los días a la oficina"/>
    <s v="Mayor que cuando iba todos los días a la oficina"/>
    <s v="Mayor que cuando iba todos los días a la oficina"/>
    <s v="Mayor que cuando iba todos los días a la oficina"/>
    <s v="Mayor que cuando iba todos los días a la oficina"/>
    <s v="Mucho Mayor que cuando iba todos los días a la oficina"/>
    <s v="Mayor que cuando iba todos los días a la oficina"/>
    <s v="Igual que cuando iba todos los días a la oficina"/>
    <s v="Igual que cuando iba todos los días a la oficina"/>
    <s v="Mayores que cuando iba todos los días a la oficina"/>
    <s v="Mayor que cuando iba todos los días a la oficina"/>
    <s v="Mayor que cuando iba todos los días a la oficina"/>
    <s v="Mayor que cuando iba todos los días a la oficina"/>
    <s v="Menor que cuando iba todos los días a la oficina"/>
    <s v="Menor que cuando iba todos los días a la oficina"/>
    <s v="Mucho menor que cuando iba todos los días a la oficina"/>
    <s v="Mejor que cuando iba todos los días a la oficina"/>
    <s v="Mayor que cuando iba todos los días a la oficina"/>
    <s v="Igual que cuando iba todos los días a la oficina"/>
    <s v="Igual que cuando iba todos los días a la oficina"/>
    <s v="Mayor que cuando iba todos los días a la oficina"/>
    <s v="Mucho menor que cuando iba todos los días a la oficina"/>
    <s v="Iguales que cuando iba todos los días a la oficina"/>
    <s v="Mayor que cuando iba todos los días a la oficina"/>
    <s v="Mayor que cuando iba todos los días a la oficina"/>
    <s v="vmadrigalguevara@gmail.com"/>
    <s v="&lt;301 empleados"/>
    <n v="1"/>
  </r>
  <r>
    <s v="México"/>
    <s v="&lt;35 años"/>
    <s v="Masculino"/>
    <s v="Maestría"/>
    <s v="5-10 años"/>
    <s v="Programador Analista"/>
    <s v="Data Engineer"/>
    <s v="151-300 empleados"/>
    <s v="Empresa que subcontrata (outsourcing) los servicios de otra empresa situada en otro país"/>
    <s v="Multinacional"/>
    <s v="Muy Frecuentemente"/>
    <s v="Alto"/>
    <s v="&gt;5 días"/>
    <s v="Ninguno"/>
    <s v="Remota ( todos los días en casa)"/>
    <s v="Impuesta por la empresa"/>
    <s v="De acuerdo"/>
    <s v="Igual que cuando iba todos los días a la oficina"/>
    <s v="Igual que cuando iba todos los días a la oficina"/>
    <s v="Mayor que cuando iba todos los días a la oficina"/>
    <s v="Diferentes que cuando iba todos los días a la oficina, ahora necesito menos horas para hacer lo mismo"/>
    <s v="Todas por videoconferencia"/>
    <s v="Igual que cuando eran en la oficina"/>
    <s v="Mayor que cuando iba todos los días a la oficina"/>
    <s v="Mayor que cuando iba todos los días a la oficina"/>
    <s v="Igual que cuando iba todos los días a la oficina"/>
    <s v="Mayor que cuando iba todos los días a la oficina"/>
    <x v="1"/>
    <x v="2"/>
    <x v="0"/>
    <s v="Igual que cuando iba todos los días a la oficina"/>
    <x v="1"/>
    <s v="Igual que cuando iba todos los días a la oficina"/>
    <s v="Menos que cuando iba todos los días a la oficina"/>
    <s v="Igual que cuando iba todos los días a la oficina"/>
    <s v="Igual que cuando iba todos los días a la oficina"/>
    <s v="Igual que cuando iba todos los días a la oficina"/>
    <s v="Mas que cuando iba todos los días a la oficina"/>
    <s v="Igual que cuando iba todos los días a la oficina"/>
    <s v="Igual que cuando iba todos los días a la oficina"/>
    <s v="Igual que cuando iba todos los días a la oficina"/>
    <s v="Iguales que cuando iba todos los días a la oficina"/>
    <s v="Igual que cuando iba todos los días a la oficina"/>
    <s v="Igual que cuando iba todos los días a la oficina"/>
    <s v="Mayor que cuando iba todos los días a la oficina"/>
    <s v="Igual que cuando iba todos los días a la oficina"/>
    <s v="Igual que cuando iba todos los días a la oficina"/>
    <s v="Igual que cuando iba todos los días a la oficina"/>
    <s v="Mayor que cuando iba todos los días a la oficina"/>
    <s v="Mucho mayor que cuando iba todos los días a la oficina"/>
    <s v="Iguales que cuando iba todos los días a la oficina"/>
    <s v="Igual que cuando iba todos los días a la oficina"/>
    <s v="Iguales que cuando iba todos los días a la oficina"/>
    <s v="Igual que cuando iba todos los días a la oficina"/>
    <s v="Iguales que cuando iba todos los días a la oficina"/>
    <s v="Iguales que cuando iba todos los días a la oficina"/>
    <s v="Más que cuando iba todos los días a la oficina"/>
    <s v="Menor que cuando iba todos los días a la oficina"/>
    <s v="Iguales que cuando iba todos los días a la oficina"/>
    <s v="Mucho mayor que cuando iba todos los días a la oficina"/>
    <s v="Igual que cuando iba todos los días a la oficina"/>
    <s v="Igual que cuando iba todos los días a la oficina"/>
    <s v="Iguales que cuando iba todos los días a la oficina"/>
    <s v="Igual que cuando iba todos los días a la oficina"/>
    <s v="Mayor que cuando iba todos los días a la oficina"/>
    <s v="Mayor que cuando iba todos los días a la oficina"/>
    <s v="Mayor que cuando iba todos los días a la oficina"/>
    <s v="Igual que cuando iba todos los días a la oficina"/>
    <s v="Mayor que cuando iba todos los días a la oficina"/>
    <s v="Mayor que cuando iba todos los días a la oficina"/>
    <s v="Mucho Mayor que cuando iba todos los días a la oficina"/>
    <s v="Mayor que cuando iba todos los días a la oficina"/>
    <s v="Igual que cuando iba todos los días a la oficina"/>
    <s v="Igual que cuando iba todos los días a la oficina"/>
    <s v="Iguales que cuando iba todos los días a la oficina"/>
    <s v="Igual que cuando iba todos los días a la oficina"/>
    <s v="Mayor que cuando iba todos los días a la oficina"/>
    <s v="Mayor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Mayor que cuando iba todos los días a la oficina"/>
    <s v="Mayor que cuando iba todos los días a la oficina"/>
    <s v="Iguales que cuando iba todos los días a la oficina"/>
    <s v="Mayor que cuando iba todos los días a la oficina"/>
    <s v="Mayor que cuando iba todos los días a la oficina"/>
    <m/>
    <s v="&lt;301 empleados"/>
    <n v="0"/>
  </r>
  <r>
    <s v="México"/>
    <s v="&lt;35 años"/>
    <s v="Masculino"/>
    <s v="Licenciatura inconclusa"/>
    <s v="5-10 años"/>
    <s v="Software Engineer"/>
    <s v="Senior Software Engineer "/>
    <s v="&gt;500 empleados."/>
    <s v="Empresa que desarrolla software a medida partiendo desde cero"/>
    <s v="Multinacional"/>
    <s v="Muy Frecuentemente"/>
    <s v="Alto"/>
    <s v="&gt;5 días"/>
    <s v="Ninguno"/>
    <s v="Remota ( todos los días en casa)"/>
    <s v="Impuesta por la empresa"/>
    <s v="En desacuerdo"/>
    <s v="Mayor que cuando iba todos los días a la oficina"/>
    <s v="Igual que cuando iba todos los días a la oficina"/>
    <s v="Igual que cuando iba todos los días a la oficina"/>
    <s v="Muy diferentes que cuando iba todos los días a la oficina, ahora necesito muchas menos horas para hacer lo mismo"/>
    <s v="Todas por videoconferencia"/>
    <s v="Mayor que cuando eran en la oficina"/>
    <s v="Mayor que cuando iba todos los días a la oficina"/>
    <s v="Mucho Mayor que cuando iba todos los días a la oficina"/>
    <s v="Mayor que cuando iba todos los días a la oficina"/>
    <s v="Menor que cuando iba todos los días a la oficina"/>
    <x v="0"/>
    <x v="1"/>
    <x v="0"/>
    <s v="Mayor que cuando iba todos los días a la oficina"/>
    <x v="4"/>
    <s v="Más que cuando iba todos los días a la oficina"/>
    <s v="Menos que cuando iba todos los días a la oficina"/>
    <s v="Igual que cuando iba todos los días a la oficina"/>
    <s v="Mucho menos que cuando iba todos los días a la oficina"/>
    <s v="Más que cuando iba todos los días a la oficina"/>
    <s v="Mas que cuando iba todos los días a la oficina"/>
    <s v="Igual que cuando iba todos los días a la oficina"/>
    <s v="Igual que cuando iba todos los días a la oficina"/>
    <s v="Igual que cuando iba todos los días a la oficina"/>
    <s v="Mucho Mayores que cuando iba todos los días a la oficina"/>
    <s v="Mayor que cuando iba todos los días a la oficina"/>
    <s v="Mucho Mayor que cuando iba todos los días a la oficina"/>
    <s v="Menor que cuando iba todos los días a la oficina"/>
    <s v="Igual que cuando iba todos los días a la oficina"/>
    <s v="Mucho menor que cuando iba todos los días a la oficina"/>
    <s v="Menor que cuando iba todos los días a la oficina"/>
    <s v="Igual que cuando iba todos los días a la oficina"/>
    <s v="Mucho mayor que cuando iba todos los días a la oficina"/>
    <s v="Iguales que cuando iba todos los días a la oficina"/>
    <s v="Mucho mayor que cuando iba todos los días a la oficina"/>
    <s v="Iguales que cuando iba todos los días a la oficina"/>
    <s v="Mucho mayor que cuando iba todos los días a la oficina"/>
    <s v="Mayores que cuando iba todos los días a la oficina"/>
    <s v="Mucho menores que cuando iba todos los días a la oficina"/>
    <s v="Igual que cuando iba todos los días a la oficina"/>
    <s v="Mayor que cuando iba todos los días a la oficina"/>
    <s v="Mucho menores que cuando iba todos los días a la oficina"/>
    <s v="Mayor que cuando iba todos los días a la oficina"/>
    <s v="Igual que cuando iba todos los días a la oficina"/>
    <s v="No tengo la información para contestar a la pregunta"/>
    <s v="Iguales que cuando iba todos los días a la oficina"/>
    <s v="Igual que cuando iba todos los días a la oficina"/>
    <s v="Mucho Mayor que cuando iba todos los días a la oficina"/>
    <s v="Menor que cuando iba todos los días a la oficina"/>
    <s v="Mucho mayor que cuando iba todos los días a la oficina"/>
    <s v="Mucho Mayor que cuando iba todos los días a la oficina"/>
    <s v="Mucho Mayor que cuando iba todos los días a la oficina"/>
    <s v="Igual que cuando iba todos los días a la oficina"/>
    <s v="Mucho Mayor que cuando iba todos los días a la oficina"/>
    <s v="Mucho Mayor que cuando iba todos los días a la oficina"/>
    <s v="Igual que cuando iba todos los días a la oficina"/>
    <s v="Igual que cuando iba todos los días a la oficina"/>
    <s v="Iguales que cuando iba todos los días a la oficina"/>
    <s v="Mucho Mayor que cuando iba todos los días a la oficina"/>
    <s v="Mucho Mayor que cuando iba todos los días a la oficina"/>
    <s v="Mayor que cuando iba todos los días a la oficina"/>
    <s v="Menor que cuando iba todos los días a la oficina"/>
    <s v="Igual que cuando iba todos los días a la oficina"/>
    <s v="Igual que cuando iba todos los días a la oficina"/>
    <s v="Mucho Mejor que cuando iba todos los días a la oficina"/>
    <s v="Igual que cuando iba todos los días a la oficina"/>
    <s v="Menor que cuando iba todos los días a la oficina"/>
    <s v="Igual que cuando iba todos los días a la oficina"/>
    <s v="Mucho Mayor que cuando iba todos los días a la oficina"/>
    <s v="Menor que cuando iba todos los días a la oficina"/>
    <s v="Iguales que cuando iba todos los días a la oficina"/>
    <s v="Mucho Mayor que cuando iba todos los días a la oficina"/>
    <s v="Mucho mayor que cuando iba todos los días a la oficina"/>
    <s v="Jernestojsalazar@gmail.com"/>
    <s v="301+ empleados"/>
    <n v="0"/>
  </r>
  <r>
    <s v="México"/>
    <s v="&lt;35 años"/>
    <s v="Masculino"/>
    <s v="Licenciatura"/>
    <s v="5-10 años"/>
    <s v="Supervisor de operacion"/>
    <s v="Senior Project Management Analyst"/>
    <s v="&gt;500 empleados."/>
    <s v="Empresa que subcontrata (outsourcing) los servicios de otra empresa situada en otro país"/>
    <s v="Multinacional"/>
    <s v="Muy Frecuentemente"/>
    <s v="Alto"/>
    <s v="&gt;5 días"/>
    <s v="Ninguno"/>
    <s v="Remota ( todos los días en casa)"/>
    <s v="Consensuada por las dos partes"/>
    <s v="En desacuerdo"/>
    <s v="Mayor que cuando iba todos los días a la oficina"/>
    <s v="Mayor que cuando iba todos los días a la oficina"/>
    <s v="Igual que cuando iba todos los días a la oficina"/>
    <s v="Iguales que cuando iba todos los días a la oficina"/>
    <s v="Casi todas por videoconferencia"/>
    <s v="Menor que cuando eran en la oficina"/>
    <s v="Mayor que cuando iba todos los días a la oficina"/>
    <s v="Mayor que cuando iba todos los días a la oficina"/>
    <s v="Mayor que cuando iba todos los días a la oficina"/>
    <s v="Igual que cuando iba todos los días a la oficina"/>
    <x v="2"/>
    <x v="2"/>
    <x v="0"/>
    <s v="Mayor que cuando iba todos los días a la oficina"/>
    <x v="4"/>
    <s v="Igual que cuando iba todos los días a la oficina"/>
    <s v="Mucho menos que cuando iba todos los días a la oficina"/>
    <s v="Menos que cuando iba todos los días a la oficina"/>
    <s v="Igual que cuando iba todos los días a la oficina"/>
    <s v="Menos que cuando iba todos los días a la oficina"/>
    <s v="Menos que cuando iba todos los días a la oficina"/>
    <s v="Igual que cuando iba todos los días a la oficina"/>
    <s v="Igual que cuando iba todos los días a la oficina"/>
    <s v="Igual que cuando iba todos los días a la oficina"/>
    <s v="Iguales que cuando iba todos los días a la oficina"/>
    <s v="Igual que cuando iba todos los días a la oficina"/>
    <s v="Igual que cuando iba todos los días a la oficina"/>
    <s v="Igual que cuando iba todos los días a la oficina"/>
    <s v="Mayor que cuando iba todos los días a la oficina"/>
    <s v="Menor que cuando iba todos los días a la oficina"/>
    <s v="Menor que cuando iba todos los días a la oficina"/>
    <s v="Igual que cuando iba todos los días a la oficina"/>
    <s v="Igual que cuando iba todos los días a la oficina"/>
    <s v="Menores que cuando iba todos los días a la oficina"/>
    <s v="Mayor que cuando iba todos los días a la oficina"/>
    <s v="Iguales que cuando iba todos los días a la oficina"/>
    <s v="Mayor que cuando iba todos los días a la oficina"/>
    <s v="Menores que cuando iba todos los días a la oficina"/>
    <s v="Iguales que cuando iba todos los días a la oficina"/>
    <s v="Igual que cuando iba todos los días a la oficina"/>
    <s v="Mayor que cuando iba todos los días a la oficina"/>
    <s v="Iguales que cuando iba todos los días a la oficina"/>
    <s v="Mayor que cuando iba todos los días a la oficina"/>
    <s v="Menor que cuando iba todos los días a la oficina"/>
    <s v="Igual que cuando iba todos los días a la oficina"/>
    <s v="Iguales que cuando iba todos los días a la oficina"/>
    <s v="Igual que cuando iba todos los días a la oficina"/>
    <s v="Mayor que cuando iba todos los días a la oficina"/>
    <s v="Mayor que cuando iba todos los días a la oficina"/>
    <s v="Mayor que cuando iba todos los días a la oficina"/>
    <s v="Mayor que cuando iba todos los días a la oficina"/>
    <s v="Mayor que cuando iba todos los días a la oficina"/>
    <s v="Mayor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Menores que cuando iba todos los días a la oficina"/>
    <s v="Mayor que cuando iba todos los días a la oficina"/>
    <s v="Mayor que cuando iba todos los días a la oficina"/>
    <s v="Igual que cuando iba todos los días a la oficina"/>
    <s v="Igual que cuando iba todos los días a la oficina"/>
    <s v="Mayor que cuando iba todos los días a la oficina"/>
    <s v="Mucho menor que cuando iba todos los días a la oficina"/>
    <s v="Mejor que cuando iba todos los días a la oficina"/>
    <s v="Igual que cuando iba todos los días a la oficina"/>
    <s v="Igual que cuando iba todos los días a la oficina"/>
    <s v="Mayor que cuando iba todos los días a la oficina"/>
    <s v="Mayor que cuando iba todos los días a la oficina"/>
    <s v="Menor que cuando iba todos los días a la oficina"/>
    <s v="Iguales que cuando iba todos los días a la oficina"/>
    <s v="Igual que cuando iba todos los días a la oficina"/>
    <s v="Igual que cuando iba todos los días a la oficina"/>
    <s v="Alvarop_guzman@hotmail.com"/>
    <s v="301+ empleados"/>
    <n v="0"/>
  </r>
  <r>
    <s v="Argentina"/>
    <s v="&lt;35 años"/>
    <s v="Masculino"/>
    <s v="Universitario"/>
    <s v="&lt;5 años"/>
    <s v="Desarrollador Full Stack Angular TS"/>
    <s v="Desarrollador Full Stack Angular TS"/>
    <s v="&gt;500 empleados."/>
    <s v="Empresa que desarrolla software a medida partiendo desde cero"/>
    <s v="Local"/>
    <s v="Nunca"/>
    <s v="Alto"/>
    <s v="3-4 días"/>
    <s v="3-4 días"/>
    <s v="Híbrida casa (más días en casa que en la oficina)"/>
    <s v="Consensuada por las dos partes"/>
    <s v="De acuerdo"/>
    <s v="Igual que cuando iba todos los días a la oficina"/>
    <s v="Igual que cuando iba todos los días a la oficina"/>
    <s v="Igual que cuando iba todos los días a la oficina"/>
    <s v="Diferentes que cuando iba todos los días a la oficina, ahora necesito menos horas para hacer lo mismo"/>
    <s v="La Mitad por videoconferencia y la mitad presencial"/>
    <s v="Menor que cuando eran en la oficina"/>
    <s v="Menor cuando iba todos los días a la oficina"/>
    <s v="Igual que cuando iba todos los días a la oficina"/>
    <s v="Mucho menor que cuando iba todos los días a la oficina"/>
    <s v="Menor que cuando iba todos los días a la oficina"/>
    <x v="0"/>
    <x v="1"/>
    <x v="0"/>
    <s v="Igual que cuando iba todos los días a la oficina"/>
    <x v="2"/>
    <s v="Más que cuando iba todos los días a la oficina"/>
    <s v="Igual que cuando iba todos los días a la oficina"/>
    <s v="No trabajo con personas con un horario distinto al mío"/>
    <s v="No trabajo  con personas que se encuentran geográficamente distribuidas"/>
    <s v="Igual que cuando iba todos los días a la oficina"/>
    <s v="Igual que cuando iba todos los días a la oficina"/>
    <s v="Igual que cuando iba todos los días a la oficina"/>
    <s v="Igual que cuando iba todos los días a la oficina"/>
    <s v="Menos que cuando iba todos los días a la oficina"/>
    <s v="Iguales que cuando iba todos los días a la oficina"/>
    <s v="Igual que cuando iba todos los días a la oficina"/>
    <s v="Mayor que cuando iba todos los días a la oficina"/>
    <s v="Menor que cuando iba todos los días a la oficina"/>
    <s v="Igual que cuando iba todos los días a la oficina"/>
    <s v="Menor que cuando iba todos los días a la oficina"/>
    <s v="Menor que cuando iba todos los días a la oficina"/>
    <s v="Igual que cuando iba todos los días a la oficina"/>
    <s v="Mayor que cuando iba todos los días a la oficina"/>
    <s v="Mucho menores que cuando iba todos los días a la oficina"/>
    <s v="Igual que cuando iba todos los días a la oficina"/>
    <s v="Iguales que cuando iba todos los días a la oficina"/>
    <s v="Igual que cuando iba todos los días a la oficina"/>
    <s v="Mucho mayores que cuando iba todos los días a la oficina"/>
    <s v="No tengo que utilizar diferentes idiomas en mi trabajo"/>
    <s v="No trabajo con personas con distintos horarios"/>
    <s v="Igual que cuando iba todos los días a la oficina"/>
    <s v="Menores que cuando iba todos los días a la oficina"/>
    <s v="Mayor que cuando iba todos los días a la oficina"/>
    <s v="Igual que cuando iba todos los días a la oficina"/>
    <s v="Igual que cuando iba todos los días a la oficina"/>
    <s v="Iguales que cuando iba todos los días a la oficina"/>
    <s v="Igual que cuando iba todos los días a la oficina"/>
    <s v="Mayor que cuando iba todos los días a la oficina"/>
    <s v="Menor que cuando iba todos los días a la oficina"/>
    <s v="Mucho mayor que cuando iba todos los días a la oficina"/>
    <s v="Igual que cuando iba todos los días a la oficina"/>
    <s v="Igual que cuando iba todos los días a la oficina"/>
    <s v="Menor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es que cuando iba todos los días a la oficina"/>
    <s v="Igual que cuando iba todos los días a la oficina"/>
    <s v="Mayor que cuando iba todos los días a la oficina"/>
    <s v="Igual que cuando iba todos los días a la oficina"/>
    <s v="Mayor que cuando iba todos los días a la oficina"/>
    <s v="Igual que cuando iba todos los días a la oficina"/>
    <s v="Igual que cuando iba todos los días a la oficina"/>
    <s v="Mejor que cuando iba todos los días a la oficina"/>
    <s v="Igual que cuando iba todos los días a la oficina"/>
    <s v="Menor que cuando iba todos los días a la oficina"/>
    <s v="Igual que cuando iba todos los días a la oficina"/>
    <s v="Igual que cuando iba todos los días a la oficina"/>
    <s v="Igual que cuando iba todos los días a la oficina"/>
    <s v="Iguales que cuando iba todos los días a la oficina"/>
    <s v="Igual que cuando iba todos los días a la oficina"/>
    <s v="Igual que cuando iba todos los días a la oficina"/>
    <m/>
    <s v="301+ empleados"/>
    <n v="0"/>
  </r>
  <r>
    <s v="Argentina"/>
    <s v="&lt;35 años"/>
    <s v="Masculino"/>
    <s v="Universitario"/>
    <s v="5-10 años"/>
    <s v="Desarrollador"/>
    <s v="Desarrollador y Analista Funcional"/>
    <s v="&lt;50 empleados"/>
    <s v="Empresa que desarrolla software a medida partiendo desde cero"/>
    <s v="Local"/>
    <s v="Nunca"/>
    <s v="Alto"/>
    <s v="4-5 días"/>
    <s v="1-2 días"/>
    <s v="Remota ( todos los días en casa)"/>
    <s v="Consensuada por las dos partes"/>
    <s v="De acuerdo"/>
    <s v="Igual que cuando iba todos los días a la oficina"/>
    <s v="Menor que cuando iba todos los días a la oficina"/>
    <s v="Igual que cuando iba todos los días a la oficina"/>
    <s v="Iguales que cuando iba todos los días a la oficina"/>
    <s v="Casi todas por videoconferencia"/>
    <s v="Menor que cuando eran en la oficina"/>
    <s v="Mayor que cuando iba todos los días a la oficina"/>
    <s v="Mayor que cuando iba todos los días a la oficina"/>
    <s v="Mayor que cuando iba todos los días a la oficina"/>
    <s v="Mucho Mayor que cuando iba todos los días a la oficina"/>
    <x v="0"/>
    <x v="0"/>
    <x v="0"/>
    <s v="Mayor que cuando iba todos los días a la oficina"/>
    <x v="3"/>
    <s v="Más que cuando iba todos los días a la oficina"/>
    <s v="No trabajo con personas de distintas culturas"/>
    <s v="Igual que cuando iba todos los días a la oficina"/>
    <s v="No trabajo  con personas que se encuentran geográficamente distribuidas"/>
    <s v="Igual que cuando iba todos los días a la oficina"/>
    <s v="Menos que cuando iba todos los días a la oficina"/>
    <s v="Menos que cuando iba todos los días a la oficina"/>
    <s v="Igual que cuando iba todos los días a la oficina"/>
    <s v="Menos que cuando iba todos los días a la oficina"/>
    <s v="Mayores que cuando iba todos los días a la oficina"/>
    <s v="Mayor que cuando iba todos los días a la oficina"/>
    <s v="Mayor que cuando iba todos los días a la oficina"/>
    <s v="Mucho menor que cuando iba todos los días a la oficina"/>
    <s v="Mayor que cuando iba todos los días a la oficina"/>
    <s v="Menor que cuando iba todos los días a la oficina"/>
    <s v="Menor que cuando iba todos los días a la oficina"/>
    <s v="Igual que cuando iba todos los días a la oficina"/>
    <s v="Mucho mayor que cuando iba todos los días a la oficina"/>
    <s v="Iguales que cuando iba todos los días a la oficina"/>
    <s v="Mayor que cuando iba todos los días a la oficina"/>
    <s v="No hay diferencias culturales en mi equipo"/>
    <s v="Igual que cuando iba todos los días a la oficina"/>
    <s v="Menores que cuando iba todos los días a la oficina"/>
    <s v="No tengo que utilizar diferentes idiomas en mi trabajo"/>
    <s v="Igual que cuando iba todos los días a la oficina"/>
    <s v="Mayor que cuando iba todos los días a la oficina"/>
    <s v="Mucho menores que cuando iba todos los días a la oficina"/>
    <s v="Mucho mayor que cuando iba todos los días a la oficina"/>
    <s v="Menor que cuando iba todos los días a la oficina"/>
    <s v="No tengo la información para contestar a la pregunta"/>
    <s v="Mucho menores que cuando iba todos los días a la oficina"/>
    <s v="Mejor que cuando iba todos los días a la oficina"/>
    <s v="Igual que cuando iba todos los días a la oficina"/>
    <s v="Mucho Mayor que cuando iba todos los días a la oficina"/>
    <s v="Mucho mayor que cuando iba todos los días a la oficina"/>
    <s v="Mayor que cuando iba todos los días a la oficina"/>
    <s v="Igual que cuando iba todos los días a la oficina"/>
    <s v="Mayor que cuando iba todos los días a la oficina"/>
    <s v="Mayor que cuando iba todos los días a la oficina"/>
    <s v="Igual que cuando iba todos los días a la oficina"/>
    <s v="Menor que cuando iba todos los días a la oficina"/>
    <s v="Mas que cuando iba todos los días a la oficina"/>
    <s v="Iguales que cuando iba todos los días a la oficina"/>
    <s v="Mayor que cuando iba todos los días a la oficina"/>
    <s v="Mayor que cuando iba todos los días a la oficina"/>
    <s v="Igual que cuando iba todos los días a la oficina"/>
    <s v="Igual que cuando iba todos los días a la oficina"/>
    <s v="Mayor que cuando iba todos los días a la oficina"/>
    <s v="Igual que cuando iba todos los días a la oficina"/>
    <s v="Igual que cuando iba todos los días a la oficina"/>
    <s v="Mayor que cuando iba todos los días a la oficina"/>
    <s v="Mayor que cuando iba todos los días a la oficina"/>
    <s v="Mayor que cuando iba todos los días a la oficina"/>
    <s v="Mayor que cuando iba todos los días a la oficina"/>
    <s v="Igual que cuando iba todos los días a la oficina"/>
    <s v="Iguales que cuando iba todos los días a la oficina"/>
    <s v="Igual que cuando iba todos los días a la oficina"/>
    <s v="Mayor que cuando iba todos los días a la oficina"/>
    <s v="josericoterito@gmail.com"/>
    <s v="&lt;301 empleados"/>
    <n v="0"/>
  </r>
  <r>
    <s v="Argentina"/>
    <s v="&lt;35 años"/>
    <s v="Masculino"/>
    <s v="Universitario"/>
    <s v="11-20 años"/>
    <s v="Desarrollador"/>
    <s v="Analista Tecnico"/>
    <s v="&gt;500 empleados."/>
    <s v="Fábrica de Software"/>
    <s v="Local"/>
    <s v="Nunca"/>
    <s v="Alto"/>
    <s v="4-5 días"/>
    <s v="Ninguno"/>
    <s v="Remota ( todos los días en casa)"/>
    <s v="Consensuada por las dos partes"/>
    <s v="Totalmente de acuerdo"/>
    <s v="Menor que cuando iba todos los días a la oficina"/>
    <s v="Menor que cuando iba todos los días a la oficina"/>
    <s v="Mucho menor que cuando iba todos los días a la oficina"/>
    <s v="Muy diferentes que cuando iba todos los días a la oficina, ahora necesito muchas menos horas para hacer lo mismo"/>
    <s v="Todas por videoconferencia"/>
    <s v="Mucho menor que cuando eran en la oficina"/>
    <s v="Menor cuando iba todos los días a la oficina"/>
    <s v="Mayor que cuando iba todos los días a la oficina"/>
    <s v="Mayor que cuando iba todos los días a la oficina"/>
    <s v="Mucho Mayor que cuando iba todos los días a la oficina"/>
    <x v="4"/>
    <x v="3"/>
    <x v="0"/>
    <s v="Mayor que cuando iba todos los días a la oficina"/>
    <x v="1"/>
    <s v="Menos que cuando iba todos los días a la oficina"/>
    <s v="No trabajo con personas de distintas culturas"/>
    <s v="No trabajo con personas con un horario distinto al mío"/>
    <s v="No trabajo  con personas que se encuentran geográficamente distribuidas"/>
    <s v="Más que cuando iba todos los días a la oficina"/>
    <s v="Mas que cuando iba todos los días a la oficina"/>
    <s v="Mas que cuando iba todos los días a la oficina"/>
    <s v="Mas que cuando iba todos los días a la oficina"/>
    <s v="Igual que cuando iba todos los días a la oficina"/>
    <s v="Mayores que cuando iba todos los días a la oficina"/>
    <s v="Mayor que cuando iba todos los días a la oficina"/>
    <s v="Menor que cuando iba todos los días a la oficina"/>
    <s v="Mucho menor que cuando iba todos los días a la oficina"/>
    <s v="Igual que cuando iba todos los días a la oficina"/>
    <s v="Menor que cuando iba todos los días a la oficina"/>
    <s v="Menor que cuando iba todos los días a la oficina"/>
    <s v="Menor que cuando iba todos los días a la oficina"/>
    <s v="Mucho mayor que cuando iba todos los días a la oficina"/>
    <s v="Mayores que cuando iba todos los días a la oficina"/>
    <s v="Igual que cuando iba todos los días a la oficina"/>
    <s v="No hay diferencias culturales en mi equipo"/>
    <s v="Mucho mayor que cuando iba todos los días a la oficina"/>
    <s v="Iguales que cuando iba todos los días a la oficina"/>
    <s v="No tengo que utilizar diferentes idiomas en mi trabajo"/>
    <s v="No trabajo con personas con distintos horarios"/>
    <s v="Mucho menor que cuando iba todos los días a la oficina"/>
    <s v="Mucho menores que cuando iba todos los días a la oficina"/>
    <s v="Mucho mayor que cuando iba todos los días a la oficina"/>
    <s v="No tengo la información para contestar a la pregunta"/>
    <s v="Menos que cuando iba todos los días a la oficina"/>
    <s v="Iguales que cuando iba todos los días a la oficina"/>
    <s v="Mejor que cuando iba todos los días a la oficina"/>
    <s v="Menor que cuando iba todos los días a la oficina"/>
    <s v="Mayor que cuando iba todos los días a la oficina"/>
    <s v="Mayor que cuando iba todos los días a la oficina"/>
    <s v="Igual que cuando iba todos los días a la oficina"/>
    <s v="Igual que cuando iba todos los días a la oficina"/>
    <s v="Mayor que cuando iba todos los días a la oficina"/>
    <s v="Mayor que cuando iba todos los días a la oficina"/>
    <s v="Menor que cuando iba todos los días a la oficina"/>
    <s v="Mayor que cuando iba todos los días a la oficina"/>
    <s v="Menos que cuando iba todos los días a la oficina"/>
    <s v="Menores que cuando iba todos los días a la oficina"/>
    <s v="Igual que cuando iba todos los días a la oficina"/>
    <s v="Mayor que cuando iba todos los días a la oficina"/>
    <s v="Igual que cuando iba todos los días a la oficina"/>
    <s v="Mayor que cuando iba todos los días a la oficina"/>
    <s v="Mayor que cuando iba todos los días a la oficina"/>
    <s v="Menor que cuando iba todos los días a la oficina"/>
    <s v="Mucho Mejor que cuando iba todos los días a la oficina"/>
    <s v="Mayor que cuando iba todos los días a la oficina"/>
    <s v="Mayor que cuando iba todos los días a la oficina"/>
    <s v="Menor que cuando iba todos los días a la oficina"/>
    <s v="Menor que cuando iba todos los días a la oficina"/>
    <s v="Menor que cuando iba todos los días a la oficina"/>
    <s v="Menores que cuando iba todos los días a la oficina"/>
    <s v="Menor que cuando iba todos los días a la oficina"/>
    <s v="Mayor que cuando iba todos los días a la oficina"/>
    <s v="guido.insa@gmail.com"/>
    <s v="301+ empleados"/>
    <n v="0"/>
  </r>
  <r>
    <s v="Argentina"/>
    <s v="36+ años"/>
    <s v="Masculino"/>
    <s v="Universitario"/>
    <s v="11-20 años"/>
    <s v="Desarrollador"/>
    <s v="Desarrollador"/>
    <s v="51-150 empleados"/>
    <s v="Empresa que subcontrata (outsourcing) los servicios de otra empresa situada en otro país"/>
    <s v="Multinacional"/>
    <s v="Muy Frecuentemente"/>
    <s v="Alto"/>
    <s v="4-5 días"/>
    <s v="Ninguno"/>
    <s v="Híbrida casa (más días en casa que en la oficina)"/>
    <s v="Impuesta por la empresa"/>
    <s v="De acuerdo"/>
    <s v="Menor que cuando iba todos los días a la oficina"/>
    <s v="Menor que cuando iba todos los días a la oficina"/>
    <s v="Menor que cuando iba todos los días a la oficina"/>
    <s v="Diferentes que cuando iba todos los días a la oficina, ahora necesito menos horas para hacer lo mismo"/>
    <s v="Todas por videoconferencia"/>
    <s v="Mucho menor que cuando eran en la oficina"/>
    <s v="Menor cuando iba todos los días a la oficina"/>
    <s v="Igual que cuando iba todos los días a la oficina"/>
    <s v="Mayor que cuando iba todos los días a la oficina"/>
    <s v="Menor que cuando iba todos los días a la oficina"/>
    <x v="2"/>
    <x v="1"/>
    <x v="0"/>
    <s v="Igual que cuando iba todos los días a la oficina"/>
    <x v="1"/>
    <s v="Más que cuando iba todos los días a la oficina"/>
    <s v="Mucho menos que cuando iba todos los días a la oficina"/>
    <s v="Más que cuando iba todos los días a la oficina"/>
    <s v="Más que cuando iba todos los días a la oficina"/>
    <s v="Menos que cuando iba todos los días a la oficina"/>
    <s v="Menos que cuando iba todos los días a la oficina"/>
    <s v="Mas que cuando iba todos los días a la oficina"/>
    <s v="Mas que cuando iba todos los días a la oficina"/>
    <s v="Menos que cuando iba todos los días a la oficina"/>
    <s v="Mayores que cuando iba todos los días a la oficina"/>
    <s v="Menor que cuando iba todos los días a la oficina"/>
    <s v="Mayor que cuando iba todos los días a la oficina"/>
    <s v="Mucho menor que cuando iba todos los días a la oficina"/>
    <s v="Mayor que cuando iba todos los días a la oficina"/>
    <s v="Mucho menor que cuando iba todos los días a la oficina"/>
    <s v="Menor que cuando iba todos los días a la oficina"/>
    <s v="Menor que cuando iba todos los días a la oficina"/>
    <s v="Mucho mayor que cuando iba todos los días a la oficina"/>
    <s v="Menores que cuando iba todos los días a la oficina"/>
    <s v="Mayor que cuando iba todos los días a la oficina"/>
    <s v="Menores que cuando iba todos los días a la oficina"/>
    <s v="Mucho mayor que cuando iba todos los días a la oficina"/>
    <s v="Menores que cuando iba todos los días a la oficina"/>
    <s v="Mayores que cuando iba todos los días a la oficina"/>
    <s v="Mucho menos que cuando iba todos los días a la oficina"/>
    <s v="Mayor que cuando iba todos los días a la oficina"/>
    <s v="Mayores que cuando iba todos los días a la oficina"/>
    <s v="Mucho mayor que cuando iba todos los días a la oficina"/>
    <s v="Menor que cuando iba todos los días a la oficina"/>
    <s v="Menos que cuando iba todos los días a la oficina"/>
    <s v="Menores que cuando iba todos los días a la oficina"/>
    <s v="Mejor que cuando iba todos los días a la oficina"/>
    <s v="Menor que cuando iba todos los días a la oficina"/>
    <s v="Menor que cuando iba todos los días a la oficina"/>
    <s v="Mucho mayor que cuando iba todos los días a la oficina"/>
    <s v="Mayor que cuando iba todos los días a la oficina"/>
    <s v="Mayor que cuando iba todos los días a la oficina"/>
    <s v="Mucho Mayor que cuando iba todos los días a la oficina"/>
    <s v="Mayor que cuando iba todos los días a la oficina"/>
    <s v="Mayor que cuando iba todos los días a la oficina"/>
    <s v="Menor que cuando iba todos los días a la oficina"/>
    <s v="Mucho mas que cuando iba todos los días a la oficina"/>
    <s v="Mayores que cuando iba todos los días a la oficina"/>
    <s v="Mucho Mayor que cuando iba todos los días a la oficina"/>
    <s v="Mucho Mayor que cuando iba todos los días a la oficina"/>
    <s v="Mayor que cuando iba todos los días a la oficina"/>
    <s v="Menor que cuando iba todos los días a la oficina"/>
    <s v="Mayor que cuando iba todos los días a la oficina"/>
    <s v="Mayor que cuando iba todos los días a la oficina"/>
    <s v="Mejor que cuando iba todos los días a la oficina"/>
    <s v="Mayor que cuando iba todos los días a la oficina"/>
    <s v="Menor que cuando iba todos los días a la oficina"/>
    <s v="Mayor que cuando iba todos los días a la oficina"/>
    <s v="Mucho Mayor que cuando iba todos los días a la oficina"/>
    <s v="Mucho menor que cuando iba todos los días a la oficina"/>
    <s v="Menores que cuando iba todos los días a la oficina"/>
    <s v="Menor que cuando iba todos los días a la oficina"/>
    <s v="Mayor que cuando iba todos los días a la oficina"/>
    <s v="giuliani.diego@gmail.com"/>
    <s v="&lt;301 empleados"/>
    <n v="0"/>
  </r>
  <r>
    <s v="Argentina"/>
    <s v="36+ años"/>
    <s v="Masculino"/>
    <s v="Universitario"/>
    <s v="&lt;5 años"/>
    <s v="Desarrollador de software"/>
    <s v="Desarrollador de software"/>
    <s v="301-500 empleados"/>
    <s v="Empresa que desarrolla software a medida partiendo desde cero"/>
    <s v="Local"/>
    <s v="Nunca"/>
    <s v="Alto"/>
    <s v="4-5 días"/>
    <s v="Ninguno"/>
    <s v="Híbrida casa (más días en casa que en la oficina)"/>
    <s v="Decidida por ti"/>
    <s v="De acuerdo"/>
    <s v="Igual que cuando iba todos los días a la oficina"/>
    <s v="Menor que cuando iba todos los días a la oficina"/>
    <s v="Menor que cuando iba todos los días a la oficina"/>
    <s v="Diferentes que cuando iba todos los días a la oficina, ahora necesito menos horas para hacer lo mismo"/>
    <s v="Todas por videoconferencia"/>
    <s v="Menor que cuando eran en la oficina"/>
    <s v="Mucho Mayor que cuando iba todos los días a la oficina"/>
    <s v="Mayor que cuando iba todos los días a la oficina"/>
    <s v="Mayor que cuando iba todos los días a la oficina"/>
    <s v="Mucho Mayor que cuando iba todos los días a la oficina"/>
    <x v="2"/>
    <x v="1"/>
    <x v="1"/>
    <s v="Igual que cuando iba todos los días a la oficina"/>
    <x v="2"/>
    <s v="Mucho más que cuando iba todos los días a la oficina"/>
    <s v="Igual que cuando iba todos los días a la oficina"/>
    <s v="Igual que cuando iba todos los días a la oficina"/>
    <s v="Igual que cuando iba todos los días a la oficina"/>
    <s v="Más que cuando iba todos los días a la oficina"/>
    <s v="Mas que cuando iba todos los días a la oficina"/>
    <s v="Mas que cuando iba todos los días a la oficina"/>
    <s v="Mas que cuando iba todos los días a la oficina"/>
    <s v="Mas que cuando iba todos los días a la oficina"/>
    <s v="Mucho Mayores que cuando iba todos los días a la oficina"/>
    <s v="Igual que cuando iba todos los días a la oficina"/>
    <s v="Igual que cuando iba todos los días a la oficina"/>
    <s v="Mucho menor que cuando iba todos los días a la oficina"/>
    <s v="Mucho Mayor que cuando iba todos los días a la oficina"/>
    <s v="Mucho menor que cuando iba todos los días a la oficina"/>
    <s v="Menor que cuando iba todos los días a la oficina"/>
    <s v="Mucho menor que cuando iba todos los días a la oficina"/>
    <s v="Mayor que cuando iba todos los días a la oficina"/>
    <s v="Iguales que cuando iba todos los días a la oficina"/>
    <s v="Igual que cuando iba todos los días a la oficina"/>
    <s v="Iguales que cuando iba todos los días a la oficina"/>
    <s v="Mayor que cuando iba todos los días a la oficina"/>
    <s v="Mayores que cuando iba todos los días a la oficina"/>
    <s v="Iguales que cuando iba todos los días a la oficina"/>
    <s v="Igual que cuando iba todos los días a la oficina"/>
    <s v="Igual que cuando iba todos los días a la oficina"/>
    <s v="Mucho menores que cuando iba todos los días a la oficina"/>
    <s v="Mucho mayor que cuando iba todos los días a la oficina"/>
    <s v="Igual que cuando iba todos los días a la oficina"/>
    <s v="Igual que cuando iba todos los días a la oficina"/>
    <s v="Iguales que cuando iba todos los días a la oficina"/>
    <s v="Mucho mejor que cuando iba todos los días a la oficina"/>
    <s v="Mucho Mayor que cuando iba todos los días a la oficina"/>
    <s v="Mucho Mayor que cuando iba todos los días a la oficina"/>
    <s v="Mucho mayor que cuando iba todos los días a la oficina"/>
    <s v="Igual que cuando iba todos los días a la oficina"/>
    <s v="Mayor que cuando iba todos los días a la oficina"/>
    <s v="Mucho Mayor que cuando iba todos los días a la oficina"/>
    <s v="Mucho Mayor que cuando iba todos los días a la oficina"/>
    <s v="Mucho Mayor que cuando iba todos los días a la oficina"/>
    <s v="Igual que cuando iba todos los días a la oficina"/>
    <s v="Mas que cuando iba todos los días a la oficina"/>
    <s v="Menores que cuando iba todos los días a la oficina"/>
    <s v="Mucho Mayor que cuando iba todos los días a la oficina"/>
    <s v="Mucho Mayor que cuando iba todos los días a la oficina"/>
    <s v="Mucho Mayor que cuando iba todos los días a la oficina"/>
    <s v="Mucho menor que cuando iba todos los días a la oficina"/>
    <s v="Mayor que cuando iba todos los días a la oficina"/>
    <s v="Menor que cuando iba todos los días a la oficina"/>
    <s v="Mejor que cuando iba todos los días a la oficina"/>
    <s v="Mucho Mayor que cuando iba todos los días a la oficina"/>
    <s v="Mucho menor que cuando iba todos los días a la oficina"/>
    <s v="Menor que cuando iba todos los días a la oficina"/>
    <s v="Igual que cuando iba todos los días a la oficina"/>
    <s v="Menor que cuando iba todos los días a la oficina"/>
    <s v="Menores que cuando iba todos los días a la oficina"/>
    <s v="Igual que cuando iba todos los días a la oficina"/>
    <s v="Mucho mayor que cuando iba todos los días a la oficina"/>
    <s v="gastonmuzas@gmail.com"/>
    <s v="301+ empleados"/>
    <n v="0"/>
  </r>
  <r>
    <s v="Argentina"/>
    <s v="36+ años"/>
    <s v="Masculino"/>
    <s v="Universitario"/>
    <s v="5-10 años"/>
    <s v="Desarrollador de Software"/>
    <s v="Desarrollador de Software"/>
    <s v="51-150 empleados"/>
    <s v="Empresa que desarrolla software a medida partiendo desde cero"/>
    <s v="Local"/>
    <s v="Muy Frecuentemente"/>
    <s v="Alto"/>
    <s v="4-5 días"/>
    <s v="Ninguno"/>
    <s v="Híbrida casa (más días en casa que en la oficina)"/>
    <s v="Impuesta por la empresa"/>
    <s v="De acuerdo"/>
    <s v="Menor que cuando iba todos los días a la oficina"/>
    <s v="Menor que cuando iba todos los días a la oficina"/>
    <s v="Menor que cuando iba todos los días a la oficina"/>
    <s v="Iguales que cuando iba todos los días a la oficina"/>
    <s v="Todas por videoconferencia"/>
    <s v="Menor que cuando eran en la oficina"/>
    <s v="Mayor que cuando iba todos los días a la oficina"/>
    <s v="Mayor que cuando iba todos los días a la oficina"/>
    <s v="Mayor que cuando iba todos los días a la oficina"/>
    <s v="Igual que cuando iba todos los días a la oficina"/>
    <x v="1"/>
    <x v="2"/>
    <x v="0"/>
    <s v="Menor que cuando iba todos los días a la oficina"/>
    <x v="2"/>
    <s v="Igual que cuando iba todos los días a la oficina"/>
    <s v="Más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Mas que cuando iba todos los días a la oficina"/>
    <s v="Igual que cuando iba todos los días a la oficina"/>
    <s v="Igual que cuando iba todos los días a la oficina"/>
    <s v="Mayores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Menor que cuando iba todos los días a la oficina"/>
    <s v="Mayor que cuando iba todos los días a la oficina"/>
    <s v="Iguales que cuando iba todos los días a la oficina"/>
    <s v="Mayor que cuando iba todos los días a la oficina"/>
    <s v="Iguales que cuando iba todos los días a la oficina"/>
    <s v="Igual que cuando iba todos los días a la oficina"/>
    <s v="Iguales que cuando iba todos los días a la oficina"/>
    <s v="Iguales que cuando iba todos los días a la oficina"/>
    <s v="Igual que cuando iba todos los días a la oficina"/>
    <s v="Menor que cuando iba todos los días a la oficina"/>
    <s v="Iguales que cuando iba todos los días a la oficina"/>
    <s v="Igual que cuando iba todos los días a la oficina"/>
    <s v="Igual que cuando iba todos los días a la oficina"/>
    <s v="Igual que cuando iba todos los días a la oficina"/>
    <s v="Iguales que cuando iba todos los días a la oficina"/>
    <s v="Igual que cuando iba todos los días a la oficina"/>
    <s v="Menor que cuando iba todos los días a la oficina"/>
    <s v="Igual que cuando iba todos los días a la oficina"/>
    <s v="Mayor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Menores que cuando iba todos los días a la oficina"/>
    <s v="Igual que cuando iba todos los días a la oficina"/>
    <s v="Mayor que cuando iba todos los días a la oficina"/>
    <s v="Menor que cuando iba todos los días a la oficina"/>
    <s v="Mayor que cuando iba todos los días a la oficina"/>
    <s v="Igual que cuando iba todos los días a la oficina"/>
    <s v="Igual que cuando iba todos los días a la oficina"/>
    <s v="Igual que cuando iba todos los días a la oficina"/>
    <s v="Mayor que cuando iba todos los días a la oficina"/>
    <s v="Menor que cuando iba todos los días a la oficina"/>
    <s v="Igual que cuando iba todos los días a la oficina"/>
    <s v="Mayor que cuando iba todos los días a la oficina"/>
    <s v="Menor que cuando iba todos los días a la oficina"/>
    <s v="Iguales que cuando iba todos los días a la oficina"/>
    <s v="Menor que cuando iba todos los días a la oficina"/>
    <s v="Igual que cuando iba todos los días a la oficina"/>
    <m/>
    <s v="&lt;301 empleados"/>
    <n v="0"/>
  </r>
  <r>
    <s v="Colombia"/>
    <s v="&lt;35 años"/>
    <s v="Masculino"/>
    <s v="Maestria"/>
    <s v="21-30 años"/>
    <s v="Director de ingeniería"/>
    <s v="Director de ingeniería"/>
    <s v="&gt;500 empleados."/>
    <s v="Empresa que desarrolla software a medida partiendo desde cero"/>
    <s v="Nacional (múltiples sedes en el mismo país)"/>
    <s v="A veces"/>
    <s v="Bajo"/>
    <s v="1-2 días"/>
    <s v="3-4 días"/>
    <s v="Híbrida oficina (más días en la oficina que en casa)"/>
    <s v="Decidida por ti"/>
    <s v="De acuerdo"/>
    <s v="Menor que cuando iba todos los días a la oficina"/>
    <s v="Menor que cuando iba todos los días a la oficina"/>
    <s v="Igual que cuando iba todos los días a la oficina"/>
    <s v="Iguales que cuando iba todos los días a la oficina"/>
    <s v="Casi todas por videoconferencia"/>
    <s v="Mayor que cuando eran en la oficina"/>
    <s v="Menor cuando iba todos los días a la oficina"/>
    <s v="Menor que cuando iba todos los días a la oficina"/>
    <s v="Menor que cuando iba todos los días a la oficina"/>
    <s v="Mayor que cuando iba todos los días a la oficina"/>
    <x v="1"/>
    <x v="2"/>
    <x v="1"/>
    <s v="Menor que cuando iba todos los días a la oficina"/>
    <x v="1"/>
    <s v="Más que cuando iba todos los días a la oficina"/>
    <s v="No trabajo con personas de distintas culturas"/>
    <s v="Igual que cuando iba todos los días a la oficina"/>
    <s v="Igual que cuando iba todos los días a la oficina"/>
    <s v="Más que cuando iba todos los días a la oficina"/>
    <s v="Mas que cuando iba todos los días a la oficina"/>
    <s v="Mas que cuando iba todos los días a la oficina"/>
    <s v="Mas que cuando iba todos los días a la oficina"/>
    <s v="Mas que cuando iba todos los días a la oficina"/>
    <s v="Iguales que cuando iba todos los días a la oficina"/>
    <s v="Menor que cuando iba todos los días a la oficina"/>
    <s v="Igual que cuando iba todos los días a la oficina"/>
    <s v="Mayor que cuando iba todos los días a la oficina"/>
    <s v="Igual que cuando iba todos los días a la oficina"/>
    <s v="Igual que cuando iba todos los días a la oficina"/>
    <s v="Mayor que cuando iba todos los días a la oficina"/>
    <s v="Igual que cuando iba todos los días a la oficina"/>
    <s v="Mayor que cuando iba todos los días a la oficina"/>
    <s v="Iguales que cuando iba todos los días a la oficina"/>
    <s v="Igual que cuando iba todos los días a la oficina"/>
    <s v="No hay diferencias culturales en mi equipo"/>
    <s v="Menor que cuando iba todos los días a la oficina"/>
    <s v="Mayores que cuando iba todos los días a la oficina"/>
    <s v="No tengo que utilizar diferentes idiomas en mi trabajo"/>
    <s v="Igual que cuando iba todos los días a la oficina"/>
    <s v="Menor que cuando iba todos los días a la oficina"/>
    <s v="Iguales que cuando iba todos los días a la oficina"/>
    <s v="Igual que cuando iba todos los días a la oficina"/>
    <s v="Mayor que cuando iba todos los días a la oficina"/>
    <s v="Más que cuando iba todos los días a la oficina"/>
    <s v="Mayores que cuando iba todos los días a la oficina"/>
    <s v="Peor que cuando iba todos los días a la oficina"/>
    <s v="Igual que cuando iba todos los días a la oficina"/>
    <s v="Igual que cuando iba todos los días a la oficina"/>
    <s v="Mayor que cuando iba todos los días a la oficina"/>
    <s v="Igual que cuando iba todos los días a la oficina"/>
    <s v="Igual que cuando iba todos los días a la oficina"/>
    <s v="Menor que cuando iba todos los días a la oficina"/>
    <s v="Igual que cuando iba todos los días a la oficina"/>
    <s v="Igual que cuando iba todos los días a la oficina"/>
    <s v="Mayor que cuando iba todos los días a la oficina"/>
    <s v="Igual que cuando iba todos los días a la oficina"/>
    <s v="Menores que cuando iba todos los días a la oficina"/>
    <s v="Menor que cuando iba todos los días a la oficina"/>
    <s v="Igual que cuando iba todos los días a la oficina"/>
    <s v="Menor que cuando iba todos los días a la oficina"/>
    <s v="Igual que cuando iba todos los días a la oficina"/>
    <s v="Mucho menor que cuando iba todos los días a la oficina"/>
    <s v="Igual que cuando iba todos los días a la oficina"/>
    <s v="Igual que cuando iba todos los días a la oficina"/>
    <s v="Menor que cuando iba todos los días a la oficina"/>
    <s v="Menor que cuando iba todos los días a la oficina"/>
    <s v="Menor que cuando iba todos los días a la oficina"/>
    <s v="Mayor que cuando iba todos los días a la oficina"/>
    <s v="Menor que cuando iba todos los días a la oficina"/>
    <s v="Mayores que cuando iba todos los días a la oficina"/>
    <s v="Menor que cuando iba todos los días a la oficina"/>
    <s v="Menor que cuando iba todos los días a la oficina"/>
    <s v="crodriguez@asesoftware.com"/>
    <s v="301+ empleados"/>
    <n v="1"/>
  </r>
  <r>
    <s v="Colombia"/>
    <s v="&lt;35 años"/>
    <s v="Masculino"/>
    <s v="Maestría"/>
    <s v="11-20 años"/>
    <s v="Gerente de Arquitectura"/>
    <s v="Gerente de Arquitectura"/>
    <s v="&gt;500 empleados."/>
    <s v="Empresa que subcontrata (outsourcing) los servicios de otra del mismo país"/>
    <s v="Local"/>
    <s v="Nunca"/>
    <s v="Bajo"/>
    <s v="1-2 días"/>
    <s v="3-4 días"/>
    <s v="Híbrida casa (más días en casa que en la oficina)"/>
    <s v="Impuesta por la empresa"/>
    <s v="De acuerdo"/>
    <s v="Menor que cuando iba todos los días a la oficina"/>
    <s v="Menor que cuando iba todos los días a la oficina"/>
    <s v="Menor que cuando iba todos los días a la oficina"/>
    <s v="Iguales que cuando iba todos los días a la oficina"/>
    <s v="La Mitad por videoconferencia y la mitad presencial"/>
    <s v="Igual que cuando eran en la oficina"/>
    <s v="Mayor que cuando iba todos los días a la oficina"/>
    <s v="Menor que cuando iba todos los días a la oficina"/>
    <s v="Menor que cuando iba todos los días a la oficina"/>
    <s v="Mayor que cuando iba todos los días a la oficina"/>
    <x v="1"/>
    <x v="2"/>
    <x v="2"/>
    <s v="Menor que cuando iba todos los días a la oficina"/>
    <x v="2"/>
    <s v="Mucho más que cuando iba todos los días a la oficina"/>
    <s v="No trabajo con personas de distintas culturas"/>
    <s v="No trabajo con personas con un horario distinto al mío"/>
    <s v="Mucho menos que cuando iba todos los días a la oficina"/>
    <s v="Más que cuando iba todos los días a la oficina"/>
    <s v="Mas que cuando iba todos los días a la oficina"/>
    <s v="Mas que cuando iba todos los días a la oficina"/>
    <s v="Mas que cuando iba todos los días a la oficina"/>
    <s v="Mucho mas que cuando iba todos los días a la oficina"/>
    <s v="Iguales que cuando iba todos los días a la oficina"/>
    <s v="Igual que cuando iba todos los días a la oficina"/>
    <s v="Menor que cuando iba todos los días a la oficina"/>
    <s v="Mucho menor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Mayor que cuando iba todos los días a la oficina"/>
    <s v="Mucho menores que cuando iba todos los días a la oficina"/>
    <s v="Igual que cuando iba todos los días a la oficina"/>
    <s v="No hay diferencias culturales en mi equipo"/>
    <s v="Mayor que cuando iba todos los días a la oficina"/>
    <s v="Mayores que cuando iba todos los días a la oficina"/>
    <s v="No tengo que utilizar diferentes idiomas en mi trabajo"/>
    <s v="No trabajo con personas con distintos horarios"/>
    <s v="Menor que cuando iba todos los días a la oficina"/>
    <s v="Mucho menores que cuando iba todos los días a la oficina"/>
    <s v="Mayor que cuando iba todos los días a la oficina"/>
    <s v="Mayor que cuando iba todos los días a la oficina"/>
    <s v="Más que cuando iba todos los días a la oficina"/>
    <s v="Mayores que cuando iba todos los días a la oficina"/>
    <s v="Igual que cuando iba todos los días a la oficina"/>
    <s v="Menor que cuando iba todos los días a la oficina"/>
    <s v="Mayor que cuando iba todos los días a la oficina"/>
    <s v="Mucho mayor que cuando iba todos los días a la oficina"/>
    <s v="Menor que cuando iba todos los días a la oficina"/>
    <s v="Menor que cuando iba todos los días a la oficina"/>
    <s v="Igual que cuando iba todos los días a la oficina"/>
    <s v="Mayor que cuando iba todos los días a la oficina"/>
    <s v="Igual que cuando iba todos los días a la oficina"/>
    <s v="Mucho mayor que cuando iba todos los días a la oficina"/>
    <s v="Igual que cuando iba todos los días a la oficina"/>
    <s v="Iguales que cuando iba todos los días a la oficina"/>
    <s v="Menor que cuando iba todos los días a la oficina"/>
    <s v="Mucho Mayor que cuando iba todos los días a la oficina"/>
    <s v="Menor que cuando iba todos los días a la oficina"/>
    <s v="Igual que cuando iba todos los días a la oficina"/>
    <s v="Menor que cuando iba todos los días a la oficina"/>
    <s v="Igual que cuando iba todos los días a la oficina"/>
    <s v="Peor que cuando iba todos los días a la oficina"/>
    <s v="Menor que cuando iba todos los días a la oficina"/>
    <s v="Mucho menor que cuando iba todos los días a la oficina"/>
    <s v="Menor que cuando iba todos los días a la oficina"/>
    <s v="Mayor que cuando iba todos los días a la oficina"/>
    <s v="Mayor que cuando iba todos los días a la oficina"/>
    <s v="Mayores que cuando iba todos los días a la oficina"/>
    <s v="Igual que cuando iba todos los días a la oficina"/>
    <s v="Igual que cuando iba todos los días a la oficina"/>
    <s v="danserrano@gmail.com"/>
    <s v="301+ empleados"/>
    <n v="1"/>
  </r>
  <r>
    <s v="Colombia"/>
    <s v="&lt;35 años"/>
    <s v="Masculino"/>
    <s v="Doctorado"/>
    <s v="11-20 años"/>
    <s v="instructor - Arquitecto de software"/>
    <s v="Profesor asistente"/>
    <s v="&gt;500 empleados."/>
    <s v="Fábrica de Software"/>
    <s v="Nacional (múltiples sedes en el mismo país)"/>
    <s v="Frecuentemente"/>
    <s v="Bajo"/>
    <s v="1-2 días"/>
    <s v="3-4 días"/>
    <s v="Híbrida casa (más días en casa que en la oficina)"/>
    <s v="Consensuada por las dos partes"/>
    <s v="En desacuerdo"/>
    <s v="Igual que cuando iba todos los días a la oficina"/>
    <s v="Igual que cuando iba todos los días a la oficina"/>
    <s v="Menor que cuando iba todos los días a la oficina"/>
    <s v="Muy diferentes que cuando iba todos los días a la oficina, ahora necesito muchas menos horas para hacer lo mismo"/>
    <s v="Casi todas por videoconferencia"/>
    <s v="Mucho menor que cuando eran en la oficina"/>
    <s v="Mucho Mayor que cuando iba todos los días a la oficina"/>
    <s v="Mucho Mayor que cuando iba todos los días a la oficina"/>
    <s v="Mucho Mayor que cuando iba todos los días a la oficina"/>
    <s v="Mucho Mayor que cuando iba todos los días a la oficina"/>
    <x v="0"/>
    <x v="0"/>
    <x v="2"/>
    <s v="Mucho mayor que cuando iba todos los días a la oficina"/>
    <x v="4"/>
    <s v="Menos que cuando iba todos los días a la oficina"/>
    <s v="Menos que cuando iba todos los días a la oficina"/>
    <s v="Menos que cuando iba todos los días a la oficina"/>
    <s v="Mucho menos que cuando iba todos los días a la oficina"/>
    <s v="Menos que cuando iba todos los días a la oficina"/>
    <s v="Menos que cuando iba todos los días a la oficina"/>
    <s v="Menos que cuando iba todos los días a la oficina"/>
    <s v="Menos que cuando iba todos los días a la oficina"/>
    <s v="Menos que cuando iba todos los días a la oficina"/>
    <s v="Iguales que cuando iba todos los días a la oficina"/>
    <s v="Mayor que cuando iba todos los días a la oficina"/>
    <s v="Mayor que cuando iba todos los días a la oficina"/>
    <s v="Menor que cuando iba todos los días a la oficina"/>
    <s v="Mayor que cuando iba todos los días a la oficina"/>
    <s v="Menor que cuando iba todos los días a la oficina"/>
    <s v="Menor que cuando iba todos los días a la oficina"/>
    <s v="Igual que cuando iba todos los días a la oficina"/>
    <s v="Mucho mayor que cuando iba todos los días a la oficina"/>
    <s v="Iguales que cuando iba todos los días a la oficina"/>
    <s v="Mayor que cuando iba todos los días a la oficina"/>
    <s v="Menores que cuando iba todos los días a la oficina"/>
    <s v="Igual que cuando iba todos los días a la oficina"/>
    <s v="Iguales que cuando iba todos los días a la oficina"/>
    <s v="Iguales que cuando iba todos los días a la oficina"/>
    <s v="Menos que cuando iba todos los días a la oficina"/>
    <s v="Igual que cuando iba todos los días a la oficina"/>
    <s v="Mayores que cuando iba todos los días a la oficina"/>
    <s v="Mayor que cuando iba todos los días a la oficina"/>
    <s v="Igual que cuando iba todos los días a la oficina"/>
    <s v="Menos que cuando iba todos los días a la oficina"/>
    <s v="Iguales que cuando iba todos los días a la oficina"/>
    <s v="Igual que cuando iba todos los días a la oficina"/>
    <s v="Mayor que cuando iba todos los días a la oficina"/>
    <s v="Mayor que cuando iba todos los días a la oficina"/>
    <s v="Mucho mayor que cuando iba todos los días a la oficina"/>
    <s v="Mayor que cuando iba todos los días a la oficina"/>
    <s v="Mayor que cuando iba todos los días a la oficina"/>
    <s v="Mayor que cuando iba todos los días a la oficina"/>
    <s v="Mucho Mayor que cuando iba todos los días a la oficina"/>
    <s v="Mucho Mayor que cuando iba todos los días a la oficina"/>
    <s v="Igual que cuando iba todos los días a la oficina"/>
    <s v="Mas que cuando iba todos los días a la oficina"/>
    <s v="Mayores que cuando iba todos los días a la oficina"/>
    <s v="Mayor que cuando iba todos los días a la oficina"/>
    <s v="Mucho Mayor que cuando iba todos los días a la oficina"/>
    <s v="Mayor que cuando iba todos los días a la oficina"/>
    <s v="Menor que cuando iba todos los días a la oficina"/>
    <s v="Mayor que cuando iba todos los días a la oficina"/>
    <s v="Menor que cuando iba todos los días a la oficina"/>
    <s v="Mucho Mejor que cuando iba todos los días a la oficina"/>
    <s v="Mayor que cuando iba todos los días a la oficina"/>
    <s v="Igual que cuando iba todos los días a la oficina"/>
    <s v="Igual que cuando iba todos los días a la oficina"/>
    <s v="Mucho Mayor que cuando iba todos los días a la oficina"/>
    <s v="Igual que cuando iba todos los días a la oficina"/>
    <s v="Iguales que cuando iba todos los días a la oficina"/>
    <s v="Mayor que cuando iba todos los días a la oficina"/>
    <s v="Mayor que cuando iba todos los días a la oficina"/>
    <s v="yamidr@gmail.com"/>
    <s v="301+ empleados"/>
    <n v="0"/>
  </r>
  <r>
    <s v="Colombia"/>
    <s v="&lt;35 años"/>
    <s v="Masculino"/>
    <s v="Maestría"/>
    <s v="11-20 años"/>
    <s v="Soporte"/>
    <s v="Salesforce Admin"/>
    <s v="&gt;500 empleados."/>
    <s v="Empresa que subcontrata (outsourcing) los servicios de otra del mismo país"/>
    <s v="Local"/>
    <s v="A veces"/>
    <s v="Bajo"/>
    <s v="1-2 días"/>
    <s v="3-4 días"/>
    <s v="Híbrida casa (más días en casa que en la oficina)"/>
    <s v="Consensuada por las dos partes"/>
    <s v="De acuerdo"/>
    <s v="Igual que cuando iba todos los días a la oficina"/>
    <s v="Igual que cuando iba todos los días a la oficina"/>
    <s v="Igual que cuando iba todos los días a la oficina"/>
    <s v="Diferentes que cuando iba todos los días a la oficina, ahora necesito menos horas para hacer lo mismo"/>
    <s v="Casi todas por videoconferencia"/>
    <s v="Mayor que cuando eran en la oficina"/>
    <s v="Mayor que cuando iba todos los días a la oficina"/>
    <s v="Mucho Mayor que cuando iba todos los días a la oficina"/>
    <s v="Mayor que cuando iba todos los días a la oficina"/>
    <s v="Mayor que cuando iba todos los días a la oficina"/>
    <x v="2"/>
    <x v="1"/>
    <x v="0"/>
    <s v="Mayor que cuando iba todos los días a la oficina"/>
    <x v="4"/>
    <s v="Menos que cuando iba todos los días a la oficina"/>
    <s v="Más que cuando iba todos los días a la oficina"/>
    <s v="Mucho menos que cuando iba todos los días a la oficina"/>
    <s v="Más que cuando iba todos los días a la oficina"/>
    <s v="Menos que cuando iba todos los días a la oficina"/>
    <s v="Menos que cuando iba todos los días a la oficina"/>
    <s v="Menos que cuando iba todos los días a la oficina"/>
    <s v="Menos que cuando iba todos los días a la oficina"/>
    <s v="Menos que cuando iba todos los días a la oficina"/>
    <s v="Iguales que cuando iba todos los días a la oficina"/>
    <s v="Igual que cuando iba todos los días a la oficina"/>
    <s v="Igual que cuando iba todos los días a la oficina"/>
    <s v="Menor que cuando iba todos los días a la oficina"/>
    <s v="Mayor que cuando iba todos los días a la oficina"/>
    <s v="Menor que cuando iba todos los días a la oficina"/>
    <s v="Menor que cuando iba todos los días a la oficina"/>
    <s v="Menor que cuando iba todos los días a la oficina"/>
    <s v="Mayor que cuando iba todos los días a la oficina"/>
    <s v="Menores que cuando iba todos los días a la oficina"/>
    <s v="Mayor que cuando iba todos los días a la oficina"/>
    <s v="Mucho menores que cuando iba todos los días a la oficina"/>
    <s v="Mayor que cuando iba todos los días a la oficina"/>
    <s v="Menores que cuando iba todos los días a la oficina"/>
    <s v="Mucho menores que cuando iba todos los días a la oficina"/>
    <s v="Mucho menos que cuando iba todos los días a la oficina"/>
    <s v="Mayor que cuando iba todos los días a la oficina"/>
    <s v="Menores que cuando iba todos los días a la oficina"/>
    <s v="Mayor que cuando iba todos los días a la oficina"/>
    <s v="Menor que cuando iba todos los días a la oficina"/>
    <s v="Menos que cuando iba todos los días a la oficina"/>
    <s v="Menores que cuando iba todos los días a la oficina"/>
    <s v="Igual que cuando iba todos los días a la oficina"/>
    <s v="Mayor que cuando iba todos los días a la oficina"/>
    <s v="Mayor que cuando iba todos los días a la oficina"/>
    <s v="Mayor que cuando iba todos los días a la oficina"/>
    <s v="Mayor que cuando iba todos los días a la oficina"/>
    <s v="Mayor que cuando iba todos los días a la oficina"/>
    <s v="Mayor que cuando iba todos los días a la oficina"/>
    <s v="Mayor que cuando iba todos los días a la oficina"/>
    <s v="Mayor que cuando iba todos los días a la oficina"/>
    <s v="Igual que cuando iba todos los días a la oficina"/>
    <s v="Igual que cuando iba todos los días a la oficina"/>
    <s v="Mayores que cuando iba todos los días a la oficina"/>
    <s v="Igual que cuando iba todos los días a la oficina"/>
    <s v="Mayor que cuando iba todos los días a la oficina"/>
    <s v="Igual que cuando iba todos los días a la oficina"/>
    <s v="Menor que cuando iba todos los días a la oficina"/>
    <s v="Mayor que cuando iba todos los días a la oficina"/>
    <s v="Menor que cuando iba todos los días a la oficina"/>
    <s v="Igual que cuando iba todos los días a la oficina"/>
    <s v="Igual que cuando iba todos los días a la oficina"/>
    <s v="Igual que cuando iba todos los días a la oficina"/>
    <s v="Mayor que cuando iba todos los días a la oficina"/>
    <s v="Mayor que cuando iba todos los días a la oficina"/>
    <s v="Menor que cuando iba todos los días a la oficina"/>
    <s v="Menores que cuando iba todos los días a la oficina"/>
    <s v="Mayor que cuando iba todos los días a la oficina"/>
    <s v="Mayor que cuando iba todos los días a la oficina"/>
    <m/>
    <s v="301+ empleados"/>
    <n v="0"/>
  </r>
  <r>
    <s v="España"/>
    <s v="&lt;35 años"/>
    <s v="Masculino"/>
    <s v="Superiores"/>
    <s v="21-30 años"/>
    <s v="Analísta de sistemas"/>
    <s v="Analista de sistemas"/>
    <s v="&gt;500 empleados."/>
    <s v="Empresa que desarrolla software a medida partiendo desde cero"/>
    <s v="Local"/>
    <s v="Casi Nunca"/>
    <s v="Bajo"/>
    <s v="1-2 días"/>
    <s v="3-4 días"/>
    <s v="Híbrida casa (más días en casa que en la oficina)"/>
    <s v="Consensuada por las dos partes"/>
    <s v="Totalmente de acuerdo"/>
    <s v="Igual que cuando iba todos los días a la oficina"/>
    <s v="Igual que cuando iba todos los días a la oficina"/>
    <s v="Menor que cuando iba todos los días a la oficina"/>
    <s v="Iguales que cuando iba todos los días a la oficina"/>
    <s v="La mayoría presenciales"/>
    <s v="Igual que cuando eran en la oficina"/>
    <s v="Igual que cuando iba todos los días a la oficina"/>
    <s v="Igual que cuando iba todos los días a la oficina"/>
    <s v="Igual que cuando iba todos los días a la oficina"/>
    <s v="Mayor que cuando iba todos los días a la oficina"/>
    <x v="4"/>
    <x v="3"/>
    <x v="0"/>
    <s v="Igual que cuando iba todos los días a la oficina"/>
    <x v="3"/>
    <s v="No tengo la información para contestar a la pregunta"/>
    <s v="No trabajo con personas de distintas culturas"/>
    <s v="No trabajo con personas con un horario distinto al mío"/>
    <s v="No trabajo  con personas que se encuentran geográficamente distribuidas"/>
    <s v="Igual que cuando iba todos los días a la oficina"/>
    <s v="Igual que cuando iba todos los días a la oficina"/>
    <s v="Mas que cuando iba todos los días a la oficina"/>
    <s v="Igual que cuando iba todos los días a la oficina"/>
    <s v="Igual que cuando iba todos los días a la oficina"/>
    <s v="Iguales que cuando iba todos los días a la oficina"/>
    <s v="Igual que cuando iba todos los días a la oficina"/>
    <s v="Igual que cuando iba todos los días a la oficina"/>
    <s v="Menor que cuando iba todos los días a la oficina"/>
    <s v="Igual que cuando iba todos los días a la oficina"/>
    <s v="Menor que cuando iba todos los días a la oficina"/>
    <s v="Menor que cuando iba todos los días a la oficina"/>
    <s v="Menor que cuando iba todos los días a la oficina"/>
    <s v="Mayor que cuando iba todos los días a la oficina"/>
    <s v="Iguales que cuando iba todos los días a la oficina"/>
    <s v="Igual que cuando iba todos los días a la oficina"/>
    <s v="No hay diferencias culturales en mi equipo"/>
    <s v="Mayor que cuando iba todos los días a la oficina"/>
    <s v="Iguales que cuando iba todos los días a la oficina"/>
    <s v="No tengo que utilizar diferentes idiomas en mi trabajo"/>
    <s v="No trabajo con personas con distintos horarios"/>
    <s v="Igual que cuando iba todos los días a la oficina"/>
    <s v="Menores que cuando iba todos los días a la oficina"/>
    <s v="Mayor que cuando iba todos los días a la oficina"/>
    <s v="Igual que cuando iba todos los días a la oficina"/>
    <s v="No tengo la información para contestar a la pregunta"/>
    <s v="Iguales que cuando iba todos los días a la oficina"/>
    <s v="Igual que cuando iba todos los días a la oficina"/>
    <s v="Igual que cuando iba todos los días a la oficina"/>
    <s v="Mayor que cuando iba todos los días a la oficina"/>
    <s v="Mayor que cuando iba todos los días a la oficina"/>
    <s v="Igual que cuando iba todos los días a la oficina"/>
    <s v="Igual que cuando iba todos los días a la oficina"/>
    <s v="Igual que cuando iba todos los días a la oficina"/>
    <s v="Mayor que cuando iba todos los días a la oficina"/>
    <s v="Igual que cuando iba todos los días a la oficina"/>
    <s v="Igual que cuando iba todos los días a la oficina"/>
    <s v="Igual que cuando iba todos los días a la oficina"/>
    <s v="Iguales que cuando iba todos los días a la oficina"/>
    <s v="Igual que cuando iba todos los días a la oficina"/>
    <s v="Mayor que cuando iba todos los días a la oficina"/>
    <s v="Menor que cuando iba todos los días a la oficina"/>
    <s v="Igual que cuando iba todos los días a la oficina"/>
    <s v="Menor que cuando iba todos los días a la oficina"/>
    <s v="Igual que cuando iba todos los días a la oficina"/>
    <s v="Mejor que cuando iba todos los días a la oficina"/>
    <s v="Igual que cuando iba todos los días a la oficina"/>
    <s v="Menor que cuando iba todos los días a la oficina"/>
    <s v="Igual que cuando iba todos los días a la oficina"/>
    <s v="Mayor que cuando iba todos los días a la oficina"/>
    <s v="Menor que cuando iba todos los días a la oficina"/>
    <s v="Iguales que cuando iba todos los días a la oficina"/>
    <s v="Igual que cuando iba todos los días a la oficina"/>
    <s v="Igual que cuando iba todos los días a la oficina"/>
    <m/>
    <s v="301+ empleados"/>
    <n v="0"/>
  </r>
  <r>
    <s v="España"/>
    <s v="&lt;35 años"/>
    <s v="Masculino"/>
    <s v="FP"/>
    <s v="11-20 años"/>
    <s v="Analista programador "/>
    <s v="Analista programador "/>
    <s v="&gt;500 empleados."/>
    <s v="Fábrica de Software"/>
    <s v="Multinacional"/>
    <s v="Casi Nunca"/>
    <s v="Bajo"/>
    <s v="1-2 días"/>
    <s v="3-4 días"/>
    <s v="Híbrida casa (más días en casa que en la oficina)"/>
    <s v="Impuesta por la empresa"/>
    <s v="De acuerdo"/>
    <s v="Igual que cuando iba todos los días a la oficina"/>
    <s v="Igual que cuando iba todos los días a la oficina"/>
    <s v="Igual que cuando iba todos los días a la oficina"/>
    <s v="Iguales que cuando iba todos los días a la oficina"/>
    <s v="Casi todas por videoconferencia"/>
    <s v="Mucho menor que cuando eran en la oficina"/>
    <s v="Igual que cuando iba todos los días a la oficina"/>
    <s v="Igual que cuando iba todos los días a la oficina"/>
    <s v="Igual que cuando iba todos los días a la oficina"/>
    <s v="Igual que cuando iba todos los días a la oficina"/>
    <x v="1"/>
    <x v="2"/>
    <x v="0"/>
    <s v="Igual que cuando iba todos los días a la oficina"/>
    <x v="2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es que cuando iba todos los días a la oficina"/>
    <s v="Igual que cuando iba todos los días a la oficina"/>
    <s v="Igual que cuando iba todos los días a la oficina"/>
    <s v="Menor que cuando iba todos los días a la oficina"/>
    <s v="Igual que cuando iba todos los días a la oficina"/>
    <s v="Mucho menor que cuando iba todos los días a la oficina"/>
    <s v="Menor que cuando iba todos los días a la oficina"/>
    <s v="Igual que cuando iba todos los días a la oficina"/>
    <s v="Mayor que cuando iba todos los días a la oficina"/>
    <s v="Iguales que cuando iba todos los días a la oficina"/>
    <s v="Igual que cuando iba todos los días a la oficina"/>
    <s v="Iguales que cuando iba todos los días a la oficina"/>
    <s v="Igual que cuando iba todos los días a la oficina"/>
    <s v="Iguales que cuando iba todos los días a la oficina"/>
    <s v="Iguales que cuando iba todos los días a la oficina"/>
    <s v="Igual que cuando iba todos los días a la oficina"/>
    <s v="Menor que cuando iba todos los días a la oficina"/>
    <s v="Menores que cuando iba todos los días a la oficina"/>
    <s v="Mayor que cuando iba todos los días a la oficina"/>
    <s v="Igual que cuando iba todos los días a la oficina"/>
    <s v="Igual que cuando iba todos los días a la oficina"/>
    <s v="Iguales que cuando iba todos los días a la oficina"/>
    <s v="Igual que cuando iba todos los días a la oficina"/>
    <s v="Mayor que cuando iba todos los días a la oficina"/>
    <s v="Igual que cuando iba todos los días a la oficina"/>
    <s v="Mucho mayor que cuando iba todos los días a la oficina"/>
    <s v="Igual que cuando iba todos los días a la oficina"/>
    <s v="Igual que cuando iba todos los días a la oficina"/>
    <s v="Igual que cuando iba todos los días a la oficina"/>
    <s v="Mayor que cuando iba todos los días a la oficina"/>
    <s v="Igual que cuando iba todos los días a la oficina"/>
    <s v="Igual que cuando iba todos los días a la oficina"/>
    <s v="Igual que cuando iba todos los días a la oficina"/>
    <s v="Iguales que cuando iba todos los días a la oficina"/>
    <s v="Igual que cuando iba todos los días a la oficina"/>
    <s v="Mucho Mayor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Menor que cuando iba todos los días a la oficina"/>
    <s v="Igual que cuando iba todos los días a la oficina"/>
    <s v="Igual que cuando iba todos los días a la oficina"/>
    <s v="Menor que cuando iba todos los días a la oficina"/>
    <s v="Iguales que cuando iba todos los días a la oficina"/>
    <s v="Igual que cuando iba todos los días a la oficina"/>
    <s v="Igual que cuando iba todos los días a la oficina"/>
    <m/>
    <s v="301+ empleados"/>
    <n v="0"/>
  </r>
  <r>
    <s v="España"/>
    <s v="&lt;35 años"/>
    <s v="Femenino"/>
    <s v="Grado y máster"/>
    <s v="5-10 años"/>
    <s v="Analyst"/>
    <s v="Technical lead"/>
    <s v="&gt;500 empleados."/>
    <s v="Empresa que desarrolla software a medida partiendo desde cero"/>
    <s v="Multinacional"/>
    <s v="Muy Frecuentemente"/>
    <s v="Bajo"/>
    <s v="1-2 días"/>
    <s v="3-4 días"/>
    <s v="Híbrida casa (más días en casa que en la oficina)"/>
    <s v="Impuesta por la empresa"/>
    <s v="De acuerdo"/>
    <s v="Menor que cuando iba todos los días a la oficina"/>
    <s v="Menor que cuando iba todos los días a la oficina"/>
    <s v="Menor que cuando iba todos los días a la oficina"/>
    <s v="Iguales que cuando iba todos los días a la oficina"/>
    <s v="Casi todas por videoconferencia"/>
    <s v="Mucho menor que cuando eran en la oficina"/>
    <s v="Mayor que cuando iba todos los días a la oficina"/>
    <s v="Mayor que cuando iba todos los días a la oficina"/>
    <s v="Igual que cuando iba todos los días a la oficina"/>
    <s v="Mayor que cuando iba todos los días a la oficina"/>
    <x v="1"/>
    <x v="1"/>
    <x v="2"/>
    <s v="Menor que cuando iba todos los días a la oficina"/>
    <x v="1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Menos que cuando iba todos los días a la oficina"/>
    <s v="Menos que cuando iba todos los días a la oficina"/>
    <s v="Igual que cuando iba todos los días a la oficina"/>
    <s v="Mayores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Menor que cuando iba todos los días a la oficina"/>
    <s v="Menor que cuando iba todos los días a la oficina"/>
    <s v="Igual que cuando iba todos los días a la oficina"/>
    <s v="Mayor que cuando iba todos los días a la oficina"/>
    <s v="Iguales que cuando iba todos los días a la oficina"/>
    <s v="Igual que cuando iba todos los días a la oficina"/>
    <s v="Iguales que cuando iba todos los días a la oficina"/>
    <s v="Menor que cuando iba todos los días a la oficina"/>
    <s v="Mayores que cuando iba todos los días a la oficina"/>
    <s v="Iguales que cuando iba todos los días a la oficina"/>
    <s v="Igual que cuando iba todos los días a la oficina"/>
    <s v="Menor que cuando iba todos los días a la oficina"/>
    <s v="Mucho menores que cuando iba todos los días a la oficina"/>
    <s v="Mayor que cuando iba todos los días a la oficina"/>
    <s v="Igual que cuando iba todos los días a la oficina"/>
    <s v="Igual que cuando iba todos los días a la oficina"/>
    <s v="Iguales que cuando iba todos los días a la oficina"/>
    <s v="Igual que cuando iba todos los días a la oficina"/>
    <s v="Menor que cuando iba todos los días a la oficina"/>
    <s v="Mayor que cuando iba todos los días a la oficina"/>
    <s v="Mayor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es que cuando iba todos los días a la oficina"/>
    <s v="Mayor que cuando iba todos los días a la oficina"/>
    <s v="Mucho Mayor que cuando iba todos los días a la oficina"/>
    <s v="Menor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Mucho menor que cuando iba todos los días a la oficina"/>
    <s v="Menor que cuando iba todos los días a la oficina"/>
    <s v="Mucho Mayor que cuando iba todos los días a la oficina"/>
    <s v="Mucho menor que cuando iba todos los días a la oficina"/>
    <s v="Iguales que cuando iba todos los días a la oficina"/>
    <s v="Igual que cuando iba todos los días a la oficina"/>
    <s v="Mayor que cuando iba todos los días a la oficina"/>
    <s v="Cris.ie91@gmail.com"/>
    <s v="301+ empleados"/>
    <n v="1"/>
  </r>
  <r>
    <s v="España"/>
    <s v="&lt;35 años"/>
    <s v="Masculino"/>
    <s v="Doctor"/>
    <s v="11-20 años"/>
    <s v="Consultor"/>
    <s v="Consultor"/>
    <s v="&lt;50 empleados"/>
    <s v="Empresa que subcontrata (outsourcing) los servicios de otra del mismo país"/>
    <s v="Local"/>
    <s v="Casi Nunca"/>
    <s v="Bajo"/>
    <s v="1-2 días"/>
    <s v="3-4 días"/>
    <s v="Híbrida oficina (más días en la oficina que en casa)"/>
    <s v="Decidida por ti"/>
    <s v="En desacuerdo"/>
    <s v="Menor que cuando iba todos los días a la oficina"/>
    <s v="Menor que cuando iba todos los días a la oficina"/>
    <s v="Igual que cuando iba todos los días a la oficina"/>
    <s v="Iguales que cuando iba todos los días a la oficina"/>
    <s v="Todas por videoconferencia"/>
    <s v="Igual que cuando eran en la oficina"/>
    <s v="Menor cuando iba todos los días a la oficina"/>
    <s v="Menor que cuando iba todos los días a la oficina"/>
    <s v="Igual que cuando iba todos los días a la oficina"/>
    <s v="Menor que cuando iba todos los días a la oficina"/>
    <x v="4"/>
    <x v="3"/>
    <x v="1"/>
    <s v="Igual que cuando iba todos los días a la oficina"/>
    <x v="1"/>
    <s v="Mucho más que cuando iba todos los días a la oficina"/>
    <s v="Más que cuando iba todos los días a la oficina"/>
    <s v="Igual que cuando iba todos los días a la oficina"/>
    <s v="Igual que cuando iba todos los días a la oficina"/>
    <s v="Más que cuando iba todos los días a la oficina"/>
    <s v="Mas que cuando iba todos los días a la oficina"/>
    <s v="Mucho más que cuando iba todos los días a la oficina"/>
    <s v="Mas que cuando iba todos los días a la oficina"/>
    <s v="Igual que cuando iba todos los días a la oficina"/>
    <s v="Iguales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Mayor que cuando iba todos los días a la oficina"/>
    <s v="Igual que cuando iba todos los días a la oficina"/>
    <s v="Igual que cuando iba todos los días a la oficina"/>
    <s v="Igual que cuando iba todos los días a la oficina"/>
    <s v="Mucho mayores que cuando iba todos los días a la oficina"/>
    <s v="Mayor que cuando iba todos los días a la oficina"/>
    <s v="Iguales que cuando iba todos los días a la oficina"/>
    <s v="Igual que cuando iba todos los días a la oficina"/>
    <s v="Mayores que cuando iba todos los días a la oficina"/>
    <s v="Iguales que cuando iba todos los días a la oficina"/>
    <s v="Igual que cuando iba todos los días a la oficina"/>
    <s v="Igual que cuando iba todos los días a la oficina"/>
    <s v="Mayores que cuando iba todos los días a la oficina"/>
    <s v="Igual que cuando iba todos los días a la oficina"/>
    <s v="Igual que cuando iba todos los días a la oficina"/>
    <s v="Igual que cuando iba todos los días a la oficina"/>
    <s v="Iguales que cuando iba todos los días a la oficina"/>
    <s v="Peor que cuando iba todos los días a la oficina"/>
    <s v="Igual que cuando iba todos los días a la oficina"/>
    <s v="Igual que cuando iba todos los días a la oficina"/>
    <s v="Menor que cuando iba todos los días a la oficina"/>
    <s v="Menor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Mayor que cuando iba todos los días a la oficina"/>
    <s v="Igual que cuando iba todos los días a la oficina"/>
    <s v="Iguales que cuando iba todos los días a la oficina"/>
    <s v="Igual que cuando iba todos los días a la oficina"/>
    <s v="Igual que cuando iba todos los días a la oficina"/>
    <s v="Igual que cuando iba todos los días a la oficina"/>
    <s v="Menor que cuando iba todos los días a la oficina"/>
    <s v="Menor que cuando iba todos los días a la oficina"/>
    <s v="Menor que cuando iba todos los días a la oficina"/>
    <s v="Igual que cuando iba todos los días a la oficina"/>
    <s v="Igual que cuando iba todos los días a la oficina"/>
    <s v="Menor que cuando iba todos los días a la oficina"/>
    <s v="Menor que cuando iba todos los días a la oficina"/>
    <s v="Igual que cuando iba todos los días a la oficina"/>
    <s v="Menor que cuando iba todos los días a la oficina"/>
    <s v="Mayores que cuando iba todos los días a la oficina"/>
    <s v="Igual que cuando iba todos los días a la oficina"/>
    <s v="Igual que cuando iba todos los días a la oficina"/>
    <m/>
    <s v="&lt;301 empleados"/>
    <n v="0"/>
  </r>
  <r>
    <s v="España"/>
    <s v="&lt;35 años"/>
    <s v="Masculino"/>
    <s v="Grado superior "/>
    <s v="5-10 años"/>
    <s v="Desarrollador "/>
    <s v="Desarrollador"/>
    <s v="&gt;500 empleados."/>
    <s v="Empresa que desarrolla software a medida partiendo desde cero"/>
    <s v="Multinacional"/>
    <s v="Muy Frecuentemente"/>
    <s v="Bajo"/>
    <s v="1-2 días"/>
    <s v="4-5 días"/>
    <s v="Híbrida casa (más días en casa que en la oficina)"/>
    <s v="Impuesta por la empresa"/>
    <s v="Totalmente de acuerdo"/>
    <s v="Igual que cuando iba todos los días a la oficina"/>
    <s v="Igual que cuando iba todos los días a la oficina"/>
    <s v="Igual que cuando iba todos los días a la oficina"/>
    <s v="Muy diferentes que cuando iba todos los días a la oficina, ahora necesito muchas menos horas para hacer lo mismo"/>
    <s v="Todas por videoconferencia"/>
    <s v="Mucho menor que cuando eran en la oficina"/>
    <s v="Igual que cuando iba todos los días a la oficina"/>
    <s v="Menor que cuando iba todos los días a la oficina"/>
    <s v="Menor que cuando iba todos los días a la oficina"/>
    <s v="Igual que cuando iba todos los días a la oficina"/>
    <x v="1"/>
    <x v="1"/>
    <x v="0"/>
    <s v="Mayor que cuando iba todos los días a la oficina"/>
    <x v="2"/>
    <s v="Igual que cuando iba todos los días a la oficina"/>
    <s v="Igual que cuando iba todos los días a la oficina"/>
    <s v="Más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es que cuando iba todos los días a la oficina"/>
    <s v="Igual que cuando iba todos los días a la oficina"/>
    <s v="Igual que cuando iba todos los días a la oficina"/>
    <s v="Mucho menor que cuando iba todos los días a la oficina"/>
    <s v="Igual que cuando iba todos los días a la oficina"/>
    <s v="Menor que cuando iba todos los días a la oficina"/>
    <s v="Mucho menor que cuando iba todos los días a la oficina"/>
    <s v="Menor que cuando iba todos los días a la oficina"/>
    <s v="Mucho mayor que cuando iba todos los días a la oficina"/>
    <s v="Iguales que cuando iba todos los días a la oficina"/>
    <s v="Igual que cuando iba todos los días a la oficina"/>
    <s v="Iguales que cuando iba todos los días a la oficina"/>
    <s v="Igual que cuando iba todos los días a la oficina"/>
    <s v="Iguales que cuando iba todos los días a la oficina"/>
    <s v="Mucho menores que cuando iba todos los días a la oficina"/>
    <s v="Igual que cuando iba todos los días a la oficina"/>
    <s v="Igual que cuando iba todos los días a la oficina"/>
    <s v="Mucho menores que cuando iba todos los días a la oficina"/>
    <s v="Mayor que cuando iba todos los días a la oficina"/>
    <s v="Igual que cuando iba todos los días a la oficina"/>
    <s v="Igual que cuando iba todos los días a la oficina"/>
    <s v="Iguales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Mayor que cuando iba todos los días a la oficina"/>
    <s v="Mucho Mayor que cuando iba todos los días a la oficina"/>
    <s v="Mayor que cuando iba todos los días a la oficina"/>
    <s v="Mayor que cuando iba todos los días a la oficina"/>
    <s v="Igual que cuando iba todos los días a la oficina"/>
    <s v="Igual que cuando iba todos los días a la oficina"/>
    <s v="Igual que cuando iba todos los días a la oficina"/>
    <s v="Mucho menores que cuando iba todos los días a la oficina"/>
    <s v="Igual que cuando iba todos los días a la oficina"/>
    <s v="Mucho Mayor que cuando iba todos los días a la oficina"/>
    <s v="Igual que cuando iba todos los días a la oficina"/>
    <s v="Mucho menor que cuando iba todos los días a la oficina"/>
    <s v="Igual que cuando iba todos los días a la oficina"/>
    <s v="Mayor que cuando iba todos los días a la oficina"/>
    <s v="Igual que cuando iba todos los días a la oficina"/>
    <s v="Mayor que cuando iba todos los días a la oficina"/>
    <s v="Menor que cuando iba todos los días a la oficina"/>
    <s v="Igual que cuando iba todos los días a la oficina"/>
    <s v="Mayor que cuando iba todos los días a la oficina"/>
    <s v="Menor que cuando iba todos los días a la oficina"/>
    <s v="Menores que cuando iba todos los días a la oficina"/>
    <s v="Menor que cuando iba todos los días a la oficina"/>
    <s v="Mayor que cuando iba todos los días a la oficina"/>
    <s v="hectorg1304@gmail.com"/>
    <s v="301+ empleados"/>
    <n v="0"/>
  </r>
  <r>
    <s v="España"/>
    <s v="&lt;35 años"/>
    <s v="Femenino"/>
    <s v="Universitarios"/>
    <s v="11-20 años"/>
    <s v="Desarrollador de software"/>
    <s v="Técnico responsable"/>
    <s v="&gt;500 empleados."/>
    <s v="Empresa que desarrolla software a medida partiendo desde cero"/>
    <s v="Local"/>
    <s v="Nunca"/>
    <s v="Bajo"/>
    <s v="1-2 días"/>
    <s v="3-4 días"/>
    <s v="Híbrida casa (más días en casa que en la oficina)"/>
    <s v="Impuesta por la empresa"/>
    <s v="En desacuerdo"/>
    <s v="Igual que cuando iba todos los días a la oficina"/>
    <s v="Igual que cuando iba todos los días a la oficina"/>
    <s v="Igual que cuando iba todos los días a la oficina"/>
    <s v="Diferentes que cuando iba todos los días a la oficina, ahora necesito menos horas para hacer lo mismo"/>
    <s v="La mayoría presenciales"/>
    <s v="Igual que cuando eran en la oficina"/>
    <s v="Mayor que cuando iba todos los días a la oficina"/>
    <s v="Mayor que cuando iba todos los días a la oficina"/>
    <s v="Igual que cuando iba todos los días a la oficina"/>
    <s v="Mayor que cuando iba todos los días a la oficina"/>
    <x v="1"/>
    <x v="2"/>
    <x v="0"/>
    <s v="Mayor que cuando iba todos los días a la oficina"/>
    <x v="2"/>
    <s v="Igual que cuando iba todos los días a la oficina"/>
    <s v="No trabajo con personas de distintas culturas"/>
    <s v="Igual que cuando iba todos los días a la oficina"/>
    <s v="No trabajo  con personas que se encuentran geográficamente distribuidas"/>
    <s v="Igual que cuando iba todos los días a la oficina"/>
    <s v="Igual que cuando iba todos los días a la oficina"/>
    <s v="Igual que cuando iba todos los días a la oficina"/>
    <s v="Igual que cuando iba todos los días a la oficina"/>
    <s v="Mas que cuando iba todos los días a la oficina"/>
    <s v="Mayores que cuando iba todos los días a la oficina"/>
    <s v="Mayor que cuando iba todos los días a la oficina"/>
    <s v="Mayor que cuando iba todos los días a la oficina"/>
    <s v="Menor que cuando iba todos los días a la oficina"/>
    <s v="Igual que cuando iba todos los días a la oficina"/>
    <s v="Menor que cuando iba todos los días a la oficina"/>
    <s v="Igual que cuando iba todos los días a la oficina"/>
    <s v="Igual que cuando iba todos los días a la oficina"/>
    <s v="Mucho mayor que cuando iba todos los días a la oficina"/>
    <s v="Mayores que cuando iba todos los días a la oficina"/>
    <s v="Mayor que cuando iba todos los días a la oficina"/>
    <s v="No hay diferencias culturales en mi equipo"/>
    <s v="Mucho mayor que cuando iba todos los días a la oficina"/>
    <s v="Mayores que cuando iba todos los días a la oficina"/>
    <s v="No tengo que utilizar diferentes idiomas en mi trabajo"/>
    <s v="Igual que cuando iba todos los días a la oficina"/>
    <s v="Menor que cuando iba todos los días a la oficina"/>
    <s v="Mucho menores que cuando iba todos los días a la oficina"/>
    <s v="Mucho mayor que cuando iba todos los días a la oficina"/>
    <s v="Igual que cuando iba todos los días a la oficina"/>
    <s v="Más que cuando iba todos los días a la oficina"/>
    <s v="Menores que cuando iba todos los días a la oficina"/>
    <s v="Mejor que cuando iba todos los días a la oficina"/>
    <s v="Mayor que cuando iba todos los días a la oficina"/>
    <s v="Mucho Mayor que cuando iba todos los días a la oficina"/>
    <s v="Mucho mayor que cuando iba todos los días a la oficina"/>
    <s v="Igual que cuando iba todos los días a la oficina"/>
    <s v="Igual que cuando iba todos los días a la oficina"/>
    <s v="Igual que cuando iba todos los días a la oficina"/>
    <s v="Menor que cuando iba todos los días a la oficina"/>
    <s v="Mayor que cuando iba todos los días a la oficina"/>
    <s v="Igual que cuando iba todos los días a la oficina"/>
    <s v="Mas que cuando iba todos los días a la oficina"/>
    <s v="Iguales que cuando iba todos los días a la oficina"/>
    <s v="Mayor que cuando iba todos los días a la oficina"/>
    <s v="Mayor que cuando iba todos los días a la oficina"/>
    <s v="Mayor que cuando iba todos los días a la oficina"/>
    <s v="Menor que cuando iba todos los días a la oficina"/>
    <s v="Menor que cuando iba todos los días a la oficina"/>
    <s v="Igual que cuando iba todos los días a la oficina"/>
    <s v="Peor que cuando iba todos los días a la oficina"/>
    <s v="Igual que cuando iba todos los días a la oficina"/>
    <s v="Menor que cuando iba todos los días a la oficina"/>
    <s v="Igual que cuando iba todos los días a la oficina"/>
    <s v="Mayor que cuando iba todos los días a la oficina"/>
    <s v="Igual que cuando iba todos los días a la oficina"/>
    <s v="Iguales que cuando iba todos los días a la oficina"/>
    <s v="Igual que cuando iba todos los días a la oficina"/>
    <s v="Igual que cuando iba todos los días a la oficina"/>
    <m/>
    <s v="301+ empleados"/>
    <n v="0"/>
  </r>
  <r>
    <s v="España"/>
    <s v="&lt;35 años"/>
    <s v="Masculino"/>
    <s v="Universitarios sin finalizar"/>
    <s v="&lt;5 años"/>
    <s v="Desarrollador Junior"/>
    <s v="Desarrollador Junior"/>
    <s v="&lt;50 empleados"/>
    <s v="Empresa que desarrolla software a medida partiendo desde cero"/>
    <s v="Nacional (múltiples sedes en el mismo país)"/>
    <s v="Casi Nunca"/>
    <s v="Bajo"/>
    <s v="1-2 días"/>
    <s v="3-4 días"/>
    <s v="Híbrida oficina (más días en la oficina que en casa)"/>
    <s v="Consensuada por las dos partes"/>
    <s v="En desacuerdo"/>
    <s v="Menor que cuando iba todos los días a la oficina"/>
    <s v="Igual que cuando iba todos los días a la oficina"/>
    <s v="Igual que cuando iba todos los días a la oficina"/>
    <s v="Iguales que cuando iba todos los días a la oficina"/>
    <s v="La Mitad por videoconferencia y la mitad presencial"/>
    <s v="Menor que cuando eran en la oficina"/>
    <s v="Menor cuando iba todos los días a la oficina"/>
    <s v="Igual que cuando iba todos los días a la oficina"/>
    <s v="Igual que cuando iba todos los días a la oficina"/>
    <s v="Igual que cuando iba todos los días a la oficina"/>
    <x v="0"/>
    <x v="1"/>
    <x v="1"/>
    <s v="Igual que cuando iba todos los días a la oficina"/>
    <x v="2"/>
    <s v="Más que cuando iba todos los días a la oficina"/>
    <s v="Igual que cuando iba todos los días a la oficina"/>
    <s v="No trabajo con personas con un horario distinto al mío"/>
    <s v="Igual que cuando iba todos los días a la oficina"/>
    <s v="Más que cuando iba todos los días a la oficina"/>
    <s v="Igual que cuando iba todos los días a la oficina"/>
    <s v="Menos que cuando iba todos los días a la oficina"/>
    <s v="Igual que cuando iba todos los días a la oficina"/>
    <s v="Mas que cuando iba todos los días a la oficina"/>
    <s v="Iguales que cuando iba todos los días a la oficina"/>
    <s v="Igual que cuando iba todos los días a la oficina"/>
    <s v="Mayor que cuando iba todos los días a la oficina"/>
    <s v="Menor que cuando iba todos los días a la oficina"/>
    <s v="Igual que cuando iba todos los días a la oficina"/>
    <s v="No tengo la información para contestar a la pregunta"/>
    <s v="Menor que cuando iba todos los días a la oficina"/>
    <s v="Mayor que cuando iba todos los días a la oficina"/>
    <s v="Igual que cuando iba todos los días a la oficina"/>
    <s v="Mayores que cuando iba todos los días a la oficina"/>
    <s v="Igual que cuando iba todos los días a la oficina"/>
    <s v="No hay diferencias culturales en mi equipo"/>
    <s v="Igual que cuando iba todos los días a la oficina"/>
    <s v="Mayores que cuando iba todos los días a la oficina"/>
    <s v="Iguales que cuando iba todos los días a la oficina"/>
    <s v="No trabajo con personas con distintos horarios"/>
    <s v="Igual que cuando iba todos los días a la oficina"/>
    <s v="Mayores que cuando iba todos los días a la oficina"/>
    <s v="Mucho mayor que cuando iba todos los días a la oficina"/>
    <s v="Igual que cuando iba todos los días a la oficina"/>
    <s v="Igual que cuando iba todos los días a la oficina"/>
    <s v="Iguales que cuando iba todos los días a la oficina"/>
    <s v="Igual que cuando iba todos los días a la oficina"/>
    <s v="Igual que cuando iba todos los días a la oficina"/>
    <s v="Menor que cuando iba todos los días a la oficina"/>
    <s v="Mayor que cuando iba todos los días a la oficina"/>
    <s v="Mayor que cuando iba todos los días a la oficina"/>
    <s v="Mayor que cuando iba todos los días a la oficina"/>
    <s v="Igual que cuando iba todos los días a la oficina"/>
    <s v="Igual que cuando iba todos los días a la oficina"/>
    <s v="Mayor que cuando iba todos los días a la oficina"/>
    <s v="Igual que cuando iba todos los días a la oficina"/>
    <s v="Igual que cuando iba todos los días a la oficina"/>
    <s v="Mayores que cuando iba todos los días a la oficina"/>
    <s v="Igual que cuando iba todos los días a la oficina"/>
    <s v="Mayor que cuando iba todos los días a la oficina"/>
    <s v="Igual que cuando iba todos los días a la oficina"/>
    <s v="Menor que cuando iba todos los días a la oficina"/>
    <s v="Igual que cuando iba todos los días a la oficina"/>
    <s v="Mayor que cuando iba todos los días a la oficina"/>
    <s v="Igual que cuando iba todos los días a la oficina"/>
    <s v="Igual que cuando iba todos los días a la oficina"/>
    <s v="Menor que cuando iba todos los días a la oficina"/>
    <s v="Igual que cuando iba todos los días a la oficina"/>
    <s v="Menor que cuando iba todos los días a la oficina"/>
    <s v="Menor que cuando iba todos los días a la oficina"/>
    <s v="Menores que cuando iba todos los días a la oficina"/>
    <s v="Igual que cuando iba todos los días a la oficina"/>
    <s v="Igual que cuando iba todos los días a la oficina"/>
    <m/>
    <s v="&lt;301 empleados"/>
    <n v="0"/>
  </r>
  <r>
    <s v="España"/>
    <s v="&lt;35 años"/>
    <s v="Masculino"/>
    <s v="Ingeniero"/>
    <s v="&lt;5 años"/>
    <s v="Desarrollador software "/>
    <s v="Desarrollador software "/>
    <s v="&gt;500 empleados."/>
    <s v="Empresa que subcontrata (outsourcing) los servicios de otra del mismo país"/>
    <s v="Multinacional"/>
    <s v="Frecuentemente"/>
    <s v="Bajo"/>
    <s v="1-2 días"/>
    <s v="3-4 días"/>
    <s v="Híbrida casa (más días en casa que en la oficina)"/>
    <s v="Impuesta por la empresa"/>
    <s v="En desacuerdo"/>
    <s v="Igual que cuando iba todos los días a la oficina"/>
    <s v="Igual que cuando iba todos los días a la oficina"/>
    <s v="Menor que cuando iba todos los días a la oficina"/>
    <s v="Iguales que cuando iba todos los días a la oficina"/>
    <s v="Casi todas por videoconferencia"/>
    <s v="Igual que cuando eran en la oficina"/>
    <s v="Mayor que cuando iba todos los días a la oficina"/>
    <s v="Igual que cuando iba todos los días a la oficina"/>
    <s v="Mayor que cuando iba todos los días a la oficina"/>
    <s v="Mucho Mayor que cuando iba todos los días a la oficina"/>
    <x v="4"/>
    <x v="3"/>
    <x v="1"/>
    <s v="Igual que cuando iba todos los días a la oficina"/>
    <x v="3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Mas que cuando iba todos los días a la oficina"/>
    <s v="Menores que cuando iba todos los días a la oficina"/>
    <s v="Menor que cuando iba todos los días a la oficina"/>
    <s v="Igual que cuando iba todos los días a la oficina"/>
    <s v="Mayor que cuando iba todos los días a la oficina"/>
    <s v="Mayor que cuando iba todos los días a la oficina"/>
    <s v="Igual que cuando iba todos los días a la oficina"/>
    <s v="Igual que cuando iba todos los días a la oficina"/>
    <s v="Mayor que cuando iba todos los días a la oficina"/>
    <s v="Igual que cuando iba todos los días a la oficina"/>
    <s v="Iguales que cuando iba todos los días a la oficina"/>
    <s v="Igual que cuando iba todos los días a la oficina"/>
    <s v="Iguales que cuando iba todos los días a la oficina"/>
    <s v="Mayor que cuando iba todos los días a la oficina"/>
    <s v="Mayores que cuando iba todos los días a la oficina"/>
    <s v="Iguales que cuando iba todos los días a la oficina"/>
    <s v="Igual que cuando iba todos los días a la oficina"/>
    <s v="Igual que cuando iba todos los días a la oficina"/>
    <s v="Mayores que cuando iba todos los días a la oficina"/>
    <s v="Mayor que cuando iba todos los días a la oficina"/>
    <s v="Menor que cuando iba todos los días a la oficina"/>
    <s v="Igual que cuando iba todos los días a la oficina"/>
    <s v="Iguales que cuando iba todos los días a la oficina"/>
    <s v="Peor que cuando iba todos los días a la oficina"/>
    <s v="Mayor que cuando iba todos los días a la oficina"/>
    <s v="Mayor que cuando iba todos los días a la oficina"/>
    <s v="Mayor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es que cuando iba todos los días a la oficina"/>
    <s v="Igual que cuando iba todos los días a la oficina"/>
    <s v="Menor que cuando iba todos los días a la oficina"/>
    <s v="Menor que cuando iba todos los días a la oficina"/>
    <s v="Igual que cuando iba todos los días a la oficina"/>
    <s v="Igual que cuando iba todos los días a la oficina"/>
    <s v="Mayor que cuando iba todos los días a la oficina"/>
    <s v="Igual que cuando iba todos los días a la oficina"/>
    <s v="Menor que cuando iba todos los días a la oficina"/>
    <s v="Menor que cuando iba todos los días a la oficina"/>
    <s v="Menor que cuando iba todos los días a la oficina"/>
    <s v="Menor que cuando iba todos los días a la oficina"/>
    <s v="Mayor que cuando iba todos los días a la oficina"/>
    <s v="Mayores que cuando iba todos los días a la oficina"/>
    <s v="Igual que cuando iba todos los días a la oficina"/>
    <s v="Mayor que cuando iba todos los días a la oficina"/>
    <m/>
    <s v="301+ empleados"/>
    <n v="0"/>
  </r>
  <r>
    <s v="España"/>
    <s v="&lt;35 años"/>
    <s v="Masculino"/>
    <s v="Ingeniero superior"/>
    <s v="11-20 años"/>
    <s v="Director de Proyecto"/>
    <s v="Director de Proyecto"/>
    <s v="&gt;500 empleados."/>
    <s v="Empresa que subcontrata (outsourcing) los servicios de otra del mismo país"/>
    <s v="Multinacional"/>
    <s v="Muy Frecuentemente"/>
    <s v="Bajo"/>
    <s v="1-2 días"/>
    <s v="3-4 días"/>
    <s v="Híbrida oficina (más días en la oficina que en casa)"/>
    <s v="Decidida por ti"/>
    <s v="Totalmente en desacuerdo"/>
    <s v="Menor que cuando iba todos los días a la oficina"/>
    <s v="Menor que cuando iba todos los días a la oficina"/>
    <s v="Menor que cuando iba todos los días a la oficina"/>
    <s v="Diferentes que cuando iba todos los días a la oficina, ahora necesito menos horas para hacer lo mismo"/>
    <s v="Casi todas por videoconferencia"/>
    <s v="Igual que cuando eran en la oficina"/>
    <s v="Mayor que cuando iba todos los días a la oficina"/>
    <s v="Mayor que cuando iba todos los días a la oficina"/>
    <s v="Igual que cuando iba todos los días a la oficina"/>
    <s v="Igual que cuando iba todos los días a la oficina"/>
    <x v="1"/>
    <x v="2"/>
    <x v="1"/>
    <s v="Igual que cuando iba todos los días a la oficina"/>
    <x v="0"/>
    <s v="Más que cuando iba todos los días a la oficina"/>
    <s v="Igual que cuando iba todos los días a la oficina"/>
    <s v="Menos que cuando iba todos los días a la oficina"/>
    <s v="Menos que cuando iba todos los días a la oficina"/>
    <s v="Más que cuando iba todos los días a la oficina"/>
    <s v="Mas que cuando iba todos los días a la oficina"/>
    <s v="Mucho más que cuando iba todos los días a la oficina"/>
    <s v="Mas que cuando iba todos los días a la oficina"/>
    <s v="Mas que cuando iba todos los días a la oficina"/>
    <s v="Iguales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Mayor que cuando iba todos los días a la oficina"/>
    <s v="Mayor que cuando iba todos los días a la oficina"/>
    <s v="Mucho mayor que cuando iba todos los días a la oficina"/>
    <s v="Iguales que cuando iba todos los días a la oficina"/>
    <s v="Igual que cuando iba todos los días a la oficina"/>
    <s v="Iguales que cuando iba todos los días a la oficina"/>
    <s v="Igual que cuando iba todos los días a la oficina"/>
    <s v="Mayores que cuando iba todos los días a la oficina"/>
    <s v="Iguales que cuando iba todos los días a la oficina"/>
    <s v="Igual que cuando iba todos los días a la oficina"/>
    <s v="Menor que cuando iba todos los días a la oficina"/>
    <s v="Menores que cuando iba todos los días a la oficina"/>
    <s v="Mayor que cuando iba todos los días a la oficina"/>
    <s v="Mucho mayor que cuando iba todos los días a la oficina"/>
    <s v="Igual que cuando iba todos los días a la oficina"/>
    <s v="Iguales que cuando iba todos los días a la oficina"/>
    <s v="Peor que cuando iba todos los días a la oficina"/>
    <s v="Menor que cuando iba todos los días a la oficina"/>
    <s v="Igual que cuando iba todos los días a la oficina"/>
    <s v="Mayor que cuando iba todos los días a la oficina"/>
    <s v="Igual que cuando iba todos los días a la oficina"/>
    <s v="Igual que cuando iba todos los días a la oficina"/>
    <s v="Igual que cuando iba todos los días a la oficina"/>
    <s v="Mucho menor que cuando iba todos los días a la oficina"/>
    <s v="Menor que cuando iba todos los días a la oficina"/>
    <s v="Menor que cuando iba todos los días a la oficina"/>
    <s v="Igual que cuando iba todos los días a la oficina"/>
    <s v="Menores que cuando iba todos los días a la oficina"/>
    <s v="Igual que cuando iba todos los días a la oficina"/>
    <s v="Mucho Mayor que cuando iba todos los días a la oficina"/>
    <s v="Menor que cuando iba todos los días a la oficina"/>
    <s v="Mayor que cuando iba todos los días a la oficina"/>
    <s v="Mucho menor que cuando iba todos los días a la oficina"/>
    <s v="Igual que cuando iba todos los días a la oficina"/>
    <s v="Mucho peor que cuando iba todos los días a la oficina"/>
    <s v="Menor que cuando iba todos los días a la oficina"/>
    <s v="Mucho menor que cuando iba todos los días a la oficina"/>
    <s v="Menor que cuando iba todos los días a la oficina"/>
    <s v="Igual que cuando iba todos los días a la oficina"/>
    <s v="Mayor que cuando iba todos los días a la oficina"/>
    <s v="Mayores que cuando iba todos los días a la oficina"/>
    <s v="Mucho menor que cuando iba todos los días a la oficina"/>
    <s v="Mucho menor que cuando iba todos los días a la oficina"/>
    <s v="angel.suarezbarcena@gmail.com"/>
    <s v="301+ empleados"/>
    <n v="1"/>
  </r>
  <r>
    <s v="España"/>
    <s v="&lt;35 años"/>
    <s v="Masculino"/>
    <s v="Doctorado"/>
    <s v="11-20 años"/>
    <s v="Ingeniero de software "/>
    <s v="Ingeniero de software"/>
    <s v="&gt;500 empleados."/>
    <s v="Fábrica de Software"/>
    <s v="Multinacional"/>
    <s v="Muy Frecuentemente"/>
    <s v="Bajo"/>
    <s v="1-2 días"/>
    <s v="3-4 días"/>
    <s v="Híbrida casa (más días en casa que en la oficina)"/>
    <s v="Impuesta por la empresa"/>
    <s v="Totalmente de acuerdo"/>
    <s v="Igual que cuando iba todos los días a la oficina"/>
    <s v="Igual que cuando iba todos los días a la oficina"/>
    <s v="Igual que cuando iba todos los días a la oficina"/>
    <s v="Iguales que cuando iba todos los días a la oficina"/>
    <s v="Casi todas por videoconferencia"/>
    <s v="Igual que cuando eran en la oficina"/>
    <s v="Mayor que cuando iba todos los días a la oficina"/>
    <s v="Mayor que cuando iba todos los días a la oficina"/>
    <s v="Mayor que cuando iba todos los días a la oficina"/>
    <s v="Mayor que cuando iba todos los días a la oficina"/>
    <x v="1"/>
    <x v="1"/>
    <x v="1"/>
    <s v="Igual que cuando iba todos los días a la oficina"/>
    <x v="2"/>
    <s v="Igual que cuando iba todos los días a la oficina"/>
    <s v="Igual que cuando iba todos los días a la oficina"/>
    <s v="Igual que cuando iba todos los días a la oficina"/>
    <s v="Igual que cuando iba todos los días a la oficina"/>
    <s v="Más que cuando iba todos los días a la oficina"/>
    <s v="Mas que cuando iba todos los días a la oficina"/>
    <s v="Mas que cuando iba todos los días a la oficina"/>
    <s v="Mas que cuando iba todos los días a la oficina"/>
    <s v="Mas que cuando iba todos los días a la oficina"/>
    <s v="Iguales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Mayor que cuando iba todos los días a la oficina"/>
    <s v="Iguales que cuando iba todos los días a la oficina"/>
    <s v="Igual que cuando iba todos los días a la oficina"/>
    <s v="Mayores que cuando iba todos los días a la oficina"/>
    <s v="Igual que cuando iba todos los días a la oficina"/>
    <s v="Mayores que cuando iba todos los días a la oficina"/>
    <s v="Iguales que cuando iba todos los días a la oficina"/>
    <s v="Igual que cuando iba todos los días a la oficina"/>
    <s v="Mayor que cuando iba todos los días a la oficina"/>
    <s v="Iguales que cuando iba todos los días a la oficina"/>
    <s v="Igual que cuando iba todos los días a la oficina"/>
    <s v="Mayor que cuando iba todos los días a la oficina"/>
    <s v="Igual que cuando iba todos los días a la oficina"/>
    <s v="Iguales que cuando iba todos los días a la oficina"/>
    <s v="Igual que cuando iba todos los días a la oficina"/>
    <s v="Igual que cuando iba todos los días a la oficina"/>
    <s v="Igual que cuando iba todos los días a la oficina"/>
    <s v="Mayor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Mayores que cuando iba todos los días a la oficina"/>
    <s v="Igual que cuando iba todos los días a la oficina"/>
    <s v="Mayor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Menor que cuando iba todos los días a la oficina"/>
    <s v="Igual que cuando iba todos los días a la oficina"/>
    <s v="Igual que cuando iba todos los días a la oficina"/>
    <s v="Igual que cuando iba todos los días a la oficina"/>
    <s v="Iguales que cuando iba todos los días a la oficina"/>
    <s v="Igual que cuando iba todos los días a la oficina"/>
    <s v="Igual que cuando iba todos los días a la oficina"/>
    <m/>
    <s v="301+ empleados"/>
    <n v="0"/>
  </r>
  <r>
    <s v="España"/>
    <s v="&lt;35 años"/>
    <s v="Masculino"/>
    <s v="Ingeniero + MBA"/>
    <s v="11-20 años"/>
    <s v="Manager"/>
    <s v="Director"/>
    <s v="&gt;500 empleados."/>
    <s v="Empresa que desarrolla software a medida partiendo desde cero"/>
    <s v="Multinacional"/>
    <s v="Frecuentemente"/>
    <s v="Bajo"/>
    <s v="1-2 días"/>
    <s v="3-4 días"/>
    <s v="Híbrida oficina (más días en la oficina que en casa)"/>
    <s v="Consensuada por las dos partes"/>
    <s v="En desacuerdo"/>
    <s v="Menor que cuando iba todos los días a la oficina"/>
    <s v="Menor que cuando iba todos los días a la oficina"/>
    <s v="Menor que cuando iba todos los días a la oficina"/>
    <s v="Diferentes que cuando iba todos los días a la oficina, ahora necesito más horas para hacer lo mismo"/>
    <s v="Casi todas por videoconferencia"/>
    <s v="Igual que cuando eran en la oficina"/>
    <s v="Menor cuando iba todos los días a la oficina"/>
    <s v="Menor que cuando iba todos los días a la oficina"/>
    <s v="Menor que cuando iba todos los días a la oficina"/>
    <s v="Mayor que cuando iba todos los días a la oficina"/>
    <x v="2"/>
    <x v="2"/>
    <x v="0"/>
    <s v="Menor que cuando iba todos los días a la oficina"/>
    <x v="4"/>
    <s v="Mucho más que cuando iba todos los días a la oficina"/>
    <s v="Más que cuando iba todos los días a la oficina"/>
    <s v="Menos que cuando iba todos los días a la oficina"/>
    <s v="Menos que cuando iba todos los días a la oficina"/>
    <s v="Más que cuando iba todos los días a la oficina"/>
    <s v="Mas que cuando iba todos los días a la oficina"/>
    <s v="Mas que cuando iba todos los días a la oficina"/>
    <s v="Mucho mas que cuando iba todos los días a la oficina"/>
    <s v="Mas que cuando iba todos los días a la oficina"/>
    <s v="Iguales que cuando iba todos los días a la oficina"/>
    <s v="Igual que cuando iba todos los días a la oficina"/>
    <s v="Menor que cuando iba todos los días a la oficina"/>
    <s v="Mayor que cuando iba todos los días a la oficina"/>
    <s v="Menor que cuando iba todos los días a la oficina"/>
    <s v="Mayor que cuando iba todos los días a la oficina"/>
    <s v="Mayor que cuando iba todos los días a la oficina"/>
    <s v="Mayor que cuando iba todos los días a la oficina"/>
    <s v="Mayor que cuando iba todos los días a la oficina"/>
    <s v="Mayores que cuando iba todos los días a la oficina"/>
    <s v="Mayor que cuando iba todos los días a la oficina"/>
    <s v="Mayores que cuando iba todos los días a la oficina"/>
    <s v="Mayor que cuando iba todos los días a la oficina"/>
    <s v="Mayores que cuando iba todos los días a la oficina"/>
    <s v="Iguales que cuando iba todos los días a la oficina"/>
    <s v="Menos que cuando iba todos los días a la oficina"/>
    <s v="Menor que cuando iba todos los días a la oficina"/>
    <s v="Mayores que cuando iba todos los días a la oficina"/>
    <s v="Menor que cuando iba todos los días a la oficina"/>
    <s v="Mucho mayor que cuando iba todos los días a la oficina"/>
    <s v="Más que cuando iba todos los días a la oficina"/>
    <s v="Mayores que cuando iba todos los días a la oficina"/>
    <s v="Mejor que cuando iba todos los días a la oficina"/>
    <s v="Igual que cuando iba todos los días a la oficina"/>
    <s v="Igual que cuando iba todos los días a la oficina"/>
    <s v="Mayor que cuando iba todos los días a la oficina"/>
    <s v="Menor que cuando iba todos los días a la oficina"/>
    <s v="Menor que cuando iba todos los días a la oficina"/>
    <s v="Menor que cuando iba todos los días a la oficina"/>
    <s v="Menor que cuando iba todos los días a la oficina"/>
    <s v="Igual que cuando iba todos los días a la oficina"/>
    <s v="Mayor que cuando iba todos los días a la oficina"/>
    <s v="Menos que cuando iba todos los días a la oficina"/>
    <s v="Mayores que cuando iba todos los días a la oficina"/>
    <s v="Menor que cuando iba todos los días a la oficina"/>
    <s v="Menor que cuando iba todos los días a la oficina"/>
    <s v="Menor que cuando iba todos los días a la oficina"/>
    <s v="Igual que cuando iba todos los días a la oficina"/>
    <s v="Menor que cuando iba todos los días a la oficina"/>
    <s v="Igual que cuando iba todos los días a la oficina"/>
    <s v="Peor que cuando iba todos los días a la oficina"/>
    <s v="Menor que cuando iba todos los días a la oficina"/>
    <s v="Menor que cuando iba todos los días a la oficina"/>
    <s v="Menor que cuando iba todos los días a la oficina"/>
    <s v="Mayor que cuando iba todos los días a la oficina"/>
    <s v="Menor que cuando iba todos los días a la oficina"/>
    <s v="Mayores que cuando iba todos los días a la oficina"/>
    <s v="Menor que cuando iba todos los días a la oficina"/>
    <s v="Igual que cuando iba todos los días a la oficina"/>
    <m/>
    <s v="301+ empleados"/>
    <n v="1"/>
  </r>
  <r>
    <s v="España"/>
    <s v="&lt;35 años"/>
    <s v="Masculino"/>
    <s v="Grado Universitario"/>
    <s v="&lt;5 años"/>
    <s v="Monitor de gimnasio"/>
    <s v="Data scientist"/>
    <s v="51-150 empleados"/>
    <s v="Empresa que subcontrata (outsourcing) los servicios de otra del mismo país"/>
    <s v="Nacional (múltiples sedes en el mismo país)"/>
    <s v="Casi Nunca"/>
    <s v="Bajo"/>
    <s v="1-2 días"/>
    <s v="4-5 días"/>
    <s v="Híbrida casa (más días en casa que en la oficina)"/>
    <s v="Impuesta por la empresa"/>
    <s v="Totalmente de acuerdo"/>
    <s v="Igual que cuando iba todos los días a la oficina"/>
    <s v="Igual que cuando iba todos los días a la oficina"/>
    <s v="Igual que cuando iba todos los días a la oficina"/>
    <s v="Iguales que cuando iba todos los días a la oficina"/>
    <s v="La Mitad por videoconferencia y la mitad presencial"/>
    <s v="Igual que cuando eran en la oficina"/>
    <s v="Igual que cuando iba todos los días a la oficina"/>
    <s v="Igual que cuando iba todos los días a la oficina"/>
    <s v="Igual que cuando iba todos los días a la oficina"/>
    <s v="Igual que cuando iba todos los días a la oficina"/>
    <x v="1"/>
    <x v="2"/>
    <x v="1"/>
    <s v="Igual que cuando iba todos los días a la oficina"/>
    <x v="2"/>
    <s v="Igual que cuando iba todos los días a la oficina"/>
    <s v="Menos que cuando iba todos los días a la oficina"/>
    <s v="Menos que cuando iba todos los días a la oficina"/>
    <s v="Menos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es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es que cuando iba todos los días a la oficina"/>
    <s v="Igual que cuando iba todos los días a la oficina"/>
    <s v="Menores que cuando iba todos los días a la oficina"/>
    <s v="Igual que cuando iba todos los días a la oficina"/>
    <s v="Iguales que cuando iba todos los días a la oficina"/>
    <s v="Menores que cuando iba todos los días a la oficina"/>
    <s v="Más que cuando iba todos los días a la oficina"/>
    <s v="Mucho mayor que cuando iba todos los días a la oficina"/>
    <s v="Mayores que cuando iba todos los días a la oficina"/>
    <s v="Mayor que cuando iba todos los días a la oficina"/>
    <s v="Menor que cuando iba todos los días a la oficina"/>
    <s v="Igual que cuando iba todos los días a la oficina"/>
    <s v="Iguales que cuando iba todos los días a la oficina"/>
    <s v="Peor que cuando iba todos los días a la oficina"/>
    <s v="Mayor que cuando iba todos los días a la oficina"/>
    <s v="Mayor que cuando iba todos los días a la oficina"/>
    <s v="Igual que cuando iba todos los días a la oficina"/>
    <s v="Igual que cuando iba todos los días a la oficina"/>
    <s v="Igual que cuando iba todos los días a la oficina"/>
    <s v="Menor que cuando iba todos los días a la oficina"/>
    <s v="Mucho menor que cuando iba todos los días a la oficina"/>
    <s v="Menor que cuando iba todos los días a la oficina"/>
    <s v="Menor que cuando iba todos los días a la oficina"/>
    <s v="Igual que cuando iba todos los días a la oficina"/>
    <s v="Iguales que cuando iba todos los días a la oficina"/>
    <s v="Igual que cuando iba todos los días a la oficina"/>
    <s v="Mucho menor que cuando iba todos los días a la oficina"/>
    <s v="Menor que cuando iba todos los días a la oficina"/>
    <s v="Igual que cuando iba todos los días a la oficina"/>
    <s v="Mayor que cuando iba todos los días a la oficina"/>
    <s v="Menor que cuando iba todos los días a la oficina"/>
    <s v="Peor que cuando iba todos los días a la oficina"/>
    <s v="Mayor que cuando iba todos los días a la oficina"/>
    <s v="Mucho menor que cuando iba todos los días a la oficina"/>
    <s v="Mucho menor que cuando iba todos los días a la oficina"/>
    <s v="Mayor que cuando iba todos los días a la oficina"/>
    <s v="Igual que cuando iba todos los días a la oficina"/>
    <s v="Mucho Mayores que cuando iba todos los días a la oficina"/>
    <s v="Igual que cuando iba todos los días a la oficina"/>
    <s v="Igual que cuando iba todos los días a la oficina"/>
    <m/>
    <s v="&lt;301 empleados"/>
    <n v="0"/>
  </r>
  <r>
    <s v="España"/>
    <s v="&lt;35 años"/>
    <s v="Masculino"/>
    <s v="Doctorado"/>
    <s v="11-20 años"/>
    <s v="Principal Engineer"/>
    <s v="Director"/>
    <s v="51-150 empleados"/>
    <s v="Fábrica de Software"/>
    <s v="Multinacional"/>
    <s v="Muy Frecuentemente"/>
    <s v="Bajo"/>
    <s v="1-2 días"/>
    <s v="3-4 días"/>
    <s v="Híbrida oficina (más días en la oficina que en casa)"/>
    <s v="Decidida por ti"/>
    <s v="De acuerdo"/>
    <s v="Igual que cuando iba todos los días a la oficina"/>
    <s v="Igual que cuando iba todos los días a la oficina"/>
    <s v="Igual que cuando iba todos los días a la oficina"/>
    <s v="Iguales que cuando iba todos los días a la oficina"/>
    <s v="Casi todas por videoconferencia"/>
    <s v="Igual que cuando eran en la oficina"/>
    <s v="Igual que cuando iba todos los días a la oficina"/>
    <s v="Igual que cuando iba todos los días a la oficina"/>
    <s v="Igual que cuando iba todos los días a la oficina"/>
    <s v="Menor que cuando iba todos los días a la oficina"/>
    <x v="4"/>
    <x v="1"/>
    <x v="1"/>
    <s v="Mayor que cuando iba todos los días a la oficina"/>
    <x v="2"/>
    <s v="Más que cuando iba todos los días a la oficina"/>
    <s v="Más que cuando iba todos los días a la oficina"/>
    <s v="Más que cuando iba todos los días a la oficina"/>
    <s v="Más que cuando iba todos los días a la oficina"/>
    <s v="Más que cuando iba todos los días a la oficina"/>
    <s v="Mas que cuando iba todos los días a la oficina"/>
    <s v="Mas que cuando iba todos los días a la oficina"/>
    <s v="Mucho mas que cuando iba todos los días a la oficina"/>
    <s v="Igual que cuando iba todos los días a la oficina"/>
    <s v="Iguales que cuando iba todos los días a la oficina"/>
    <s v="Menor que cuando iba todos los días a la oficina"/>
    <s v="Igual que cuando iba todos los días a la oficina"/>
    <s v="Igual que cuando iba todos los días a la oficina"/>
    <s v="Igual que cuando iba todos los días a la oficina"/>
    <s v="Mayor que cuando iba todos los días a la oficina"/>
    <s v="Igual que cuando iba todos los días a la oficina"/>
    <s v="Igual que cuando iba todos los días a la oficina"/>
    <s v="Mayor que cuando iba todos los días a la oficina"/>
    <s v="Mayores que cuando iba todos los días a la oficina"/>
    <s v="Mayor que cuando iba todos los días a la oficina"/>
    <s v="Mayores que cuando iba todos los días a la oficina"/>
    <s v="Igual que cuando iba todos los días a la oficina"/>
    <s v="Mayores que cuando iba todos los días a la oficina"/>
    <s v="Iguales que cuando iba todos los días a la oficina"/>
    <s v="Más que cuando iba todos los días a la oficina"/>
    <s v="Menor que cuando iba todos los días a la oficina"/>
    <s v="Menores que cuando iba todos los días a la oficina"/>
    <s v="Igual que cuando iba todos los días a la oficina"/>
    <s v="Mayor que cuando iba todos los días a la oficina"/>
    <s v="Más que cuando iba todos los días a la oficina"/>
    <s v="Iguales que cuando iba todos los días a la oficina"/>
    <s v="Igual que cuando iba todos los días a la oficina"/>
    <s v="Igual que cuando iba todos los días a la oficina"/>
    <s v="Igual que cuando iba todos los días a la oficina"/>
    <s v="Mayor que cuando iba todos los días a la oficina"/>
    <s v="Igual que cuando iba todos los días a la oficina"/>
    <s v="Igual que cuando iba todos los días a la oficina"/>
    <s v="Igual que cuando iba todos los días a la oficina"/>
    <s v="Mayor que cuando iba todos los días a la oficina"/>
    <s v="Igual que cuando iba todos los días a la oficina"/>
    <s v="Mayor que cuando iba todos los días a la oficina"/>
    <s v="Igual que cuando iba todos los días a la oficina"/>
    <s v="Mayores que cuando iba todos los días a la oficina"/>
    <s v="Igual que cuando iba todos los días a la oficina"/>
    <s v="Mayor que cuando iba todos los días a la oficina"/>
    <s v="Menor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Menor que cuando iba todos los días a la oficina"/>
    <s v="Igual que cuando iba todos los días a la oficina"/>
    <s v="Igual que cuando iba todos los días a la oficina"/>
    <s v="Mayor que cuando iba todos los días a la oficina"/>
    <s v="Mayores que cuando iba todos los días a la oficina"/>
    <s v="Igual que cuando iba todos los días a la oficina"/>
    <s v="Igual que cuando iba todos los días a la oficina"/>
    <s v="josel.espinosa@ubotica.com"/>
    <s v="&lt;301 empleados"/>
    <n v="1"/>
  </r>
  <r>
    <s v="España"/>
    <s v="&lt;35 años"/>
    <s v="Femenino"/>
    <s v="Ingeniería Informática"/>
    <s v="11-20 años"/>
    <s v="Scrum Master y Analista de Datos"/>
    <s v="Scrum Master y Analista de Datos"/>
    <s v="&gt;500 empleados."/>
    <s v="Empresa que subcontrata (outsourcing) los servicios de otra del mismo país"/>
    <s v="Local"/>
    <s v="Nunca"/>
    <s v="Bajo"/>
    <s v="1-2 días"/>
    <s v="3-4 días"/>
    <s v="Híbrida casa (más días en casa que en la oficina)"/>
    <s v="Impuesta por la empresa"/>
    <s v="Totalmente de acuerdo"/>
    <s v="Igual que cuando iba todos los días a la oficina"/>
    <s v="Igual que cuando iba todos los días a la oficina"/>
    <s v="Igual que cuando iba todos los días a la oficina"/>
    <s v="Diferentes que cuando iba todos los días a la oficina, ahora necesito menos horas para hacer lo mismo"/>
    <s v="Casi todas por videoconferencia"/>
    <s v="Igual que cuando eran en la oficina"/>
    <s v="Mayor que cuando iba todos los días a la oficina"/>
    <s v="Mayor que cuando iba todos los días a la oficina"/>
    <s v="Mayor que cuando iba todos los días a la oficina"/>
    <s v="Mayor que cuando iba todos los días a la oficina"/>
    <x v="1"/>
    <x v="3"/>
    <x v="1"/>
    <s v="Mayor que cuando iba todos los días a la oficina"/>
    <x v="1"/>
    <s v="Más que cuando iba todos los días a la oficina"/>
    <s v="Igual que cuando iba todos los días a la oficina"/>
    <s v="No trabajo con personas con un horario distinto al mío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Mayores que cuando iba todos los días a la oficina"/>
    <s v="Mayor que cuando iba todos los días a la oficina"/>
    <s v="Igual que cuando iba todos los días a la oficina"/>
    <s v="Menor que cuando iba todos los días a la oficina"/>
    <s v="Mayor que cuando iba todos los días a la oficina"/>
    <s v="Menor que cuando iba todos los días a la oficina"/>
    <s v="Menor que cuando iba todos los días a la oficina"/>
    <s v="Igual que cuando iba todos los días a la oficina"/>
    <s v="Mayor que cuando iba todos los días a la oficina"/>
    <s v="Iguales que cuando iba todos los días a la oficina"/>
    <s v="Mayor que cuando iba todos los días a la oficina"/>
    <s v="No hay diferencias culturales en mi equipo"/>
    <s v="Mayor que cuando iba todos los días a la oficina"/>
    <s v="Iguales que cuando iba todos los días a la oficina"/>
    <s v="No tengo que utilizar diferentes idiomas en mi trabajo"/>
    <s v="No trabajo con personas con distintos horarios"/>
    <s v="Igual que cuando iba todos los días a la oficina"/>
    <s v="Menores que cuando iba todos los días a la oficina"/>
    <s v="Mayor que cuando iba todos los días a la oficina"/>
    <s v="Igual que cuando iba todos los días a la oficina"/>
    <s v="Igual que cuando iba todos los días a la oficina"/>
    <s v="Iguales que cuando iba todos los días a la oficina"/>
    <s v="Igual que cuando iba todos los días a la oficina"/>
    <s v="Igual que cuando iba todos los días a la oficina"/>
    <s v="Mayor que cuando iba todos los días a la oficina"/>
    <s v="Mayor que cuando iba todos los días a la oficina"/>
    <s v="Mayor que cuando iba todos los días a la oficina"/>
    <s v="Mayor que cuando iba todos los días a la oficina"/>
    <s v="Mayor que cuando iba todos los días a la oficina"/>
    <s v="Mayor que cuando iba todos los días a la oficina"/>
    <s v="Mayor que cuando iba todos los días a la oficina"/>
    <s v="Igual que cuando iba todos los días a la oficina"/>
    <s v="Igual que cuando iba todos los días a la oficina"/>
    <s v="Iguales que cuando iba todos los días a la oficina"/>
    <s v="Mayor que cuando iba todos los días a la oficina"/>
    <s v="Mucho Mayor que cuando iba todos los días a la oficina"/>
    <s v="Mayor que cuando iba todos los días a la oficina"/>
    <s v="Menor que cuando iba todos los días a la oficina"/>
    <s v="Mayor que cuando iba todos los días a la oficina"/>
    <s v="Igual que cuando iba todos los días a la oficina"/>
    <s v="Mejor que cuando iba todos los días a la oficina"/>
    <s v="Igual que cuando iba todos los días a la oficina"/>
    <s v="Igual que cuando iba todos los días a la oficina"/>
    <s v="Mayor que cuando iba todos los días a la oficina"/>
    <s v="Mayor que cuando iba todos los días a la oficina"/>
    <s v="Menor que cuando iba todos los días a la oficina"/>
    <s v="Iguales que cuando iba todos los días a la oficina"/>
    <s v="Igual que cuando iba todos los días a la oficina"/>
    <s v="Igual que cuando iba todos los días a la oficina"/>
    <s v="Conreal@gmail.com"/>
    <s v="301+ empleados"/>
    <n v="0"/>
  </r>
  <r>
    <s v="España"/>
    <s v="&lt;35 años"/>
    <s v="Masculino"/>
    <s v="Grado de Ingenería Informática"/>
    <s v="5-10 años"/>
    <s v="Técnico de Sistemas"/>
    <s v="Técnico de Sistema"/>
    <s v="&gt;500 empleados."/>
    <s v="Empresa que desarrolla software a medida partiendo desde cero"/>
    <s v="Nacional (múltiples sedes en el mismo país)"/>
    <s v="Nunca"/>
    <s v="Bajo"/>
    <s v="1-2 días"/>
    <s v="3-4 días"/>
    <s v="Híbrida oficina (más días en la oficina que en casa)"/>
    <s v="Consensuada por las dos partes"/>
    <s v="De acuerdo"/>
    <s v="Menor que cuando iba todos los días a la oficina"/>
    <s v="Menor que cuando iba todos los días a la oficina"/>
    <s v="Igual que cuando iba todos los días a la oficina"/>
    <s v="Iguales que cuando iba todos los días a la oficina"/>
    <s v="Todas por videoconferencia"/>
    <s v="Igual que cuando eran en la oficina"/>
    <s v="Mayor que cuando iba todos los días a la oficina"/>
    <s v="Igual que cuando iba todos los días a la oficina"/>
    <s v="Igual que cuando iba todos los días a la oficina"/>
    <s v="Igual que cuando iba todos los días a la oficina"/>
    <x v="1"/>
    <x v="1"/>
    <x v="2"/>
    <s v="Igual que cuando iba todos los días a la oficina"/>
    <x v="3"/>
    <s v="Igual que cuando iba todos los días a la oficina"/>
    <s v="No trabajo con personas de distintas culturas"/>
    <s v="No trabajo con personas con un horario distinto al mío"/>
    <s v="Igual que cuando iba todos los días a la oficina"/>
    <s v="Igual que cuando iba todos los días a la oficina"/>
    <s v="Igual que cuando iba todos los días a la oficina"/>
    <s v="Mucho más que cuando iba todos los días a la oficina"/>
    <s v="Igual que cuando iba todos los días a la oficina"/>
    <s v="Igual que cuando iba todos los días a la oficina"/>
    <s v="Iguales que cuando iba todos los días a la oficina"/>
    <s v="Igual que cuando iba todos los días a la oficina"/>
    <s v="Igual que cuando iba todos los días a la oficina"/>
    <s v="Igual que cuando iba todos los días a la oficina"/>
    <s v="Mayor que cuando iba todos los días a la oficina"/>
    <s v="Igual que cuando iba todos los días a la oficina"/>
    <s v="Igual que cuando iba todos los días a la oficina"/>
    <s v="Igual que cuando iba todos los días a la oficina"/>
    <s v="Mayor que cuando iba todos los días a la oficina"/>
    <s v="Iguales que cuando iba todos los días a la oficina"/>
    <s v="Mayor que cuando iba todos los días a la oficina"/>
    <s v="No hay diferencias culturales en mi equipo"/>
    <s v="Igual que cuando iba todos los días a la oficina"/>
    <s v="Iguales que cuando iba todos los días a la oficina"/>
    <s v="No tengo que utilizar diferentes idiomas en mi trabajo"/>
    <s v="No trabajo con personas con distintos horarios"/>
    <s v="Igual que cuando iba todos los días a la oficina"/>
    <s v="Mucho menores que cuando iba todos los días a la oficina"/>
    <s v="Mayor que cuando iba todos los días a la oficina"/>
    <s v="Mayor que cuando iba todos los días a la oficina"/>
    <s v="No tengo la información para contestar a la pregunta"/>
    <s v="Iguales que cuando iba todos los días a la oficina"/>
    <s v="Igual que cuando iba todos los días a la oficina"/>
    <s v="Mayor que cuando iba todos los días a la oficina"/>
    <s v="Mayor que cuando iba todos los días a la oficina"/>
    <s v="Mayor que cuando iba todos los días a la oficina"/>
    <s v="Igual que cuando iba todos los días a la oficina"/>
    <s v="Igual que cuando iba todos los días a la oficina"/>
    <s v="Mayor que cuando iba todos los días a la oficina"/>
    <s v="Mayor que cuando iba todos los días a la oficina"/>
    <s v="Mayor que cuando iba todos los días a la oficina"/>
    <s v="Igual que cuando iba todos los días a la oficina"/>
    <s v="Igual que cuando iba todos los días a la oficina"/>
    <s v="Iguales que cuando iba todos los días a la oficina"/>
    <s v="Igual que cuando iba todos los días a la oficina"/>
    <s v="Mayor que cuando iba todos los días a la oficina"/>
    <s v="Igual que cuando iba todos los días a la oficina"/>
    <s v="Menor que cuando iba todos los días a la oficina"/>
    <s v="Igual que cuando iba todos los días a la oficina"/>
    <s v="Mucho menor que cuando iba todos los días a la oficina"/>
    <s v="Igual que cuando iba todos los días a la oficina"/>
    <s v="Igual que cuando iba todos los días a la oficina"/>
    <s v="Menor que cuando iba todos los días a la oficina"/>
    <s v="Igual que cuando iba todos los días a la oficina"/>
    <s v="Mayor que cuando iba todos los días a la oficina"/>
    <s v="Menor que cuando iba todos los días a la oficina"/>
    <s v="Iguales que cuando iba todos los días a la oficina"/>
    <s v="Igual que cuando iba todos los días a la oficina"/>
    <s v="Mayor que cuando iba todos los días a la oficina"/>
    <s v="sergio.ruiz@gmail.com"/>
    <s v="301+ empleados"/>
    <n v="0"/>
  </r>
  <r>
    <s v="España"/>
    <s v="&lt;35 años"/>
    <s v="Masculino"/>
    <s v="Licenciado"/>
    <s v="&gt;30 años"/>
    <s v="Técnico I"/>
    <s v="Técnico I"/>
    <s v="&gt;500 empleados."/>
    <s v="Empresa que desarrolla software a medida partiendo desde cero"/>
    <s v="Local"/>
    <s v="Casi Nunca"/>
    <s v="Bajo"/>
    <s v="1-2 días"/>
    <s v="3-4 días"/>
    <s v="Híbrida casa (más días en casa que en la oficina)"/>
    <s v="Consensuada por las dos partes"/>
    <s v="Totalmente de acuerdo"/>
    <s v="Igual que cuando iba todos los días a la oficina"/>
    <s v="Igual que cuando iba todos los días a la oficina"/>
    <s v="Igual que cuando iba todos los días a la oficina"/>
    <s v="Iguales que cuando iba todos los días a la oficina"/>
    <s v="Todas por videoconferencia"/>
    <s v="Igual que cuando eran en la oficina"/>
    <s v="Igual que cuando iba todos los días a la oficina"/>
    <s v="Igual que cuando iba todos los días a la oficina"/>
    <s v="Igual que cuando iba todos los días a la oficina"/>
    <s v="Igual que cuando iba todos los días a la oficina"/>
    <x v="1"/>
    <x v="2"/>
    <x v="1"/>
    <s v="Igual que cuando iba todos los días a la oficina"/>
    <x v="3"/>
    <s v="No tengo la información para contestar a la pregunt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es que cuando iba todos los días a la oficina"/>
    <s v="Igual que cuando iba todos los días a la oficina"/>
    <s v="Igual que cuando iba todos los días a la oficina"/>
    <s v="Menor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Mayor que cuando iba todos los días a la oficina"/>
    <s v="Iguales que cuando iba todos los días a la oficina"/>
    <s v="Igual que cuando iba todos los días a la oficina"/>
    <s v="Iguales que cuando iba todos los días a la oficina"/>
    <s v="Igual que cuando iba todos los días a la oficina"/>
    <s v="Iguales que cuando iba todos los días a la oficina"/>
    <s v="Iguales que cuando iba todos los días a la oficina"/>
    <s v="Igual que cuando iba todos los días a la oficina"/>
    <s v="Igual que cuando iba todos los días a la oficina"/>
    <s v="Iguales que cuando iba todos los días a la oficina"/>
    <s v="Igual que cuando iba todos los días a la oficina"/>
    <s v="Igual que cuando iba todos los días a la oficina"/>
    <s v="Igual que cuando iba todos los días a la oficina"/>
    <s v="Iguales que cuando iba todos los días a la oficina"/>
    <s v="Igual que cuando iba todos los días a la oficina"/>
    <s v="Igual que cuando iba todos los días a la oficina"/>
    <s v="Igual que cuando iba todos los días a la oficina"/>
    <s v="Mayor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es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es que cuando iba todos los días a la oficina"/>
    <s v="Igual que cuando iba todos los días a la oficina"/>
    <s v="Igual que cuando iba todos los días a la oficina"/>
    <m/>
    <s v="301+ empleados"/>
    <n v="0"/>
  </r>
  <r>
    <s v="España"/>
    <s v="&lt;35 años"/>
    <s v="Masculino"/>
    <s v="INGENIERIA TECNICA"/>
    <s v="21-30 años"/>
    <s v="TECNICO TIC"/>
    <s v="TECNICO TIC"/>
    <s v="&gt;500 empleados."/>
    <s v="Fábrica de Software"/>
    <s v="Nacional (múltiples sedes en el mismo país)"/>
    <s v="Nunca"/>
    <s v="Bajo"/>
    <s v="1-2 días"/>
    <s v="3-4 días"/>
    <s v="Híbrida casa (más días en casa que en la oficina)"/>
    <s v="Decidida por ti"/>
    <s v="De acuerdo"/>
    <s v="Igual que cuando iba todos los días a la oficina"/>
    <s v="Igual que cuando iba todos los días a la oficina"/>
    <s v="Igual que cuando iba todos los días a la oficina"/>
    <s v="Diferentes que cuando iba todos los días a la oficina, ahora necesito menos horas para hacer lo mismo"/>
    <s v="Casi todas por videoconferencia"/>
    <s v="Menor que cuando eran en la oficina"/>
    <s v="Mayor que cuando iba todos los días a la oficina"/>
    <s v="Mayor que cuando iba todos los días a la oficina"/>
    <s v="Mayor que cuando iba todos los días a la oficina"/>
    <s v="Igual que cuando iba todos los días a la oficina"/>
    <x v="1"/>
    <x v="2"/>
    <x v="2"/>
    <s v="Mucho mayor que cuando iba todos los días a la oficina"/>
    <x v="2"/>
    <s v="Igual que cuando iba todos los días a la oficina"/>
    <s v="Igual que cuando iba todos los días a la oficina"/>
    <s v="Mucho menos que cuando iba todos los días a la oficina"/>
    <s v="Mucho menos que cuando iba todos los días a la oficina"/>
    <s v="Igual que cuando iba todos los días a la oficina"/>
    <s v="Menos que cuando iba todos los días a la oficina"/>
    <s v="Igual que cuando iba todos los días a la oficina"/>
    <s v="Igual que cuando iba todos los días a la oficina"/>
    <s v="Menos que cuando iba todos los días a la oficina"/>
    <s v="Iguales que cuando iba todos los días a la oficina"/>
    <s v="Igual que cuando iba todos los días a la oficina"/>
    <s v="Igual que cuando iba todos los días a la oficina"/>
    <s v="Menor que cuando iba todos los días a la oficina"/>
    <s v="Igual que cuando iba todos los días a la oficina"/>
    <s v="Menor que cuando iba todos los días a la oficina"/>
    <s v="Igual que cuando iba todos los días a la oficina"/>
    <s v="Igual que cuando iba todos los días a la oficina"/>
    <s v="Mucho mayor que cuando iba todos los días a la oficina"/>
    <s v="Iguales que cuando iba todos los días a la oficina"/>
    <s v="Mayor que cuando iba todos los días a la oficina"/>
    <s v="No hay diferencias culturales en mi equipo"/>
    <s v="Mayor que cuando iba todos los días a la oficina"/>
    <s v="No tengo la información para contestar a la pregunta"/>
    <s v="No tengo que utilizar diferentes idiomas en mi trabajo"/>
    <s v="No trabajo con personas con distintos horarios"/>
    <s v="Igual que cuando iba todos los días a la oficina"/>
    <s v="Menores que cuando iba todos los días a la oficina"/>
    <s v="Igual que cuando iba todos los días a la oficina"/>
    <s v="No tengo la información para contestar a la pregunta"/>
    <s v="No tengo la información para contestar a la pregunta"/>
    <s v="Iguales que cuando iba todos los días a la oficina"/>
    <s v="Mejor que cuando iba todos los días a la oficina"/>
    <s v="Igual que cuando iba todos los días a la oficina"/>
    <s v="Igual que cuando iba todos los días a la oficina"/>
    <s v="Mayor que cuando iba todos los días a la oficina"/>
    <s v="Igual que cuando iba todos los días a la oficina"/>
    <s v="Igual que cuando iba todos los días a la oficina"/>
    <s v="Igual que cuando iba todos los días a la oficina"/>
    <s v="Mayor que cuando iba todos los días a la oficina"/>
    <s v="Mayor que cuando iba todos los días a la oficina"/>
    <s v="Igual que cuando iba todos los días a la oficina"/>
    <s v="Igual que cuando iba todos los días a la oficina"/>
    <s v="Iguales que cuando iba todos los días a la oficina"/>
    <s v="Igual que cuando iba todos los días a la oficina"/>
    <s v="Mucho Mayor que cuando iba todos los días a la oficina"/>
    <s v="Mayor que cuando iba todos los días a la oficina"/>
    <s v="Igual que cuando iba todos los días a la oficina"/>
    <s v="Mayor que cuando iba todos los días a la oficina"/>
    <s v="Igual que cuando iba todos los días a la oficina"/>
    <s v="Mejor que cuando iba todos los días a la oficina"/>
    <s v="Igual que cuando iba todos los días a la oficina"/>
    <s v="Igual que cuando iba todos los días a la oficina"/>
    <s v="Igual que cuando iba todos los días a la oficina"/>
    <s v="Mayor que cuando iba todos los días a la oficina"/>
    <s v="Menor que cuando iba todos los días a la oficina"/>
    <s v="Iguales que cuando iba todos los días a la oficina"/>
    <s v="Igual que cuando iba todos los días a la oficina"/>
    <s v="Igual que cuando iba todos los días a la oficina"/>
    <m/>
    <s v="301+ empleados"/>
    <n v="0"/>
  </r>
  <r>
    <s v="México"/>
    <s v="&lt;35 años"/>
    <s v="Masculino"/>
    <s v="Licenciatura"/>
    <s v="&lt;5 años"/>
    <s v="AI Engineer"/>
    <s v="AI Engineer"/>
    <s v="&gt;500 empleados."/>
    <s v="Empresa que subcontrata (outsourcing) los servicios de otra del mismo país"/>
    <s v="Multinacional"/>
    <s v="Muy Frecuentemente"/>
    <s v="Bajo"/>
    <s v="1-2 días"/>
    <s v="3-4 días"/>
    <s v="Remota ( todos los días en casa)"/>
    <s v="Consensuada por las dos partes"/>
    <s v="En desacuerdo"/>
    <s v="Igual que cuando iba todos los días a la oficina"/>
    <s v="Igual que cuando iba todos los días a la oficina"/>
    <s v="Igual que cuando iba todos los días a la oficina"/>
    <s v="Iguales que cuando iba todos los días a la oficina"/>
    <s v="Casi todas por videoconferencia"/>
    <s v="Mucho menor que cuando eran en la oficina"/>
    <s v="Mayor que cuando iba todos los días a la oficina"/>
    <s v="Mayor que cuando iba todos los días a la oficina"/>
    <s v="Mayor que cuando iba todos los días a la oficina"/>
    <s v="Mayor que cuando iba todos los días a la oficina"/>
    <x v="2"/>
    <x v="0"/>
    <x v="0"/>
    <s v="Igual que cuando iba todos los días a la oficina"/>
    <x v="2"/>
    <s v="Más que cuando iba todos los días a la oficina"/>
    <s v="Igual que cuando iba todos los días a la oficina"/>
    <s v="Igual que cuando iba todos los días a la oficina"/>
    <s v="Igual que cuando iba todos los días a la oficina"/>
    <s v="Menos que cuando iba todos los días a la oficina"/>
    <s v="Menos que cuando iba todos los días a la oficina"/>
    <s v="Igual que cuando iba todos los días a la oficina"/>
    <s v="Mas que cuando iba todos los días a la oficina"/>
    <s v="Igual que cuando iba todos los días a la oficina"/>
    <s v="Iguales que cuando iba todos los días a la oficina"/>
    <s v="Igual que cuando iba todos los días a la oficina"/>
    <s v="Igual que cuando iba todos los días a la oficina"/>
    <s v="Menor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Mayor que cuando iba todos los días a la oficina"/>
    <s v="Iguales que cuando iba todos los días a la oficina"/>
    <s v="Igual que cuando iba todos los días a la oficina"/>
    <s v="Iguales que cuando iba todos los días a la oficina"/>
    <s v="Igual que cuando iba todos los días a la oficina"/>
    <s v="Iguales que cuando iba todos los días a la oficina"/>
    <s v="Menores que cuando iba todos los días a la oficina"/>
    <s v="Menos que cuando iba todos los días a la oficina"/>
    <s v="Igual que cuando iba todos los días a la oficina"/>
    <s v="Mayores que cuando iba todos los días a la oficina"/>
    <s v="Igual que cuando iba todos los días a la oficina"/>
    <s v="Igual que cuando iba todos los días a la oficina"/>
    <s v="Menos que cuando iba todos los días a la oficina"/>
    <s v="Iguales que cuando iba todos los días a la oficina"/>
    <s v="Igual que cuando iba todos los días a la oficina"/>
    <s v="Mayor que cuando iba todos los días a la oficina"/>
    <s v="Mayor que cuando iba todos los días a la oficina"/>
    <s v="Mucho mayor que cuando iba todos los días a la oficina"/>
    <s v="Mucho Mayor que cuando iba todos los días a la oficina"/>
    <s v="Igual que cuando iba todos los días a la oficina"/>
    <s v="Igual que cuando iba todos los días a la oficina"/>
    <s v="Mayor que cuando iba todos los días a la oficina"/>
    <s v="Mayor que cuando iba todos los días a la oficina"/>
    <s v="Mayor que cuando iba todos los días a la oficina"/>
    <s v="Igual que cuando iba todos los días a la oficina"/>
    <s v="Mayores que cuando iba todos los días a la oficina"/>
    <s v="Igual que cuando iba todos los días a la oficina"/>
    <s v="Mayor que cuando iba todos los días a la oficina"/>
    <s v="Mayor que cuando iba todos los días a la oficina"/>
    <s v="Igual que cuando iba todos los días a la oficina"/>
    <s v="Igual que cuando iba todos los días a la oficina"/>
    <s v="Menor que cuando iba todos los días a la oficina"/>
    <s v="Igual que cuando iba todos los días a la oficina"/>
    <s v="Igual que cuando iba todos los días a la oficina"/>
    <s v="Igual que cuando iba todos los días a la oficina"/>
    <s v="Mayor que cuando iba todos los días a la oficina"/>
    <s v="Igual que cuando iba todos los días a la oficina"/>
    <s v="Igual que cuando iba todos los días a la oficina"/>
    <s v="Iguales que cuando iba todos los días a la oficina"/>
    <s v="Mayor que cuando iba todos los días a la oficina"/>
    <s v="Mayor que cuando iba todos los días a la oficina"/>
    <m/>
    <s v="301+ empleados"/>
    <n v="0"/>
  </r>
  <r>
    <s v="México"/>
    <s v="&lt;35 años"/>
    <s v="Masculino"/>
    <s v="Licenciatura "/>
    <s v="5-10 años"/>
    <s v="Analista"/>
    <s v="Analista"/>
    <s v="51-150 empleados"/>
    <s v="Empresa que desarrolla software a medida partiendo desde cero"/>
    <s v="Local"/>
    <s v="Nunca"/>
    <s v="Bajo"/>
    <s v="1-2 días"/>
    <s v="3-4 días"/>
    <s v="Híbrida oficina (más días en la oficina que en casa)"/>
    <s v="Impuesta por la empresa"/>
    <s v="En desacuerdo"/>
    <s v="Menor que cuando iba todos los días a la oficina"/>
    <s v="Igual que cuando iba todos los días a la oficina"/>
    <s v="Igual que cuando iba todos los días a la oficina"/>
    <s v="Iguales que cuando iba todos los días a la oficina"/>
    <s v="Casi todas por videoconferencia"/>
    <s v="Igual que cuando eran en la oficina"/>
    <s v="Igual que cuando iba todos los días a la oficina"/>
    <s v="Igual que cuando iba todos los días a la oficina"/>
    <s v="Igual que cuando iba todos los días a la oficina"/>
    <s v="Menor que cuando iba todos los días a la oficina"/>
    <x v="1"/>
    <x v="1"/>
    <x v="1"/>
    <s v="Igual que cuando iba todos los días a la oficina"/>
    <x v="4"/>
    <s v="Igual que cuando iba todos los días a la oficina"/>
    <s v="Más que cuando iba todos los días a la oficina"/>
    <s v="Mucho menos que cuando iba todos los días a la oficina"/>
    <s v="Mucho menos que cuando iba todos los días a la oficina"/>
    <s v="Menos que cuando iba todos los días a la oficina"/>
    <s v="Menos que cuando iba todos los días a la oficina"/>
    <s v="Menos que cuando iba todos los días a la oficina"/>
    <s v="Igual que cuando iba todos los días a la oficina"/>
    <s v="Menos que cuando iba todos los días a la oficina"/>
    <s v="Iguales que cuando iba todos los días a la oficina"/>
    <s v="Menor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Mayor que cuando iba todos los días a la oficina"/>
    <s v="Mayor que cuando iba todos los días a la oficina"/>
    <s v="Menores que cuando iba todos los días a la oficina"/>
    <s v="Mayor que cuando iba todos los días a la oficina"/>
    <s v="Iguales que cuando iba todos los días a la oficina"/>
    <s v="Igual que cuando iba todos los días a la oficina"/>
    <s v="Mayores que cuando iba todos los días a la oficina"/>
    <s v="Mayores que cuando iba todos los días a la oficina"/>
    <s v="Menos que cuando iba todos los días a la oficina"/>
    <s v="Mayor que cuando iba todos los días a la oficina"/>
    <s v="Iguales que cuando iba todos los días a la oficina"/>
    <s v="Mayor que cuando iba todos los días a la oficina"/>
    <s v="Menor que cuando iba todos los días a la oficina"/>
    <s v="Igual que cuando iba todos los días a la oficina"/>
    <s v="Mayores que cuando iba todos los días a la oficina"/>
    <s v="Mejor que cuando iba todos los días a la oficina"/>
    <s v="Igual que cuando iba todos los días a la oficina"/>
    <s v="Mayor que cuando iba todos los días a la oficina"/>
    <s v="Mucho mayor que cuando iba todos los días a la oficina"/>
    <s v="Mayor que cuando iba todos los días a la oficina"/>
    <s v="Mucho Mayor que cuando iba todos los días a la oficina"/>
    <s v="Igual que cuando iba todos los días a la oficina"/>
    <s v="Igual que cuando iba todos los días a la oficina"/>
    <s v="Mayor que cuando iba todos los días a la oficina"/>
    <s v="Igual que cuando iba todos los días a la oficina"/>
    <s v="Igual que cuando iba todos los días a la oficina"/>
    <s v="Iguales que cuando iba todos los días a la oficina"/>
    <s v="Mucho Mayor que cuando iba todos los días a la oficina"/>
    <s v="Igual que cuando iba todos los días a la oficina"/>
    <s v="Mayor que cuando iba todos los días a la oficina"/>
    <s v="Igual que cuando iba todos los días a la oficina"/>
    <s v="Igual que cuando iba todos los días a la oficina"/>
    <s v="Menor que cuando iba todos los días a la oficina"/>
    <s v="Igual que cuando iba todos los días a la oficina"/>
    <s v="Igual que cuando iba todos los días a la oficina"/>
    <s v="Menor que cuando iba todos los días a la oficina"/>
    <s v="Igual que cuando iba todos los días a la oficina"/>
    <s v="Mayor que cuando iba todos los días a la oficina"/>
    <s v="Menor que cuando iba todos los días a la oficina"/>
    <s v="Iguales que cuando iba todos los días a la oficina"/>
    <s v="Menor que cuando iba todos los días a la oficina"/>
    <s v="Mayor que cuando iba todos los días a la oficina"/>
    <s v="jozmdzz@gmail.com"/>
    <s v="&lt;301 empleados"/>
    <n v="0"/>
  </r>
  <r>
    <s v="México"/>
    <s v="&lt;35 años"/>
    <s v="Masculino"/>
    <s v="Maestria"/>
    <s v="5-10 años"/>
    <s v="Analista de Datos"/>
    <s v="Desarrollador"/>
    <s v="&lt;50 empleados"/>
    <s v="Empresa que desarrolla software a medida partiendo desde cero"/>
    <s v="Local"/>
    <s v="Casi Nunca"/>
    <s v="Bajo"/>
    <s v="1-2 días"/>
    <s v="4-5 días"/>
    <s v="Híbrida oficina (más días en la oficina que en casa)"/>
    <s v="Decidida por ti"/>
    <s v="En desacuerdo"/>
    <s v="Igual que cuando iba todos los días a la oficina"/>
    <s v="Igual que cuando iba todos los días a la oficina"/>
    <s v="Igual que cuando iba todos los días a la oficina"/>
    <s v="Iguales que cuando iba todos los días a la oficina"/>
    <s v="La Mitad por videoconferencia y la mitad presencial"/>
    <s v="Igual que cuando eran en la oficina"/>
    <s v="Igual que cuando iba todos los días a la oficina"/>
    <s v="Igual que cuando iba todos los días a la oficina"/>
    <s v="Menor que cuando iba todos los días a la oficina"/>
    <s v="Menor que cuando iba todos los días a la oficina"/>
    <x v="1"/>
    <x v="1"/>
    <x v="1"/>
    <s v="Mayor que cuando iba todos los días a la oficina"/>
    <x v="1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Menores que cuando iba todos los días a la oficina"/>
    <s v="Igual que cuando iba todos los días a la oficina"/>
    <s v="Menor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es que cuando iba todos los días a la oficina"/>
    <s v="Igual que cuando iba todos los días a la oficina"/>
    <s v="Iguales que cuando iba todos los días a la oficina"/>
    <s v="Igual que cuando iba todos los días a la oficina"/>
    <s v="Iguales que cuando iba todos los días a la oficina"/>
    <s v="Iguales que cuando iba todos los días a la oficina"/>
    <s v="Igual que cuando iba todos los días a la oficina"/>
    <s v="Igual que cuando iba todos los días a la oficina"/>
    <s v="Iguales que cuando iba todos los días a la oficina"/>
    <s v="Igual que cuando iba todos los días a la oficina"/>
    <s v="Igual que cuando iba todos los días a la oficina"/>
    <s v="Igual que cuando iba todos los días a la oficina"/>
    <s v="Mayores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es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es que cuando iba todos los días a la oficina"/>
    <s v="Igual que cuando iba todos los días a la oficina"/>
    <s v="Igual que cuando iba todos los días a la oficina"/>
    <m/>
    <s v="&lt;301 empleados"/>
    <n v="0"/>
  </r>
  <r>
    <s v="México"/>
    <s v="&lt;35 años"/>
    <s v="No binario"/>
    <s v="Licenciatura"/>
    <s v="&lt;5 años"/>
    <s v="Científico de Datos"/>
    <s v="Desarrollador de Software"/>
    <s v="&gt;500 empleados."/>
    <s v="Fábrica de Software"/>
    <s v="Multinacional"/>
    <s v="Muy Frecuentemente"/>
    <s v="Bajo"/>
    <s v="1-2 días"/>
    <s v="3-4 días"/>
    <s v="Híbrida casa (más días en casa que en la oficina)"/>
    <s v="Impuesta por la empresa"/>
    <s v="Totalmente en desacuerdo"/>
    <s v="Mucho mayor que cuando iba todos los días a la oficina"/>
    <s v="Igual que cuando iba todos los días a la oficina"/>
    <s v="Igual que cuando iba todos los días a la oficina"/>
    <s v="Diferentes que cuando iba todos los días a la oficina, ahora necesito menos horas para hacer lo mismo"/>
    <s v="Casi todas por videoconferencia"/>
    <s v="Menor que cuando eran en la oficina"/>
    <s v="Mucho Mayor que cuando iba todos los días a la oficina"/>
    <s v="Mucho Mayor que cuando iba todos los días a la oficina"/>
    <s v="Mucho Mayor que cuando iba todos los días a la oficina"/>
    <s v="Mucho Mayor que cuando iba todos los días a la oficina"/>
    <x v="1"/>
    <x v="1"/>
    <x v="1"/>
    <s v="Mayor que cuando iba todos los días a la oficina"/>
    <x v="2"/>
    <s v="Igual que cuando iba todos los días a la oficina"/>
    <s v="Igual que cuando iba todos los días a la oficina"/>
    <s v="Igual que cuando iba todos los días a la oficina"/>
    <s v="Igual que cuando iba todos los días a la oficina"/>
    <s v="Más que cuando iba todos los días a la oficina"/>
    <s v="Mas que cuando iba todos los días a la oficina"/>
    <s v="Igual que cuando iba todos los días a la oficina"/>
    <s v="Mas que cuando iba todos los días a la oficina"/>
    <s v="Igual que cuando iba todos los días a la oficina"/>
    <s v="Iguales que cuando iba todos los días a la oficina"/>
    <s v="Igual que cuando iba todos los días a la oficina"/>
    <s v="Mayor que cuando iba todos los días a la oficina"/>
    <s v="Mucho menor que cuando iba todos los días a la oficina"/>
    <s v="Mucho Mayor que cuando iba todos los días a la oficina"/>
    <s v="Mucho menor que cuando iba todos los días a la oficina"/>
    <s v="Mucho menor que cuando iba todos los días a la oficina"/>
    <s v="Menor que cuando iba todos los días a la oficina"/>
    <s v="Mucho mayor que cuando iba todos los días a la oficina"/>
    <s v="Iguales que cuando iba todos los días a la oficina"/>
    <s v="Mucho mayor que cuando iba todos los días a la oficina"/>
    <s v="Iguales que cuando iba todos los días a la oficina"/>
    <s v="Mucho mayor que cuando iba todos los días a la oficina"/>
    <s v="Iguales que cuando iba todos los días a la oficina"/>
    <s v="Iguales que cuando iba todos los días a la oficina"/>
    <s v="Menos que cuando iba todos los días a la oficina"/>
    <s v="Mayor que cuando iba todos los días a la oficina"/>
    <s v="Mucho menores que cuando iba todos los días a la oficina"/>
    <s v="Mucho mayor que cuando iba todos los días a la oficina"/>
    <s v="Igual que cuando iba todos los días a la oficina"/>
    <s v="Menos que cuando iba todos los días a la oficina"/>
    <s v="Iguales que cuando iba todos los días a la oficina"/>
    <s v="Mucho mejor que cuando iba todos los días a la oficina"/>
    <s v="Mucho Mayor que cuando iba todos los días a la oficina"/>
    <s v="Mucho Mayor que cuando iba todos los días a la oficina"/>
    <s v="Mucho mayor que cuando iba todos los días a la oficina"/>
    <s v="Mayor que cuando iba todos los días a la oficina"/>
    <s v="Igual que cuando iba todos los días a la oficina"/>
    <s v="Mucho Mayor que cuando iba todos los días a la oficina"/>
    <s v="Mucho Mayor que cuando iba todos los días a la oficina"/>
    <s v="Mayor que cuando iba todos los días a la oficina"/>
    <s v="Igual que cuando iba todos los días a la oficina"/>
    <s v="Mas que cuando iba todos los días a la oficina"/>
    <s v="Iguales que cuando iba todos los días a la oficina"/>
    <s v="Mucho Mayor que cuando iba todos los días a la oficina"/>
    <s v="Mucho Mayor que cuando iba todos los días a la oficina"/>
    <s v="Mayor que cuando iba todos los días a la oficina"/>
    <s v="Mucho menor que cuando iba todos los días a la oficina"/>
    <s v="Igual que cuando iba todos los días a la oficina"/>
    <s v="Menor que cuando iba todos los días a la oficina"/>
    <s v="Mucho Mejor que cuando iba todos los días a la oficina"/>
    <s v="Mucho Mayor que cuando iba todos los días a la oficina"/>
    <s v="Mayor que cuando iba todos los días a la oficina"/>
    <s v="Mayor que cuando iba todos los días a la oficina"/>
    <s v="Mucho Mayor que cuando iba todos los días a la oficina"/>
    <s v="Menor que cuando iba todos los días a la oficina"/>
    <s v="Iguales que cuando iba todos los días a la oficina"/>
    <s v="Mayor que cuando iba todos los días a la oficina"/>
    <s v="Mucho mayor que cuando iba todos los días a la oficina"/>
    <m/>
    <s v="301+ empleados"/>
    <n v="0"/>
  </r>
  <r>
    <s v="México"/>
    <s v="&lt;35 años"/>
    <s v="Femenino"/>
    <s v="Maestría "/>
    <s v="5-10 años"/>
    <s v="Coordinador business intelligence "/>
    <s v="Gerente de Arquitectura"/>
    <s v="&gt;500 empleados."/>
    <s v="Empresa que desarrolla software a medida partiendo desde cero"/>
    <s v="Nacional (múltiples sedes en el mismo país)"/>
    <s v="A veces"/>
    <s v="Bajo"/>
    <s v="1-2 días"/>
    <s v="3-4 días"/>
    <s v="Híbrida oficina (más días en la oficina que en casa)"/>
    <s v="Consensuada por las dos partes"/>
    <s v="Totalmente en desacuerdo"/>
    <s v="Menor que cuando iba todos los días a la oficina"/>
    <s v="Menor que cuando iba todos los días a la oficina"/>
    <s v="Menor que cuando iba todos los días a la oficina"/>
    <s v="Diferentes que cuando iba todos los días a la oficina, ahora necesito más horas para hacer lo mismo"/>
    <s v="La mayoría presenciales"/>
    <s v="Mucho menor que cuando eran en la oficina"/>
    <s v="Mayor que cuando iba todos los días a la oficina"/>
    <s v="Menor que cuando iba todos los días a la oficina"/>
    <s v="Mucho menor que cuando iba todos los días a la oficina"/>
    <s v="Mayor que cuando iba todos los días a la oficina"/>
    <x v="2"/>
    <x v="1"/>
    <x v="0"/>
    <s v="Menor que cuando iba todos los días a la oficina"/>
    <x v="1"/>
    <s v="Más que cuando iba todos los días a la oficina"/>
    <s v="Mucho menos que cuando iba todos los días a la oficina"/>
    <s v="Mucho más que cuando iba todos los días a la oficina"/>
    <s v="Igual que cuando iba todos los días a la oficina"/>
    <s v="Más que cuando iba todos los días a la oficina"/>
    <s v="Mas que cuando iba todos los días a la oficina"/>
    <s v="Mucho más que cuando iba todos los días a la oficina"/>
    <s v="Mas que cuando iba todos los días a la oficina"/>
    <s v="Mas que cuando iba todos los días a la oficina"/>
    <s v="Menores que cuando iba todos los días a la oficina"/>
    <s v="Mayor que cuando iba todos los días a la oficina"/>
    <s v="Mucho menor que cuando iba todos los días a la oficina"/>
    <s v="Menor que cuando iba todos los días a la oficina"/>
    <s v="Mayor que cuando iba todos los días a la oficina"/>
    <s v="Menor que cuando iba todos los días a la oficina"/>
    <s v="Mayor que cuando iba todos los días a la oficina"/>
    <s v="Mayor que cuando iba todos los días a la oficina"/>
    <s v="Mayor que cuando iba todos los días a la oficina"/>
    <s v="Mayores que cuando iba todos los días a la oficina"/>
    <s v="Mayor que cuando iba todos los días a la oficina"/>
    <s v="No hay diferencias culturales en mi equipo"/>
    <s v="Mucho mayor que cuando iba todos los días a la oficina"/>
    <s v="Mucho mayores que cuando iba todos los días a la oficina"/>
    <s v="No tengo que utilizar diferentes idiomas en mi trabajo"/>
    <s v="Más que cuando iba todos los días a la oficina"/>
    <s v="Mayor que cuando iba todos los días a la oficina"/>
    <s v="Mucho menores que cuando iba todos los días a la oficina"/>
    <s v="Mayor que cuando iba todos los días a la oficina"/>
    <s v="Mucho menor que cuando iba todos los días a la oficina"/>
    <s v="Mucho más que cuando iba todos los días a la oficina"/>
    <s v="Mayores que cuando iba todos los días a la oficina"/>
    <s v="Peor que cuando iba todos los días a la oficina"/>
    <s v="Menor que cuando iba todos los días a la oficina"/>
    <s v="Mayor que cuando iba todos los días a la oficina"/>
    <s v="Mayor que cuando iba todos los días a la oficina"/>
    <s v="Mucho menor que cuando iba todos los días a la oficina"/>
    <s v="Mucho menor que cuando iba todos los días a la oficina"/>
    <s v="Mucho menor que cuando iba todos los días a la oficina"/>
    <s v="Mucho Mayor que cuando iba todos los días a la oficina"/>
    <s v="Mucho Mayor que cuando iba todos los días a la oficina"/>
    <s v="Mayor que cuando iba todos los días a la oficina"/>
    <s v="Menos que cuando iba todos los días a la oficina"/>
    <s v="Menores que cuando iba todos los días a la oficina"/>
    <s v="Menor que cuando iba todos los días a la oficina"/>
    <s v="Mucho Mayor que cuando iba todos los días a la oficina"/>
    <s v="Mucho menor que cuando iba todos los días a la oficina"/>
    <s v="Menor que cuando iba todos los días a la oficina"/>
    <s v="Menor que cuando iba todos los días a la oficina"/>
    <s v="Mucho Mayor que cuando iba todos los días a la oficina"/>
    <s v="Mucho peor que cuando iba todos los días a la oficina"/>
    <s v="Mucho menor que cuando iba todos los días a la oficina"/>
    <s v="Menor que cuando iba todos los días a la oficina"/>
    <s v="Mayor que cuando iba todos los días a la oficina"/>
    <s v="Menor que cuando iba todos los días a la oficina"/>
    <s v="Mayor que cuando iba todos los días a la oficina"/>
    <s v="Mayores que cuando iba todos los días a la oficina"/>
    <s v="Mucho menor que cuando iba todos los días a la oficina"/>
    <s v="Igual que cuando iba todos los días a la oficina"/>
    <s v="celiahc823@gmail.com "/>
    <s v="301+ empleados"/>
    <n v="1"/>
  </r>
  <r>
    <s v="México"/>
    <s v="&lt;35 años"/>
    <s v="Masculino"/>
    <s v="Licenciatura"/>
    <s v="&lt;5 años"/>
    <s v="Desarrollador de software"/>
    <s v="Desarrollador de software"/>
    <s v="&lt;50 empleados"/>
    <s v="Fábrica de Software"/>
    <s v="Local"/>
    <s v="Casi Nunca"/>
    <s v="Bajo"/>
    <s v="1-2 días"/>
    <s v="4-5 días"/>
    <s v="Híbrida casa (más días en casa que en la oficina)"/>
    <s v="Impuesta por la empresa"/>
    <s v="De acuerdo"/>
    <s v="Igual que cuando iba todos los días a la oficina"/>
    <s v="Igual que cuando iba todos los días a la oficina"/>
    <s v="Igual que cuando iba todos los días a la oficina"/>
    <s v="Iguales que cuando iba todos los días a la oficina"/>
    <s v="Todas son presenciales"/>
    <s v="Menor que cuando eran en la oficina"/>
    <s v="Igual que cuando iba todos los días a la oficina"/>
    <s v="Igual que cuando iba todos los días a la oficina"/>
    <s v="Igual que cuando iba todos los días a la oficina"/>
    <s v="Menor que cuando iba todos los días a la oficina"/>
    <x v="4"/>
    <x v="2"/>
    <x v="3"/>
    <s v="Igual que cuando iba todos los días a la oficina"/>
    <x v="2"/>
    <s v="Más que cuando iba todos los días a la oficina"/>
    <s v="No trabajo con personas de distintas culturas"/>
    <s v="No trabajo con personas con un horario distinto al mío"/>
    <s v="No trabajo  con personas que se encuentran geográficamente distribuidas"/>
    <s v="Igual que cuando iba todos los días a la oficina"/>
    <s v="Mas que cuando iba todos los días a la oficina"/>
    <s v="Igual que cuando iba todos los días a la oficina"/>
    <s v="Igual que cuando iba todos los días a la oficina"/>
    <s v="Mas que cuando iba todos los días a la oficina"/>
    <s v="Iguales que cuando iba todos los días a la oficina"/>
    <s v="Igual que cuando iba todos los días a la oficina"/>
    <s v="Igual que cuando iba todos los días a la oficina"/>
    <s v="Menor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Mayor que cuando iba todos los días a la oficina"/>
    <s v="Mayores que cuando iba todos los días a la oficina"/>
    <s v="Igual que cuando iba todos los días a la oficina"/>
    <s v="No hay diferencias culturales en mi equipo"/>
    <s v="Mayor que cuando iba todos los días a la oficina"/>
    <s v="Mayores que cuando iba todos los días a la oficina"/>
    <s v="No tengo que utilizar diferentes idiomas en mi trabajo"/>
    <s v="No trabajo con personas con distintos horarios"/>
    <s v="Igual que cuando iba todos los días a la oficina"/>
    <s v="Mayores que cuando iba todos los días a la oficina"/>
    <s v="Mayor que cuando iba todos los días a la oficina"/>
    <s v="Igual que cuando iba todos los días a la oficina"/>
    <s v="Igual que cuando iba todos los días a la oficina"/>
    <s v="Mayores que cuando iba todos los días a la oficina"/>
    <s v="Peor que cuando iba todos los días a la oficina"/>
    <s v="Mayor que cuando iba todos los días a la oficina"/>
    <s v="Menor que cuando iba todos los días a la oficina"/>
    <s v="Igual que cuando iba todos los días a la oficina"/>
    <s v="Menor que cuando iba todos los días a la oficina"/>
    <s v="Menor que cuando iba todos los días a la oficina"/>
    <s v="Igual que cuando iba todos los días a la oficina"/>
    <s v="Mayor que cuando iba todos los días a la oficina"/>
    <s v="Igual que cuando iba todos los días a la oficina"/>
    <s v="Mayor que cuando iba todos los días a la oficina"/>
    <s v="Igual que cuando iba todos los días a la oficina"/>
    <s v="Iguales que cuando iba todos los días a la oficina"/>
    <s v="Igual que cuando iba todos los días a la oficina"/>
    <s v="Mayor que cuando iba todos los días a la oficina"/>
    <s v="Igual que cuando iba todos los días a la oficina"/>
    <s v="Menor que cuando iba todos los días a la oficina"/>
    <s v="Menor que cuando iba todos los días a la oficina"/>
    <s v="Mayor que cuando iba todos los días a la oficina"/>
    <s v="Igual que cuando iba todos los días a la oficina"/>
    <s v="Igual que cuando iba todos los días a la oficina"/>
    <s v="Menor que cuando iba todos los días a la oficina"/>
    <s v="Igual que cuando iba todos los días a la oficina"/>
    <s v="Mayor que cuando iba todos los días a la oficina"/>
    <s v="Igual que cuando iba todos los días a la oficina"/>
    <s v="Mayores que cuando iba todos los días a la oficina"/>
    <s v="Igual que cuando iba todos los días a la oficina"/>
    <s v="Mayor que cuando iba todos los días a la oficina"/>
    <s v="live.alvarez98@gmail.com"/>
    <s v="&lt;301 empleados"/>
    <n v="0"/>
  </r>
  <r>
    <s v="México"/>
    <s v="&lt;35 años"/>
    <s v="Masculino"/>
    <s v="Licenciatura"/>
    <s v="11-20 años"/>
    <s v="Desarrollador SR"/>
    <s v="MTS Software Engineer"/>
    <s v="&gt;500 empleados."/>
    <s v="Fábrica de Software"/>
    <s v="Multinacional"/>
    <s v="Muy Frecuentemente"/>
    <s v="Bajo"/>
    <s v="1-2 días"/>
    <s v="3-4 días"/>
    <s v="Remota ( todos los días en casa)"/>
    <s v="Impuesta por la empresa"/>
    <s v="En desacuerdo"/>
    <s v="Igual que cuando iba todos los días a la oficina"/>
    <s v="Igual que cuando iba todos los días a la oficina"/>
    <s v="Igual que cuando iba todos los días a la oficina"/>
    <s v="Muy diferentes que cuando iba todos los días a la oficina, ahora necesito muchas menos horas para hacer lo mismo"/>
    <s v="Casi todas por videoconferencia"/>
    <s v="Igual que cuando eran en la oficina"/>
    <s v="Igual que cuando iba todos los días a la oficina"/>
    <s v="Igual que cuando iba todos los días a la oficina"/>
    <s v="Igual que cuando iba todos los días a la oficina"/>
    <s v="Mayor que cuando iba todos los días a la oficina"/>
    <x v="0"/>
    <x v="2"/>
    <x v="2"/>
    <s v="Igual que cuando iba todos los días a la oficina"/>
    <x v="3"/>
    <s v="Mucho más que cuando iba todos los días a la oficina"/>
    <s v="Igual que cuando iba todos los días a la oficina"/>
    <s v="Mucho menos que cuando iba todos los días a la oficina"/>
    <s v="Mucho menos que cuando iba todos los días a la oficina"/>
    <s v="Igual que cuando iba todos los días a la oficina"/>
    <s v="Igual que cuando iba todos los días a la oficina"/>
    <s v="Mucho más que cuando iba todos los días a la oficina"/>
    <s v="Mucho mas que cuando iba todos los días a la oficina"/>
    <s v="Igual que cuando iba todos los días a la oficina"/>
    <s v="Iguales que cuando iba todos los días a la oficina"/>
    <s v="Igual que cuando iba todos los días a la oficina"/>
    <s v="Mucho Mayor que cuando iba todos los días a la oficina"/>
    <s v="Mucho menor que cuando iba todos los días a la oficina"/>
    <s v="Mucho menor que cuando iba todos los días a la oficina"/>
    <s v="Mucho menor que cuando iba todos los días a la oficina"/>
    <s v="Mucho menor que cuando iba todos los días a la oficina"/>
    <s v="Igual que cuando iba todos los días a la oficina"/>
    <s v="Mucho menor que cuando iba todos los días a la oficina"/>
    <s v="Iguales que cuando iba todos los días a la oficina"/>
    <s v="Menor que cuando iba todos los días a la oficina"/>
    <s v="Iguales que cuando iba todos los días a la oficina"/>
    <s v="Igual que cuando iba todos los días a la oficina"/>
    <s v="Iguales que cuando iba todos los días a la oficina"/>
    <s v="Iguales que cuando iba todos los días a la oficina"/>
    <s v="Igual que cuando iba todos los días a la oficina"/>
    <s v="Igual que cuando iba todos los días a la oficina"/>
    <s v="Mucho mayores que cuando iba todos los días a la oficina"/>
    <s v="Mucho menor que cuando iba todos los días a la oficina"/>
    <s v="Igual que cuando iba todos los días a la oficina"/>
    <s v="Mucho menos que cuando iba todos los días a la oficina"/>
    <s v="Iguales que cuando iba todos los días a la oficina"/>
    <s v="Igual que cuando iba todos los días a la oficina"/>
    <s v="Mucho menor que cuando iba todos los días a la oficina"/>
    <s v="Mucho menor que cuando iba todos los días a la oficina"/>
    <s v="Mucho menor que cuando iba todos los días a la oficina"/>
    <s v="Igual que cuando iba todos los días a la oficina"/>
    <s v="Igual que cuando iba todos los días a la oficina"/>
    <s v="Igual que cuando iba todos los días a la oficina"/>
    <s v="Mucho menor que cuando iba todos los días a la oficina"/>
    <s v="Mucho menor que cuando iba todos los días a la oficina"/>
    <s v="Igual que cuando iba todos los días a la oficina"/>
    <s v="Igual que cuando iba todos los días a la oficina"/>
    <s v="Iguales que cuando iba todos los días a la oficina"/>
    <s v="Igual que cuando iba todos los días a la oficina"/>
    <s v="Mucho menor que cuando iba todos los días a la oficina"/>
    <s v="Igual que cuando iba todos los días a la oficina"/>
    <s v="Mucho menor que cuando iba todos los días a la oficina"/>
    <s v="Igual que cuando iba todos los días a la oficina"/>
    <s v="Mucho menor que cuando iba todos los días a la oficina"/>
    <s v="Igual que cuando iba todos los días a la oficina"/>
    <s v="Igual que cuando iba todos los días a la oficina"/>
    <s v="Mucho menor que cuando iba todos los días a la oficina"/>
    <s v="Igual que cuando iba todos los días a la oficina"/>
    <s v="Igual que cuando iba todos los días a la oficina"/>
    <s v="Igual que cuando iba todos los días a la oficina"/>
    <s v="Iguales que cuando iba todos los días a la oficina"/>
    <s v="Igual que cuando iba todos los días a la oficina"/>
    <s v="Mucho menor que cuando iba todos los días a la oficina"/>
    <m/>
    <s v="301+ empleados"/>
    <n v="0"/>
  </r>
  <r>
    <s v="México"/>
    <s v="&lt;35 años"/>
    <s v="Masculino"/>
    <s v="Maestría"/>
    <s v="&lt;5 años"/>
    <s v="Director"/>
    <s v="Director"/>
    <s v="&gt;500 empleados."/>
    <s v="Empresa que desarrolla software a medida partiendo desde cero"/>
    <s v="Nacional (múltiples sedes en el mismo país)"/>
    <s v="A veces"/>
    <s v="Bajo"/>
    <s v="1-2 días"/>
    <s v="4-5 días"/>
    <s v="Híbrida oficina (más días en la oficina que en casa)"/>
    <s v="Impuesta por la empresa"/>
    <s v="En desacuerdo"/>
    <s v="Igual que cuando iba todos los días a la oficina"/>
    <s v="Mayor que cuando iba todos los días a la oficina"/>
    <s v="Igual que cuando iba todos los días a la oficina"/>
    <s v="Iguales que cuando iba todos los días a la oficina"/>
    <s v="La mayoría presenciales"/>
    <s v="Mayor que cuando eran en la oficina"/>
    <s v="Igual que cuando iba todos los días a la oficina"/>
    <s v="Mucho menor que cuando iba todos los días a la oficina"/>
    <s v="Menor que cuando iba todos los días a la oficina"/>
    <s v="Menor que cuando iba todos los días a la oficina"/>
    <x v="4"/>
    <x v="1"/>
    <x v="0"/>
    <s v="Menor que cuando iba todos los días a la oficina"/>
    <x v="1"/>
    <s v="Mucho más que cuando iba todos los días a la oficina"/>
    <s v="No trabajo con personas de distintas culturas"/>
    <s v="Más que cuando iba todos los días a la oficina"/>
    <s v="No trabajo  con personas que se encuentran geográficamente distribuidas"/>
    <s v="Mucho más que cuando iba todos los días a la oficina"/>
    <s v="Mas que cuando iba todos los días a la oficina"/>
    <s v="Mucho más que cuando iba todos los días a la oficina"/>
    <s v="Mas que cuando iba todos los días a la oficina"/>
    <s v="Mas que cuando iba todos los días a la oficina"/>
    <s v="Mayores que cuando iba todos los días a la oficina"/>
    <s v="Mayor que cuando iba todos los días a la oficina"/>
    <s v="Mayor que cuando iba todos los días a la oficina"/>
    <s v="Mayor que cuando iba todos los días a la oficina"/>
    <s v="Menor que cuando iba todos los días a la oficina"/>
    <s v="Menor que cuando iba todos los días a la oficina"/>
    <s v="Mayor que cuando iba todos los días a la oficina"/>
    <s v="Mayor que cuando iba todos los días a la oficina"/>
    <s v="Mayor que cuando iba todos los días a la oficina"/>
    <s v="Menores que cuando iba todos los días a la oficina"/>
    <s v="Menor que cuando iba todos los días a la oficina"/>
    <s v="No hay diferencias culturales en mi equipo"/>
    <s v="Mayor que cuando iba todos los días a la oficina"/>
    <s v="Mucho mayores que cuando iba todos los días a la oficina"/>
    <s v="No tengo que utilizar diferentes idiomas en mi trabajo"/>
    <s v="Igual que cuando iba todos los días a la oficina"/>
    <s v="Menor que cuando iba todos los días a la oficina"/>
    <s v="Mayores que cuando iba todos los días a la oficina"/>
    <s v="Mayor que cuando iba todos los días a la oficina"/>
    <s v="Mayor que cuando iba todos los días a la oficina"/>
    <s v="Mucho más que cuando iba todos los días a la oficina"/>
    <s v="Mayores que cuando iba todos los días a la oficina"/>
    <s v="Peor que cuando iba todos los días a la oficina"/>
    <s v="Menor que cuando iba todos los días a la oficina"/>
    <s v="Menor que cuando iba todos los días a la oficina"/>
    <s v="Mayor que cuando iba todos los días a la oficina"/>
    <s v="Menor que cuando iba todos los días a la oficina"/>
    <s v="Menor que cuando iba todos los días a la oficina"/>
    <s v="Igual que cuando iba todos los días a la oficina"/>
    <s v="Menor que cuando iba todos los días a la oficina"/>
    <s v="Menor que cuando iba todos los días a la oficina"/>
    <s v="Igual que cuando iba todos los días a la oficina"/>
    <s v="Menos que cuando iba todos los días a la oficina"/>
    <s v="Menores que cuando iba todos los días a la oficina"/>
    <s v="Igual que cuando iba todos los días a la oficina"/>
    <s v="Menor que cuando iba todos los días a la oficina"/>
    <s v="Menor que cuando iba todos los días a la oficina"/>
    <s v="Menor que cuando iba todos los días a la oficina"/>
    <s v="Menor que cuando iba todos los días a la oficina"/>
    <s v="Igual que cuando iba todos los días a la oficina"/>
    <s v="Peor que cuando iba todos los días a la oficina"/>
    <s v="Menor que cuando iba todos los días a la oficina"/>
    <s v="Menor que cuando iba todos los días a la oficina"/>
    <s v="Menor que cuando iba todos los días a la oficina"/>
    <s v="Mayor que cuando iba todos los días a la oficina"/>
    <s v="Menor que cuando iba todos los días a la oficina"/>
    <s v="Mayores que cuando iba todos los días a la oficina"/>
    <s v="Menor que cuando iba todos los días a la oficina"/>
    <s v="Mayor que cuando iba todos los días a la oficina"/>
    <s v="victor.ibarra.encinas@gmail.com"/>
    <s v="301+ empleados"/>
    <n v="1"/>
  </r>
  <r>
    <s v="México"/>
    <s v="&lt;35 años"/>
    <s v="Masculino"/>
    <s v="Licenciatura (LCC)"/>
    <s v="&lt;5 años"/>
    <s v="Senior Software Engineer"/>
    <s v="Senior Software Engineer"/>
    <s v="&gt;500 empleados."/>
    <s v="Empresa que subcontrata (outsourcing) los servicios de otra empresa situada en otro país"/>
    <s v="Multinacional"/>
    <s v="Muy Frecuentemente"/>
    <s v="Bajo"/>
    <s v="1-2 días"/>
    <s v="4-5 días"/>
    <s v="Híbrida oficina (más días en la oficina que en casa)"/>
    <s v="Decidida por ti"/>
    <s v="En desacuerdo"/>
    <s v="Igual que cuando iba todos los días a la oficina"/>
    <s v="Igual que cuando iba todos los días a la oficina"/>
    <s v="Igual que cuando iba todos los días a la oficina"/>
    <s v="Iguales que cuando iba todos los días a la oficina"/>
    <s v="Todas por videoconferencia"/>
    <s v="Igual que cuando eran en la oficina"/>
    <s v="Menor cuando iba todos los días a la oficina"/>
    <s v="Menor que cuando iba todos los días a la oficina"/>
    <s v="Igual que cuando iba todos los días a la oficina"/>
    <s v="Menor que cuando iba todos los días a la oficina"/>
    <x v="1"/>
    <x v="2"/>
    <x v="2"/>
    <s v="Mayor que cuando iba todos los días a la oficina"/>
    <x v="1"/>
    <s v="Mucho más que cuando iba todos los días a la oficina"/>
    <s v="Igual que cuando iba todos los días a la oficina"/>
    <s v="No trabajo con personas con un horario distinto al mío"/>
    <s v="Igual que cuando iba todos los días a la oficina"/>
    <s v="No tengo la información para contestar a la pregunta"/>
    <s v="Igual que cuando iba todos los días a la oficina"/>
    <s v="Mas que cuando iba todos los días a la oficina"/>
    <s v="Mucho mas que cuando iba todos los días a la oficina"/>
    <s v="Igual que cuando iba todos los días a la oficina"/>
    <s v="Iguales que cuando iba todos los días a la oficina"/>
    <s v="Igual que cuando iba todos los días a la oficina"/>
    <s v="Igual que cuando iba todos los días a la oficina"/>
    <s v="Menor que cuando iba todos los días a la oficina"/>
    <s v="Igual que cuando iba todos los días a la oficina"/>
    <s v="Mayor que cuando iba todos los días a la oficina"/>
    <s v="Mayor que cuando iba todos los días a la oficina"/>
    <s v="Mayor que cuando iba todos los días a la oficina"/>
    <s v="Mucho mayor que cuando iba todos los días a la oficina"/>
    <s v="Iguales que cuando iba todos los días a la oficina"/>
    <s v="Igual que cuando iba todos los días a la oficina"/>
    <s v="Iguales que cuando iba todos los días a la oficina"/>
    <s v="Igual que cuando iba todos los días a la oficina"/>
    <s v="Iguales que cuando iba todos los días a la oficina"/>
    <s v="Iguales que cuando iba todos los días a la oficina"/>
    <s v="Igual que cuando iba todos los días a la oficina"/>
    <s v="Menor que cuando iba todos los días a la oficina"/>
    <s v="Menores que cuando iba todos los días a la oficina"/>
    <s v="Mayor que cuando iba todos los días a la oficina"/>
    <s v="Mucho mayor que cuando iba todos los días a la oficina"/>
    <s v="No tengo la información para contestar a la pregunta"/>
    <s v="Iguales que cuando iba todos los días a la oficina"/>
    <s v="Igual que cuando iba todos los días a la oficina"/>
    <s v="Menor que cuando iba todos los días a la oficina"/>
    <s v="Menor que cuando iba todos los días a la oficina"/>
    <s v="Mayor que cuando iba todos los días a la oficina"/>
    <s v="Mayor que cuando iba todos los días a la oficina"/>
    <s v="Igual que cuando iba todos los días a la oficina"/>
    <s v="Mayor que cuando iba todos los días a la oficina"/>
    <s v="Mucho Mayor que cuando iba todos los días a la oficina"/>
    <s v="Igual que cuando iba todos los días a la oficina"/>
    <s v="Igual que cuando iba todos los días a la oficina"/>
    <s v="Mas que cuando iba todos los días a la oficina"/>
    <s v="Menores que cuando iba todos los días a la oficina"/>
    <s v="Igual que cuando iba todos los días a la oficina"/>
    <s v="Mayor que cuando iba todos los días a la oficina"/>
    <s v="Menor que cuando iba todos los días a la oficina"/>
    <s v="Igual que cuando iba todos los días a la oficina"/>
    <s v="Mayor que cuando iba todos los días a la oficina"/>
    <s v="Mayor que cuando iba todos los días a la oficina"/>
    <s v="Peor que cuando iba todos los días a la oficina"/>
    <s v="Mayor que cuando iba todos los días a la oficina"/>
    <s v="Menor que cuando iba todos los días a la oficina"/>
    <s v="Igual que cuando iba todos los días a la oficina"/>
    <s v="Mayor que cuando iba todos los días a la oficina"/>
    <s v="Mayor que cuando iba todos los días a la oficina"/>
    <s v="Iguales que cuando iba todos los días a la oficina"/>
    <s v="Menor que cuando iba todos los días a la oficina"/>
    <s v="Menor que cuando iba todos los días a la oficina"/>
    <m/>
    <s v="301+ empleados"/>
    <n v="0"/>
  </r>
  <r>
    <s v="México"/>
    <s v="&lt;35 años"/>
    <s v="Masculino"/>
    <s v="Licenciatura"/>
    <s v="11-20 años"/>
    <s v="Sr. Test Engineer"/>
    <s v="Sr. Staff Software QA Engineer"/>
    <s v="&gt;500 empleados."/>
    <s v="Empresa que desarrolla software a medida partiendo desde cero"/>
    <s v="Multinacional"/>
    <s v="Muy Frecuentemente"/>
    <s v="Bajo"/>
    <s v="1-2 días"/>
    <s v="3-4 días"/>
    <s v="Remota ( todos los días en casa)"/>
    <s v="Consensuada por las dos partes"/>
    <s v="En desacuerdo"/>
    <s v="Igual que cuando iba todos los días a la oficina"/>
    <s v="Igual que cuando iba todos los días a la oficina"/>
    <s v="Mayor que cuando iba todos los días a la oficina"/>
    <s v="Diferentes que cuando iba todos los días a la oficina, ahora necesito menos horas para hacer lo mismo"/>
    <s v="Todas por videoconferencia"/>
    <s v="Mayor que cuando eran en la oficina"/>
    <s v="Mayor que cuando iba todos los días a la oficina"/>
    <s v="Mayor que cuando iba todos los días a la oficina"/>
    <s v="Igual que cuando iba todos los días a la oficina"/>
    <s v="Mayor que cuando iba todos los días a la oficina"/>
    <x v="0"/>
    <x v="1"/>
    <x v="0"/>
    <s v="Igual que cuando iba todos los días a la oficina"/>
    <x v="2"/>
    <s v="Igual que cuando iba todos los días a la oficina"/>
    <s v="Igual que cuando iba todos los días a la oficina"/>
    <s v="Más que cuando iba todos los días a la oficina"/>
    <s v="Igual que cuando iba todos los días a la oficina"/>
    <s v="Más que cuando iba todos los días a la oficina"/>
    <s v="Igual que cuando iba todos los días a la oficina"/>
    <s v="Mas que cuando iba todos los días a la oficina"/>
    <s v="Igual que cuando iba todos los días a la oficina"/>
    <s v="Igual que cuando iba todos los días a la oficina"/>
    <s v="Mayores que cuando iba todos los días a la oficina"/>
    <s v="Mayor que cuando iba todos los días a la oficina"/>
    <s v="Menor que cuando iba todos los días a la oficina"/>
    <s v="Mayor que cuando iba todos los días a la oficina"/>
    <s v="Mayor que cuando iba todos los días a la oficina"/>
    <s v="Mayor que cuando iba todos los días a la oficina"/>
    <s v="Mayor que cuando iba todos los días a la oficina"/>
    <s v="Mayor que cuando iba todos los días a la oficina"/>
    <s v="Mayor que cuando iba todos los días a la oficina"/>
    <s v="Iguales que cuando iba todos los días a la oficina"/>
    <s v="Mayor que cuando iba todos los días a la oficina"/>
    <s v="Iguales que cuando iba todos los días a la oficina"/>
    <s v="Mayor que cuando iba todos los días a la oficina"/>
    <s v="Iguales que cuando iba todos los días a la oficina"/>
    <s v="Iguales que cuando iba todos los días a la oficina"/>
    <s v="Más que cuando iba todos los días a la oficina"/>
    <s v="Igual que cuando iba todos los días a la oficina"/>
    <s v="Menores que cuando iba todos los días a la oficina"/>
    <s v="Mayor que cuando iba todos los días a la oficina"/>
    <s v="Menor que cuando iba todos los días a la oficina"/>
    <s v="Más que cuando iba todos los días a la oficina"/>
    <s v="Mayores que cuando iba todos los días a la oficina"/>
    <s v="Mejor que cuando iba todos los días a la oficina"/>
    <s v="Igual que cuando iba todos los días a la oficina"/>
    <s v="Mayor que cuando iba todos los días a la oficina"/>
    <s v="Mucho mayor que cuando iba todos los días a la oficina"/>
    <s v="Mayor que cuando iba todos los días a la oficina"/>
    <s v="Mucho Mayor que cuando iba todos los días a la oficina"/>
    <s v="Mucho Mayor que cuando iba todos los días a la oficina"/>
    <s v="Mayor que cuando iba todos los días a la oficina"/>
    <s v="Igual que cuando iba todos los días a la oficina"/>
    <s v="Igual que cuando iba todos los días a la oficina"/>
    <s v="Menos que cuando iba todos los días a la oficina"/>
    <s v="Menores que cuando iba todos los días a la oficina"/>
    <s v="Mayor que cuando iba todos los días a la oficina"/>
    <s v="Mayor que cuando iba todos los días a la oficina"/>
    <s v="Mayor que cuando iba todos los días a la oficina"/>
    <s v="Menor que cuando iba todos los días a la oficina"/>
    <s v="Mayor que cuando iba todos los días a la oficina"/>
    <s v="Menor que cuando iba todos los días a la oficina"/>
    <s v="Mejor que cuando iba todos los días a la oficina"/>
    <s v="Mucho Mayor que cuando iba todos los días a la oficina"/>
    <s v="Menor que cuando iba todos los días a la oficina"/>
    <s v="Mayor que cuando iba todos los días a la oficina"/>
    <s v="Mayor que cuando iba todos los días a la oficina"/>
    <s v="Igual que cuando iba todos los días a la oficina"/>
    <s v="Mayores que cuando iba todos los días a la oficina"/>
    <s v="Menor que cuando iba todos los días a la oficina"/>
    <s v="Mayor que cuando iba todos los días a la oficina"/>
    <s v="claudio.canseco@gmail.com"/>
    <s v="301+ empleados"/>
    <n v="0"/>
  </r>
  <r>
    <s v="México"/>
    <s v="&lt;35 años"/>
    <s v="Masculino"/>
    <s v="Licenciatura"/>
    <s v="&lt;5 años"/>
    <s v="Técnico de Proyectos"/>
    <s v="Técnico de proyectos"/>
    <s v="&gt;500 empleados."/>
    <s v="Empresa que desarrolla software a medida partiendo desde cero"/>
    <s v="Multinacional"/>
    <s v="Nunca"/>
    <s v="Bajo"/>
    <s v="1-2 días"/>
    <s v="3-4 días"/>
    <s v="Híbrida oficina (más días en la oficina que en casa)"/>
    <s v="Impuesta por la empresa"/>
    <s v="De acuerdo"/>
    <s v="Menor que cuando iba todos los días a la oficina"/>
    <s v="Menor que cuando iba todos los días a la oficina"/>
    <s v="Menor que cuando iba todos los días a la oficina"/>
    <s v="Muy diferentes que cuando iba todos los días a la oficina, ahora necesito muchas menos horas para hacer lo mismo"/>
    <s v="La Mitad por videoconferencia y la mitad presencial"/>
    <s v="Menor que cuando eran en la oficina"/>
    <s v="Mayor que cuando iba todos los días a la oficina"/>
    <s v="Igual que cuando iba todos los días a la oficina"/>
    <s v="Igual que cuando iba todos los días a la oficina"/>
    <s v="Mayor que cuando iba todos los días a la oficina"/>
    <x v="2"/>
    <x v="1"/>
    <x v="1"/>
    <s v="Menor que cuando iba todos los días a la oficina"/>
    <x v="2"/>
    <s v="Más que cuando iba todos los días a la oficina"/>
    <s v="Mucho menos que cuando iba todos los días a la oficina"/>
    <s v="Más que cuando iba todos los días a la oficina"/>
    <s v="Igual que cuando iba todos los días a la oficina"/>
    <s v="Más que cuando iba todos los días a la oficina"/>
    <s v="Igual que cuando iba todos los días a la oficina"/>
    <s v="Igual que cuando iba todos los días a la oficina"/>
    <s v="Igual que cuando iba todos los días a la oficina"/>
    <s v="Mas que cuando iba todos los días a la oficina"/>
    <s v="Iguales que cuando iba todos los días a la oficina"/>
    <s v="Mayor que cuando iba todos los días a la oficina"/>
    <s v="Igual que cuando iba todos los días a la oficina"/>
    <s v="Menor que cuando iba todos los días a la oficina"/>
    <s v="Igual que cuando iba todos los días a la oficina"/>
    <s v="Menor que cuando iba todos los días a la oficina"/>
    <s v="Igual que cuando iba todos los días a la oficina"/>
    <s v="Igual que cuando iba todos los días a la oficina"/>
    <s v="Mayor que cuando iba todos los días a la oficina"/>
    <s v="Mayores que cuando iba todos los días a la oficina"/>
    <s v="Mayor que cuando iba todos los días a la oficina"/>
    <s v="Iguales que cuando iba todos los días a la oficina"/>
    <s v="Igual que cuando iba todos los días a la oficina"/>
    <s v="Iguales que cuando iba todos los días a la oficina"/>
    <s v="Iguales que cuando iba todos los días a la oficina"/>
    <s v="Menos que cuando iba todos los días a la oficina"/>
    <s v="Igual que cuando iba todos los días a la oficina"/>
    <s v="Iguales que cuando iba todos los días a la oficina"/>
    <s v="Igual que cuando iba todos los días a la oficina"/>
    <s v="Igual que cuando iba todos los días a la oficina"/>
    <s v="Igual que cuando iba todos los días a la oficina"/>
    <s v="Mayores que cuando iba todos los días a la oficina"/>
    <s v="Peor que cuando iba todos los días a la oficina"/>
    <s v="Igual que cuando iba todos los días a la oficina"/>
    <s v="Igual que cuando iba todos los días a la oficina"/>
    <s v="Mucho mayor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Menos que cuando iba todos los días a la oficina"/>
    <s v="Iguales que cuando iba todos los días a la oficina"/>
    <s v="Menor que cuando iba todos los días a la oficina"/>
    <s v="Mayor que cuando iba todos los días a la oficina"/>
    <s v="Menor que cuando iba todos los días a la oficina"/>
    <s v="Igual que cuando iba todos los días a la oficina"/>
    <s v="Menor que cuando iba todos los días a la oficina"/>
    <s v="Igual que cuando iba todos los días a la oficina"/>
    <s v="Peor que cuando iba todos los días a la oficina"/>
    <s v="Menor que cuando iba todos los días a la oficina"/>
    <s v="Menor que cuando iba todos los días a la oficina"/>
    <s v="Igual que cuando iba todos los días a la oficina"/>
    <s v="Igual que cuando iba todos los días a la oficina"/>
    <s v="Igual que cuando iba todos los días a la oficina"/>
    <s v="Iguales que cuando iba todos los días a la oficina"/>
    <s v="Igual que cuando iba todos los días a la oficina"/>
    <s v="Mayor que cuando iba todos los días a la oficina"/>
    <m/>
    <s v="301+ empleados"/>
    <n v="0"/>
  </r>
  <r>
    <s v="Argentina"/>
    <s v="36+ años"/>
    <s v="Masculino"/>
    <s v="Universitario"/>
    <s v="11-20 años"/>
    <s v="Desarrollador de software"/>
    <s v="Desarrollador de software"/>
    <s v="&lt;50 empleados"/>
    <s v="Fábrica de Software"/>
    <s v="Local"/>
    <s v="Nunca"/>
    <s v="Alto"/>
    <s v="4-5 días"/>
    <s v="Ninguno"/>
    <s v="Remota ( todos los días en casa)"/>
    <s v="Consensuada por las dos partes"/>
    <s v="En desacuerdo"/>
    <s v="Igual que cuando iba todos los días a la oficina"/>
    <s v="Menor que cuando iba todos los días a la oficina"/>
    <s v="Igual que cuando iba todos los días a la oficina"/>
    <s v="Iguales que cuando iba todos los días a la oficina"/>
    <s v="Todas por videoconferencia"/>
    <s v="Menor que cuando eran en la oficina"/>
    <s v="Mayor que cuando iba todos los días a la oficina"/>
    <s v="Mayor que cuando iba todos los días a la oficina"/>
    <s v="Igual que cuando iba todos los días a la oficina"/>
    <s v="Mayor que cuando iba todos los días a la oficina"/>
    <x v="1"/>
    <x v="2"/>
    <x v="1"/>
    <s v="Mayor que cuando iba todos los días a la oficina"/>
    <x v="4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es que cuando iba todos los días a la oficina"/>
    <s v="Igual que cuando iba todos los días a la oficina"/>
    <s v="Igual que cuando iba todos los días a la oficina"/>
    <s v="Mucho menor que cuando iba todos los días a la oficina"/>
    <s v="Mayor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es que cuando iba todos los días a la oficina"/>
    <s v="Igual que cuando iba todos los días a la oficina"/>
    <s v="No hay diferencias culturales en mi equipo"/>
    <s v="Igual que cuando iba todos los días a la oficina"/>
    <s v="Iguales que cuando iba todos los días a la oficina"/>
    <s v="No tengo que utilizar diferentes idiomas en mi trabajo"/>
    <s v="No trabajo con personas con distintos horarios"/>
    <s v="Igual que cuando iba todos los días a la oficina"/>
    <s v="Mucho menores que cuando iba todos los días a la oficina"/>
    <s v="Mucho mayor que cuando iba todos los días a la oficina"/>
    <s v="Igual que cuando iba todos los días a la oficina"/>
    <s v="Igual que cuando iba todos los días a la oficina"/>
    <s v="Iguales que cuando iba todos los días a la oficina"/>
    <s v="Igual que cuando iba todos los días a la oficina"/>
    <s v="Mayor que cuando iba todos los días a la oficina"/>
    <s v="Mayor que cuando iba todos los días a la oficina"/>
    <s v="Mucho mayor que cuando iba todos los días a la oficina"/>
    <s v="Mayor que cuando iba todos los días a la oficina"/>
    <s v="Mayor que cuando iba todos los días a la oficina"/>
    <s v="Igual que cuando iba todos los días a la oficina"/>
    <s v="Mayor que cuando iba todos los días a la oficina"/>
    <s v="Igual que cuando iba todos los días a la oficina"/>
    <s v="Igual que cuando iba todos los días a la oficina"/>
    <s v="Menos que cuando iba todos los días a la oficina"/>
    <s v="Menores que cuando iba todos los días a la oficina"/>
    <s v="Mayor que cuando iba todos los días a la oficina"/>
    <s v="Mucho Mayor que cuando iba todos los días a la oficina"/>
    <s v="Menor que cuando iba todos los días a la oficina"/>
    <s v="Igual que cuando iba todos los días a la oficina"/>
    <s v="Igual que cuando iba todos los días a la oficina"/>
    <s v="Mayor que cuando iba todos los días a la oficina"/>
    <s v="Igual que cuando iba todos los días a la oficina"/>
    <s v="Igual que cuando iba todos los días a la oficina"/>
    <s v="Menor que cuando iba todos los días a la oficina"/>
    <s v="Igual que cuando iba todos los días a la oficina"/>
    <s v="Mayor que cuando iba todos los días a la oficina"/>
    <s v="Igual que cuando iba todos los días a la oficina"/>
    <s v="Iguales que cuando iba todos los días a la oficina"/>
    <s v="Menor que cuando iba todos los días a la oficina"/>
    <s v="Igual que cuando iba todos los días a la oficina"/>
    <s v="facundo.giardino@gmail.com"/>
    <s v="&lt;301 empleados"/>
    <n v="0"/>
  </r>
  <r>
    <s v="Colombia"/>
    <s v="&lt;35 años"/>
    <s v="Masculino"/>
    <s v="Postgrado"/>
    <s v="11-20 años"/>
    <s v="Analista"/>
    <s v="Líder técnico"/>
    <s v="&gt;500 empleados."/>
    <s v="Empresa que subcontrata (outsourcing) los servicios de otra del mismo país"/>
    <s v="Multinacional"/>
    <s v="A veces"/>
    <s v="Alto"/>
    <s v="3-4 días"/>
    <s v="1-2 días"/>
    <s v="Remota ( todos los días en casa)"/>
    <s v="Impuesta por la empresa"/>
    <s v="Totalmente de acuerdo"/>
    <s v="Mucho mayor que cuando iba todos los días a la oficina"/>
    <s v="Mayor que cuando iba todos los días a la oficina"/>
    <s v="Mayor que cuando iba todos los días a la oficina"/>
    <s v="Muy diferentes que cuando iba todos los días a la oficina, ahora necesito muchas menos horas para hacer lo mismo"/>
    <s v="Casi todas por videoconferencia"/>
    <s v="Mucho menor que cuando eran en la oficina"/>
    <s v="Mayor que cuando iba todos los días a la oficina"/>
    <s v="Mucho Mayor que cuando iba todos los días a la oficina"/>
    <s v="Mucho Mayor que cuando iba todos los días a la oficina"/>
    <s v="Mayor que cuando iba todos los días a la oficina"/>
    <x v="0"/>
    <x v="1"/>
    <x v="0"/>
    <s v="Mayor que cuando iba todos los días a la oficina"/>
    <x v="2"/>
    <s v="Igual que cuando iba todos los días a la oficina"/>
    <s v="Mucho menos que cuando iba todos los días a la oficina"/>
    <s v="Igual que cuando iba todos los días a la oficina"/>
    <s v="Menos que cuando iba todos los días a la oficina"/>
    <s v="Menos que cuando iba todos los días a la oficina"/>
    <s v="Mucho menos que cuando iba todos los días a la oficina"/>
    <s v="Mas que cuando iba todos los días a la oficina"/>
    <s v="Igual que cuando iba todos los días a la oficina"/>
    <s v="Igual que cuando iba todos los días a la oficina"/>
    <s v="Mucho Mayores que cuando iba todos los días a la oficina"/>
    <s v="Mucho Mayor que cuando iba todos los días a la oficina"/>
    <s v="Mayor que cuando iba todos los días a la oficina"/>
    <s v="Menor que cuando iba todos los días a la oficina"/>
    <s v="Mayor que cuando iba todos los días a la oficina"/>
    <s v="Menor que cuando iba todos los días a la oficina"/>
    <s v="Menor que cuando iba todos los días a la oficina"/>
    <s v="Igual que cuando iba todos los días a la oficina"/>
    <s v="Mucho mayor que cuando iba todos los días a la oficina"/>
    <s v="Menores que cuando iba todos los días a la oficina"/>
    <s v="Mucho mayor que cuando iba todos los días a la oficina"/>
    <s v="Menores que cuando iba todos los días a la oficina"/>
    <s v="Mucho mayor que cuando iba todos los días a la oficina"/>
    <s v="Menores que cuando iba todos los días a la oficina"/>
    <s v="Mucho menores que cuando iba todos los días a la oficina"/>
    <s v="Mucho menos que cuando iba todos los días a la oficina"/>
    <s v="Menor que cuando iba todos los días a la oficina"/>
    <s v="Menores que cuando iba todos los días a la oficina"/>
    <s v="Mayor que cuando iba todos los días a la oficina"/>
    <s v="Igual que cuando iba todos los días a la oficina"/>
    <s v="Igual que cuando iba todos los días a la oficina"/>
    <s v="Menores que cuando iba todos los días a la oficina"/>
    <s v="Mejor que cuando iba todos los días a la oficina"/>
    <s v="Mayor que cuando iba todos los días a la oficina"/>
    <s v="Mayor que cuando iba todos los días a la oficina"/>
    <s v="Mucho mayor que cuando iba todos los días a la oficina"/>
    <s v="Mucho Mayor que cuando iba todos los días a la oficina"/>
    <s v="Mucho Mayor que cuando iba todos los días a la oficina"/>
    <s v="Mucho Mayor que cuando iba todos los días a la oficina"/>
    <s v="Mayor que cuando iba todos los días a la oficina"/>
    <s v="Menor que cuando iba todos los días a la oficina"/>
    <s v="Menor que cuando iba todos los días a la oficina"/>
    <s v="Mas que cuando iba todos los días a la oficina"/>
    <s v="Mayores que cuando iba todos los días a la oficina"/>
    <s v="Mayor que cuando iba todos los días a la oficina"/>
    <s v="Mucho Mayor que cuando iba todos los días a la oficina"/>
    <s v="Mayor que cuando iba todos los días a la oficina"/>
    <s v="Menor que cuando iba todos los días a la oficina"/>
    <s v="Mayor que cuando iba todos los días a la oficina"/>
    <s v="Menor que cuando iba todos los días a la oficina"/>
    <s v="Mucho Mejor que cuando iba todos los días a la oficina"/>
    <s v="Mayor que cuando iba todos los días a la oficina"/>
    <s v="Mayor que cuando iba todos los días a la oficina"/>
    <s v="Mayor que cuando iba todos los días a la oficina"/>
    <s v="Mayor que cuando iba todos los días a la oficina"/>
    <s v="Igual que cuando iba todos los días a la oficina"/>
    <s v="Menores que cuando iba todos los días a la oficina"/>
    <s v="Mayor que cuando iba todos los días a la oficina"/>
    <s v="Mayor que cuando iba todos los días a la oficina"/>
    <s v="pentacool+andes@gmail.com"/>
    <s v="301+ empleados"/>
    <n v="1"/>
  </r>
  <r>
    <s v="Colombia"/>
    <s v="&lt;35 años"/>
    <s v="Masculino"/>
    <s v="Especialización"/>
    <s v="5-10 años"/>
    <s v="Analista de Aplicaciones"/>
    <s v="Arquitecto de Aplicaciones"/>
    <s v="151-300 empleados"/>
    <s v="Empresa que subcontrata (outsourcing) los servicios de otra del mismo país"/>
    <s v="Local"/>
    <s v="Nunca"/>
    <s v="Alto"/>
    <s v="3-4 días"/>
    <s v="1-2 días"/>
    <s v="Híbrida casa (más días en casa que en la oficina)"/>
    <s v="Impuesta por la empresa"/>
    <s v="Totalmente en desacuerdo"/>
    <s v="Igual que cuando iba todos los días a la oficina"/>
    <s v="Igual que cuando iba todos los días a la oficina"/>
    <s v="Igual que cuando iba todos los días a la oficina"/>
    <s v="Diferentes que cuando iba todos los días a la oficina, ahora necesito menos horas para hacer lo mismo"/>
    <s v="Casi todas por videoconferencia"/>
    <s v="Igual que cuando eran en la oficina"/>
    <s v="Mucho Mayor que cuando iba todos los días a la oficina"/>
    <s v="No tengo la información para contestar a la pregunta"/>
    <s v="Mayor que cuando iba todos los días a la oficina"/>
    <s v="Mayor que cuando iba todos los días a la oficina"/>
    <x v="2"/>
    <x v="0"/>
    <x v="2"/>
    <s v="Igual que cuando iba todos los días a la oficina"/>
    <x v="4"/>
    <s v="Igual que cuando iba todos los días a la oficina"/>
    <s v="No trabajo con personas de distintas culturas"/>
    <s v="Igual que cuando iba todos los días a la oficina"/>
    <s v="Mucho menos que cuando iba todos los días a la oficina"/>
    <s v="No tengo la información para contestar a la pregunta"/>
    <s v="Menos que cuando iba todos los días a la oficina"/>
    <s v="Igual que cuando iba todos los días a la oficina"/>
    <s v="Igual que cuando iba todos los días a la oficina"/>
    <s v="Igual que cuando iba todos los días a la oficina"/>
    <s v="Mayores que cuando iba todos los días a la oficina"/>
    <s v="Menor que cuando iba todos los días a la oficina"/>
    <s v="Igual que cuando iba todos los días a la oficina"/>
    <s v="Igual que cuando iba todos los días a la oficina"/>
    <s v="Igual que cuando iba todos los días a la oficina"/>
    <s v="Menor que cuando iba todos los días a la oficina"/>
    <s v="Menor que cuando iba todos los días a la oficina"/>
    <s v="Igual que cuando iba todos los días a la oficina"/>
    <s v="Mayor que cuando iba todos los días a la oficina"/>
    <s v="Iguales que cuando iba todos los días a la oficina"/>
    <s v="Mucho mayor que cuando iba todos los días a la oficina"/>
    <s v="No hay diferencias culturales en mi equipo"/>
    <s v="Igual que cuando iba todos los días a la oficina"/>
    <s v="Menores que cuando iba todos los días a la oficina"/>
    <s v="No tengo que utilizar diferentes idiomas en mi trabajo"/>
    <s v="Igual que cuando iba todos los días a la oficina"/>
    <s v="Igual que cuando iba todos los días a la oficina"/>
    <s v="Menores que cuando iba todos los días a la oficina"/>
    <s v="Mayor que cuando iba todos los días a la oficina"/>
    <s v="Igual que cuando iba todos los días a la oficina"/>
    <s v="No tengo la información para contestar a la pregunta"/>
    <s v="Iguales que cuando iba todos los días a la oficina"/>
    <s v="Igual que cuando iba todos los días a la oficina"/>
    <s v="Mayor que cuando iba todos los días a la oficina"/>
    <s v="Mayor que cuando iba todos los días a la oficina"/>
    <s v="Mucho mayor que cuando iba todos los días a la oficina"/>
    <s v="Igual que cuando iba todos los días a la oficina"/>
    <s v="Igual que cuando iba todos los días a la oficina"/>
    <s v="Igual que cuando iba todos los días a la oficina"/>
    <s v="Mayor que cuando iba todos los días a la oficina"/>
    <s v="Mucho Mayor que cuando iba todos los días a la oficina"/>
    <s v="Igual que cuando iba todos los días a la oficina"/>
    <s v="Mucho mas que cuando iba todos los días a la oficina"/>
    <s v="Iguales que cuando iba todos los días a la oficina"/>
    <s v="Mayor que cuando iba todos los días a la oficina"/>
    <s v="Mayor que cuando iba todos los días a la oficina"/>
    <s v="Igual que cuando iba todos los días a la oficina"/>
    <s v="Mayor que cuando iba todos los días a la oficina"/>
    <s v="Igual que cuando iba todos los días a la oficina"/>
    <s v="Igual que cuando iba todos los días a la oficina"/>
    <s v="Igual que cuando iba todos los días a la oficina"/>
    <s v="Mucho Mayor que cuando iba todos los días a la oficina"/>
    <s v="Igual que cuando iba todos los días a la oficina"/>
    <s v="Igual que cuando iba todos los días a la oficina"/>
    <s v="Mucho Mayor que cuando iba todos los días a la oficina"/>
    <s v="Igual que cuando iba todos los días a la oficina"/>
    <s v="Iguales que cuando iba todos los días a la oficina"/>
    <s v="Igual que cuando iba todos los días a la oficina"/>
    <s v="Mucho mayor que cuando iba todos los días a la oficina"/>
    <s v="jesteban.ruiz9@gmail.com"/>
    <s v="&lt;301 empleados"/>
    <n v="0"/>
  </r>
  <r>
    <s v="Colombia"/>
    <s v="&lt;35 años"/>
    <s v="Masculino"/>
    <s v="Estudiante Maestria"/>
    <s v="&lt;5 años"/>
    <s v="Back office"/>
    <s v="Desarrollador Jr"/>
    <s v="51-150 empleados"/>
    <s v="Empresa que subcontrata (outsourcing) los servicios de otra empresa situada en otro país"/>
    <s v="Multinacional"/>
    <s v="A veces"/>
    <s v="Alto"/>
    <s v="3-4 días"/>
    <s v="1-2 días"/>
    <s v="Híbrida casa (más días en casa que en la oficina)"/>
    <s v="Impuesta por la empresa"/>
    <s v="Totalmente de acuerdo"/>
    <s v="Igual que cuando iba todos los días a la oficina"/>
    <s v="Mayor que cuando iba todos los días a la oficina"/>
    <s v="Igual que cuando iba todos los días a la oficina"/>
    <s v="Muy diferentes que cuando iba todos los días a la oficina, ahora necesito muchas menos horas para hacer lo mismo"/>
    <s v="Casi todas por videoconferencia"/>
    <s v="Mucho menor que cuando eran en la oficina"/>
    <s v="Mayor que cuando iba todos los días a la oficina"/>
    <s v="Mucho Mayor que cuando iba todos los días a la oficina"/>
    <s v="Mayor que cuando iba todos los días a la oficina"/>
    <s v="Igual que cuando iba todos los días a la oficina"/>
    <x v="1"/>
    <x v="1"/>
    <x v="0"/>
    <s v="Mayor que cuando iba todos los días a la oficina"/>
    <x v="2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Menos que cuando iba todos los días a la oficina"/>
    <s v="Iguales que cuando iba todos los días a la oficina"/>
    <s v="Menor que cuando iba todos los días a la oficina"/>
    <s v="Mayor que cuando iba todos los días a la oficina"/>
    <s v="Menor que cuando iba todos los días a la oficina"/>
    <s v="Mayor que cuando iba todos los días a la oficina"/>
    <s v="Menor que cuando iba todos los días a la oficina"/>
    <s v="Menor que cuando iba todos los días a la oficina"/>
    <s v="Menor que cuando iba todos los días a la oficina"/>
    <s v="Mayor que cuando iba todos los días a la oficina"/>
    <s v="Iguales que cuando iba todos los días a la oficina"/>
    <s v="Igual que cuando iba todos los días a la oficina"/>
    <s v="Iguales que cuando iba todos los días a la oficina"/>
    <s v="Mayor que cuando iba todos los días a la oficina"/>
    <s v="Iguales que cuando iba todos los días a la oficina"/>
    <s v="Iguales que cuando iba todos los días a la oficina"/>
    <s v="Igual que cuando iba todos los días a la oficina"/>
    <s v="Igual que cuando iba todos los días a la oficina"/>
    <s v="Iguales que cuando iba todos los días a la oficina"/>
    <s v="Mayor que cuando iba todos los días a la oficina"/>
    <s v="Igual que cuando iba todos los días a la oficina"/>
    <s v="Igual que cuando iba todos los días a la oficina"/>
    <s v="Iguales que cuando iba todos los días a la oficina"/>
    <s v="Igual que cuando iba todos los días a la oficina"/>
    <s v="Mayor que cuando iba todos los días a la oficina"/>
    <s v="Mayor que cuando iba todos los días a la oficina"/>
    <s v="Mayor que cuando iba todos los días a la oficina"/>
    <s v="Mayor que cuando iba todos los días a la oficina"/>
    <s v="Mayor que cuando iba todos los días a la oficina"/>
    <s v="Mayor que cuando iba todos los días a la oficina"/>
    <s v="Mayor que cuando iba todos los días a la oficina"/>
    <s v="Mayor que cuando iba todos los días a la oficina"/>
    <s v="Igual que cuando iba todos los días a la oficina"/>
    <s v="Igual que cuando iba todos los días a la oficina"/>
    <s v="Iguales que cuando iba todos los días a la oficina"/>
    <s v="Mayor que cuando iba todos los días a la oficina"/>
    <s v="Mayor que cuando iba todos los días a la oficina"/>
    <s v="Igual que cuando iba todos los días a la oficina"/>
    <s v="Menor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es que cuando iba todos los días a la oficina"/>
    <s v="Igual que cuando iba todos los días a la oficina"/>
    <s v="Mayor que cuando iba todos los días a la oficina"/>
    <s v="Ca.ariasv1@uniandes.edu.co"/>
    <s v="&lt;301 empleados"/>
    <n v="0"/>
  </r>
  <r>
    <s v="Colombia"/>
    <s v="&lt;35 años"/>
    <s v="Femenino"/>
    <s v="Especialización"/>
    <s v="11-20 años"/>
    <s v="Consultor HCM"/>
    <s v="Project Manager"/>
    <s v="&gt;500 empleados."/>
    <s v="Empresa que subcontrata (outsourcing) los servicios de otra del mismo país"/>
    <s v="Local"/>
    <s v="Frecuentemente"/>
    <s v="Alto"/>
    <s v="3-4 días"/>
    <s v="1-2 días"/>
    <s v="Híbrida casa (más días en casa que en la oficina)"/>
    <s v="Impuesta por la empresa"/>
    <s v="Totalmente en desacuerdo"/>
    <s v="Igual que cuando iba todos los días a la oficina"/>
    <s v="Menor que cuando iba todos los días a la oficina"/>
    <s v="Igual que cuando iba todos los días a la oficina"/>
    <s v="Diferentes que cuando iba todos los días a la oficina, ahora necesito menos horas para hacer lo mismo"/>
    <s v="La Mitad por videoconferencia y la mitad presencial"/>
    <s v="Mayor que cuando eran en la oficina"/>
    <s v="Menor cuando iba todos los días a la oficina"/>
    <s v="Menor que cuando iba todos los días a la oficina"/>
    <s v="Menor que cuando iba todos los días a la oficina"/>
    <s v="Mayor que cuando iba todos los días a la oficina"/>
    <x v="2"/>
    <x v="2"/>
    <x v="3"/>
    <s v="Menor que cuando iba todos los días a la oficina"/>
    <x v="2"/>
    <s v="Mucho más que cuando iba todos los días a la oficina"/>
    <s v="Igual que cuando iba todos los días a la oficina"/>
    <s v="Más que cuando iba todos los días a la oficina"/>
    <s v="Más que cuando iba todos los días a la oficina"/>
    <s v="Igual que cuando iba todos los días a la oficina"/>
    <s v="Igual que cuando iba todos los días a la oficina"/>
    <s v="Mas que cuando iba todos los días a la oficina"/>
    <s v="Mas que cuando iba todos los días a la oficina"/>
    <s v="Igual que cuando iba todos los días a la oficina"/>
    <s v="Iguales que cuando iba todos los días a la oficina"/>
    <s v="Mayor que cuando iba todos los días a la oficina"/>
    <s v="Mayor que cuando iba todos los días a la oficina"/>
    <s v="Mayor que cuando iba todos los días a la oficina"/>
    <s v="Igual que cuando iba todos los días a la oficina"/>
    <s v="Mayor que cuando iba todos los días a la oficina"/>
    <s v="Mayor que cuando iba todos los días a la oficina"/>
    <s v="Igual que cuando iba todos los días a la oficina"/>
    <s v="Mayor que cuando iba todos los días a la oficina"/>
    <s v="Mayores que cuando iba todos los días a la oficina"/>
    <s v="Menor que cuando iba todos los días a la oficina"/>
    <s v="Iguales que cuando iba todos los días a la oficina"/>
    <s v="Mayor que cuando iba todos los días a la oficina"/>
    <s v="Mayores que cuando iba todos los días a la oficina"/>
    <s v="Iguales que cuando iba todos los días a la oficina"/>
    <s v="Igual que cuando iba todos los días a la oficina"/>
    <s v="Mayor que cuando iba todos los días a la oficina"/>
    <s v="Iguales que cuando iba todos los días a la oficina"/>
    <s v="Mayor que cuando iba todos los días a la oficina"/>
    <s v="Mayor que cuando iba todos los días a la oficina"/>
    <s v="Más que cuando iba todos los días a la oficina"/>
    <s v="Mayores que cuando iba todos los días a la oficina"/>
    <s v="Peor que cuando iba todos los días a la oficina"/>
    <s v="Igual que cuando iba todos los días a la oficina"/>
    <s v="Mayor que cuando iba todos los días a la oficina"/>
    <s v="Mayor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Mayor que cuando iba todos los días a la oficina"/>
    <s v="Igual que cuando iba todos los días a la oficina"/>
    <s v="Menores que cuando iba todos los días a la oficina"/>
    <s v="Menor que cuando iba todos los días a la oficina"/>
    <s v="Menor que cuando iba todos los días a la oficina"/>
    <s v="Igual que cuando iba todos los días a la oficina"/>
    <s v="Igual que cuando iba todos los días a la oficina"/>
    <s v="Mayor que cuando iba todos los días a la oficina"/>
    <s v="Igual que cuando iba todos los días a la oficina"/>
    <s v="Igual que cuando iba todos los días a la oficina"/>
    <s v="Igual que cuando iba todos los días a la oficina"/>
    <s v="Menor que cuando iba todos los días a la oficina"/>
    <s v="Menor que cuando iba todos los días a la oficina"/>
    <s v="Mayor que cuando iba todos los días a la oficina"/>
    <s v="Mayor que cuando iba todos los días a la oficina"/>
    <s v="Iguales que cuando iba todos los días a la oficina"/>
    <s v="Igual que cuando iba todos los días a la oficina"/>
    <s v="Menor que cuando iba todos los días a la oficina"/>
    <m/>
    <s v="301+ empleados"/>
    <n v="1"/>
  </r>
  <r>
    <s v="Colombia"/>
    <s v="&lt;35 años"/>
    <s v="Masculino"/>
    <s v="Maestría"/>
    <s v="5-10 años"/>
    <s v="Consultor Jr"/>
    <s v="Gerente"/>
    <s v="51-150 empleados"/>
    <s v="Empresa que desarrolla software a medida partiendo desde cero"/>
    <s v="Multinacional"/>
    <s v="A veces"/>
    <s v="Alto"/>
    <s v="3-4 días"/>
    <s v="1-2 días"/>
    <s v="Híbrida oficina (más días en la oficina que en casa)"/>
    <s v="Impuesta por la empresa"/>
    <s v="De acuerdo"/>
    <s v="Mucho menor que cuando iba todos los días a la oficina"/>
    <s v="Menor que cuando iba todos los días a la oficina"/>
    <s v="Mayor que cuando iba todos los días a la oficina"/>
    <s v="Diferentes que cuando iba todos los días a la oficina, ahora necesito más horas para hacer lo mismo"/>
    <s v="Todas por videoconferencia"/>
    <s v="Mayor que cuando eran en la oficina"/>
    <s v="Menor cuando iba todos los días a la oficina"/>
    <s v="Menor que cuando iba todos los días a la oficina"/>
    <s v="Igual que cuando iba todos los días a la oficina"/>
    <s v="Menor que cuando iba todos los días a la oficina"/>
    <x v="3"/>
    <x v="3"/>
    <x v="3"/>
    <s v="Mayor que cuando iba todos los días a la oficina"/>
    <x v="0"/>
    <s v="Mucho más que cuando iba todos los días a la oficina"/>
    <s v="Más que cuando iba todos los días a la oficina"/>
    <s v="Menos que cuando iba todos los días a la oficina"/>
    <s v="Más que cuando iba todos los días a la oficina"/>
    <s v="Más que cuando iba todos los días a la oficina"/>
    <s v="Mas que cuando iba todos los días a la oficina"/>
    <s v="Mucho más que cuando iba todos los días a la oficina"/>
    <s v="Mas que cuando iba todos los días a la oficina"/>
    <s v="Mas que cuando iba todos los días a la oficina"/>
    <s v="Menores que cuando iba todos los días a la oficina"/>
    <s v="Mayor que cuando iba todos los días a la oficina"/>
    <s v="Igual que cuando iba todos los días a la oficina"/>
    <s v="Mucho Mayor que cuando iba todos los días a la oficina"/>
    <s v="Igual que cuando iba todos los días a la oficina"/>
    <s v="Mayor que cuando iba todos los días a la oficina"/>
    <s v="Mayor que cuando iba todos los días a la oficina"/>
    <s v="Igual que cuando iba todos los días a la oficina"/>
    <s v="Mayor que cuando iba todos los días a la oficina"/>
    <s v="Mayores que cuando iba todos los días a la oficina"/>
    <s v="Mayor que cuando iba todos los días a la oficina"/>
    <s v="Mayores que cuando iba todos los días a la oficina"/>
    <s v="Mayor que cuando iba todos los días a la oficina"/>
    <s v="Mayores que cuando iba todos los días a la oficina"/>
    <s v="Iguales que cuando iba todos los días a la oficina"/>
    <s v="Igual que cuando iba todos los días a la oficina"/>
    <s v="Igual que cuando iba todos los días a la oficina"/>
    <s v="Mayores que cuando iba todos los días a la oficina"/>
    <s v="Menor que cuando iba todos los días a la oficina"/>
    <s v="Mayor que cuando iba todos los días a la oficina"/>
    <s v="Mucho más que cuando iba todos los días a la oficina"/>
    <s v="Mayores que cuando iba todos los días a la oficina"/>
    <s v="Igual que cuando iba todos los días a la oficina"/>
    <s v="Mayor que cuando iba todos los días a la oficina"/>
    <s v="Menor que cuando iba todos los días a la oficina"/>
    <s v="Mayor que cuando iba todos los días a la oficina"/>
    <s v="Mayor que cuando iba todos los días a la oficina"/>
    <s v="Igual que cuando iba todos los días a la oficina"/>
    <s v="Mayor que cuando iba todos los días a la oficina"/>
    <s v="Igual que cuando iba todos los días a la oficina"/>
    <s v="Igual que cuando iba todos los días a la oficina"/>
    <s v="Menor que cuando iba todos los días a la oficina"/>
    <s v="Igual que cuando iba todos los días a la oficina"/>
    <s v="Mayores que cuando iba todos los días a la oficina"/>
    <s v="Igual que cuando iba todos los días a la oficina"/>
    <s v="Igual que cuando iba todos los días a la oficina"/>
    <s v="Mayor que cuando iba todos los días a la oficina"/>
    <s v="Mayor que cuando iba todos los días a la oficina"/>
    <s v="Mayor que cuando iba todos los días a la oficina"/>
    <s v="Mucho Mayor que cuando iba todos los días a la oficina"/>
    <s v="Mejor que cuando iba todos los días a la oficina"/>
    <s v="Menor que cuando iba todos los días a la oficina"/>
    <s v="Igual que cuando iba todos los días a la oficina"/>
    <s v="Igual que cuando iba todos los días a la oficina"/>
    <s v="Mayor que cuando iba todos los días a la oficina"/>
    <s v="Mayor que cuando iba todos los días a la oficina"/>
    <s v="Mayores que cuando iba todos los días a la oficina"/>
    <s v="Igual que cuando iba todos los días a la oficina"/>
    <s v="Menor que cuando iba todos los días a la oficina"/>
    <s v="danimorenod92@gmail.com"/>
    <s v="&lt;301 empleados"/>
    <n v="1"/>
  </r>
  <r>
    <s v="Colombia"/>
    <s v="&lt;35 años"/>
    <s v="Masculino"/>
    <s v="Profesional"/>
    <s v="11-20 años"/>
    <s v="Coordinador Sistemas de Apoyo"/>
    <s v="Coordinador CRM y Sitios Web"/>
    <s v="&gt;500 empleados."/>
    <s v="Fábrica de Software"/>
    <s v="Local"/>
    <s v="A veces"/>
    <s v="Alto"/>
    <s v="3-4 días"/>
    <s v="1-2 días"/>
    <s v="Híbrida casa (más días en casa que en la oficina)"/>
    <s v="Impuesta por la empresa"/>
    <s v="Totalmente en desacuerdo"/>
    <s v="Mayor que cuando iba todos los días a la oficina"/>
    <s v="Igual que cuando iba todos los días a la oficina"/>
    <s v="Mayor que cuando iba todos los días a la oficina"/>
    <s v="Diferentes que cuando iba todos los días a la oficina, ahora necesito más horas para hacer lo mismo"/>
    <s v="Casi todas por videoconferencia"/>
    <s v="Igual que cuando eran en la oficina"/>
    <s v="Mayor que cuando iba todos los días a la oficina"/>
    <s v="Mayor que cuando iba todos los días a la oficina"/>
    <s v="Igual que cuando iba todos los días a la oficina"/>
    <s v="Menor que cuando iba todos los días a la oficina"/>
    <x v="0"/>
    <x v="0"/>
    <x v="0"/>
    <s v="Mayor que cuando iba todos los días a la oficina"/>
    <x v="1"/>
    <s v="Mucho más que cuando iba todos los días a la oficina"/>
    <s v="Mucho menos que cuando iba todos los días a la oficina"/>
    <s v="Igual que cuando iba todos los días a la oficina"/>
    <s v="Menos que cuando iba todos los días a la oficina"/>
    <s v="Más que cuando iba todos los días a la oficina"/>
    <s v="Igual que cuando iba todos los días a la oficina"/>
    <s v="Mucho más que cuando iba todos los días a la oficina"/>
    <s v="Mas que cuando iba todos los días a la oficina"/>
    <s v="Mucho mas que cuando iba todos los días a la oficina"/>
    <s v="Menores que cuando iba todos los días a la oficina"/>
    <s v="Mayor que cuando iba todos los días a la oficina"/>
    <s v="Igual que cuando iba todos los días a la oficina"/>
    <s v="Mayor que cuando iba todos los días a la oficina"/>
    <s v="Mucho Mayor que cuando iba todos los días a la oficina"/>
    <s v="Igual que cuando iba todos los días a la oficina"/>
    <s v="Menor que cuando iba todos los días a la oficina"/>
    <s v="Mayor que cuando iba todos los días a la oficina"/>
    <s v="Menor que cuando iba todos los días a la oficina"/>
    <s v="Menores que cuando iba todos los días a la oficina"/>
    <s v="Igual que cuando iba todos los días a la oficina"/>
    <s v="Mucho menores que cuando iba todos los días a la oficina"/>
    <s v="Mayor que cuando iba todos los días a la oficina"/>
    <s v="Iguales que cuando iba todos los días a la oficina"/>
    <s v="Iguales que cuando iba todos los días a la oficina"/>
    <s v="Igual que cuando iba todos los días a la oficina"/>
    <s v="Mayor que cuando iba todos los días a la oficina"/>
    <s v="Mayores que cuando iba todos los días a la oficina"/>
    <s v="Menor que cuando iba todos los días a la oficina"/>
    <s v="Menor que cuando iba todos los días a la oficina"/>
    <s v="Más que cuando iba todos los días a la oficina"/>
    <s v="Mayores que cuando iba todos los días a la oficina"/>
    <s v="Mejor que cuando iba todos los días a la oficina"/>
    <s v="Mayor que cuando iba todos los días a la oficina"/>
    <s v="Mayor que cuando iba todos los días a la oficina"/>
    <s v="Menor que cuando iba todos los días a la oficina"/>
    <s v="Mayor que cuando iba todos los días a la oficina"/>
    <s v="Mayor que cuando iba todos los días a la oficina"/>
    <s v="Mayor que cuando iba todos los días a la oficina"/>
    <s v="Igual que cuando iba todos los días a la oficina"/>
    <s v="Mayor que cuando iba todos los días a la oficina"/>
    <s v="Igual que cuando iba todos los días a la oficina"/>
    <s v="Menos que cuando iba todos los días a la oficina"/>
    <s v="Menores que cuando iba todos los días a la oficina"/>
    <s v="Igual que cuando iba todos los días a la oficina"/>
    <s v="Menor que cuando iba todos los días a la oficina"/>
    <s v="Mayor que cuando iba todos los días a la oficina"/>
    <s v="Igual que cuando iba todos los días a la oficina"/>
    <s v="Menor que cuando iba todos los días a la oficina"/>
    <s v="Mayor que cuando iba todos los días a la oficina"/>
    <s v="Igual que cuando iba todos los días a la oficina"/>
    <s v="Mayor que cuando iba todos los días a la oficina"/>
    <s v="Igual que cuando iba todos los días a la oficina"/>
    <s v="Mayor que cuando iba todos los días a la oficina"/>
    <s v="Mayor que cuando iba todos los días a la oficina"/>
    <s v="Menor que cuando iba todos los días a la oficina"/>
    <s v="Menores que cuando iba todos los días a la oficina"/>
    <s v="Igual que cuando iba todos los días a la oficina"/>
    <s v="Mayor que cuando iba todos los días a la oficina"/>
    <m/>
    <s v="301+ empleados"/>
    <n v="0"/>
  </r>
  <r>
    <s v="Colombia"/>
    <s v="&lt;35 años"/>
    <s v="Masculino"/>
    <s v="Postgrado"/>
    <s v="11-20 años"/>
    <s v="Desarrollador"/>
    <s v="Consultor"/>
    <s v="&gt;500 empleados."/>
    <s v="Fábrica de Software"/>
    <s v="Multinacional"/>
    <s v="Muy Frecuentemente"/>
    <s v="Alto"/>
    <s v="3-4 días"/>
    <s v="1-2 días"/>
    <s v="Remota ( todos los días en casa)"/>
    <s v="Impuesta por la empresa"/>
    <s v="Totalmente en desacuerdo"/>
    <s v="Menor que cuando iba todos los días a la oficina"/>
    <s v="Menor que cuando iba todos los días a la oficina"/>
    <s v="Igual que cuando iba todos los días a la oficina"/>
    <s v="Diferentes que cuando iba todos los días a la oficina, ahora necesito menos horas para hacer lo mismo"/>
    <s v="Todas por videoconferencia"/>
    <s v="Igual que cuando eran en la oficina"/>
    <s v="Mucho Mayor que cuando iba todos los días a la oficina"/>
    <s v="No tengo la información para contestar a la pregunta"/>
    <s v="Igual que cuando iba todos los días a la oficina"/>
    <s v="Mayor que cuando iba todos los días a la oficina"/>
    <x v="1"/>
    <x v="1"/>
    <x v="0"/>
    <s v="Menor que cuando iba todos los días a la oficina"/>
    <x v="1"/>
    <s v="Mucho más que cuando iba todos los días a la oficina"/>
    <s v="Igual que cuando iba todos los días a la oficina"/>
    <s v="Igual que cuando iba todos los días a la oficina"/>
    <s v="Igual que cuando iba todos los días a la oficina"/>
    <s v="Mucho más que cuando iba todos los días a la oficina"/>
    <s v="Igual que cuando iba todos los días a la oficina"/>
    <s v="Mas que cuando iba todos los días a la oficina"/>
    <s v="Mas que cuando iba todos los días a la oficina"/>
    <s v="Igual que cuando iba todos los días a la oficina"/>
    <s v="Iguales que cuando iba todos los días a la oficina"/>
    <s v="Igual que cuando iba todos los días a la oficina"/>
    <s v="Menor que cuando iba todos los días a la oficina"/>
    <s v="Mayor que cuando iba todos los días a la oficina"/>
    <s v="Mucho Mayor que cuando iba todos los días a la oficina"/>
    <s v="Mayor que cuando iba todos los días a la oficina"/>
    <s v="Mayor que cuando iba todos los días a la oficina"/>
    <s v="Mayor que cuando iba todos los días a la oficina"/>
    <s v="Mayor que cuando iba todos los días a la oficina"/>
    <s v="Iguales que cuando iba todos los días a la oficina"/>
    <s v="Igual que cuando iba todos los días a la oficina"/>
    <s v="Iguales que cuando iba todos los días a la oficina"/>
    <s v="Igual que cuando iba todos los días a la oficina"/>
    <s v="Iguales que cuando iba todos los días a la oficina"/>
    <s v="Iguales que cuando iba todos los días a la oficina"/>
    <s v="Igual que cuando iba todos los días a la oficina"/>
    <s v="Menor que cuando iba todos los días a la oficina"/>
    <s v="Menores que cuando iba todos los días a la oficina"/>
    <s v="Menor que cuando iba todos los días a la oficina"/>
    <s v="Igual que cuando iba todos los días a la oficina"/>
    <s v="Más que cuando iba todos los días a la oficina"/>
    <s v="Iguales que cuando iba todos los días a la oficina"/>
    <s v="Peor que cuando iba todos los días a la oficina"/>
    <s v="Igual que cuando iba todos los días a la oficina"/>
    <s v="Mayor que cuando iba todos los días a la oficina"/>
    <s v="Mucho mayor que cuando iba todos los días a la oficina"/>
    <s v="Igual que cuando iba todos los días a la oficina"/>
    <s v="Igual que cuando iba todos los días a la oficina"/>
    <s v="Mayor que cuando iba todos los días a la oficina"/>
    <s v="Mayor que cuando iba todos los días a la oficina"/>
    <s v="Igual que cuando iba todos los días a la oficina"/>
    <s v="Mayor que cuando iba todos los días a la oficina"/>
    <s v="Igual que cuando iba todos los días a la oficina"/>
    <s v="Menores que cuando iba todos los días a la oficina"/>
    <s v="Igual que cuando iba todos los días a la oficina"/>
    <s v="Mayor que cuando iba todos los días a la oficina"/>
    <s v="Igual que cuando iba todos los días a la oficina"/>
    <s v="Mayor que cuando iba todos los días a la oficina"/>
    <s v="Menor que cuando iba todos los días a la oficina"/>
    <s v="Mayor que cuando iba todos los días a la oficina"/>
    <s v="Mejor que cuando iba todos los días a la oficina"/>
    <s v="Mayor que cuando iba todos los días a la oficina"/>
    <s v="Menor que cuando iba todos los días a la oficina"/>
    <s v="Menor que cuando iba todos los días a la oficina"/>
    <s v="Igual que cuando iba todos los días a la oficina"/>
    <s v="Igual que cuando iba todos los días a la oficina"/>
    <s v="Mayores que cuando iba todos los días a la oficina"/>
    <s v="Menor que cuando iba todos los días a la oficina"/>
    <s v="Mayor que cuando iba todos los días a la oficina"/>
    <s v="ya.garcia25@uniandes.edu.co"/>
    <s v="301+ empleados"/>
    <n v="0"/>
  </r>
  <r>
    <s v="Colombia"/>
    <s v="&lt;35 años"/>
    <s v="Masculino"/>
    <s v="Maestría"/>
    <s v="5-10 años"/>
    <s v="Director de Arquitectura e Innovación"/>
    <s v="Chief Architecture and Innovation Officer"/>
    <s v="&gt;500 empleados."/>
    <s v="Empresa que subcontrata (outsourcing) los servicios de otra empresa situada en otro país"/>
    <s v="Nacional (múltiples sedes en el mismo país)"/>
    <s v="A veces"/>
    <s v="Alto"/>
    <s v="3-4 días"/>
    <s v="1-2 días"/>
    <s v="Híbrida oficina (más días en la oficina que en casa)"/>
    <s v="Impuesta por la empresa"/>
    <s v="De acuerdo"/>
    <s v="Menor que cuando iba todos los días a la oficina"/>
    <s v="Menor que cuando iba todos los días a la oficina"/>
    <s v="Mucho menor que cuando iba todos los días a la oficina"/>
    <s v="Iguales que cuando iba todos los días a la oficina"/>
    <s v="Casi todas por videoconferencia"/>
    <s v="Mayor que cuando eran en la oficina"/>
    <s v="Igual que cuando iba todos los días a la oficina"/>
    <s v="Menor que cuando iba todos los días a la oficina"/>
    <s v="Menor que cuando iba todos los días a la oficina"/>
    <s v="Igual que cuando iba todos los días a la oficina"/>
    <x v="1"/>
    <x v="2"/>
    <x v="0"/>
    <s v="Menor que cuando iba todos los días a la oficina"/>
    <x v="0"/>
    <s v="Mucho más que cuando iba todos los días a la oficina"/>
    <s v="Igual que cuando iba todos los días a la oficina"/>
    <s v="Igual que cuando iba todos los días a la oficina"/>
    <s v="Igual que cuando iba todos los días a la oficina"/>
    <s v="Mucho más que cuando iba todos los días a la oficina"/>
    <s v="Mas que cuando iba todos los días a la oficina"/>
    <s v="Mucho más que cuando iba todos los días a la oficina"/>
    <s v="Mas que cuando iba todos los días a la oficina"/>
    <s v="Mas que cuando iba todos los días a la oficina"/>
    <s v="Mayores que cuando iba todos los días a la oficina"/>
    <s v="Mayor que cuando iba todos los días a la oficina"/>
    <s v="Igual que cuando iba todos los días a la oficina"/>
    <s v="Mayor que cuando iba todos los días a la oficina"/>
    <s v="Igual que cuando iba todos los días a la oficina"/>
    <s v="Mayor que cuando iba todos los días a la oficina"/>
    <s v="Mayor que cuando iba todos los días a la oficina"/>
    <s v="Igual que cuando iba todos los días a la oficina"/>
    <s v="Igual que cuando iba todos los días a la oficina"/>
    <s v="Iguales que cuando iba todos los días a la oficina"/>
    <s v="Menor que cuando iba todos los días a la oficina"/>
    <s v="Iguales que cuando iba todos los días a la oficina"/>
    <s v="Mucho menor que cuando iba todos los días a la oficina"/>
    <s v="Mayores que cuando iba todos los días a la oficina"/>
    <s v="Iguales que cuando iba todos los días a la oficina"/>
    <s v="Igual que cuando iba todos los días a la oficina"/>
    <s v="Mucho menor que cuando iba todos los días a la oficina"/>
    <s v="Iguales que cuando iba todos los días a la oficina"/>
    <s v="Igual que cuando iba todos los días a la oficina"/>
    <s v="Mucho mayor que cuando iba todos los días a la oficina"/>
    <s v="Mucho más que cuando iba todos los días a la oficina"/>
    <s v="Iguales que cuando iba todos los días a la oficina"/>
    <s v="Igual que cuando iba todos los días a la oficina"/>
    <s v="Menor que cuando iba todos los días a la oficina"/>
    <s v="Menor que cuando iba todos los días a la oficina"/>
    <s v="Igual que cuando iba todos los días a la oficina"/>
    <s v="Menor que cuando iba todos los días a la oficina"/>
    <s v="Menor que cuando iba todos los días a la oficina"/>
    <s v="Igual que cuando iba todos los días a la oficina"/>
    <s v="Igual que cuando iba todos los días a la oficina"/>
    <s v="Menor que cuando iba todos los días a la oficina"/>
    <s v="Menor que cuando iba todos los días a la oficina"/>
    <s v="Igual que cuando iba todos los días a la oficina"/>
    <s v="Iguales que cuando iba todos los días a la oficina"/>
    <s v="Igual que cuando iba todos los días a la oficina"/>
    <s v="Menor que cuando iba todos los días a la oficina"/>
    <s v="Menor que cuando iba todos los días a la oficina"/>
    <s v="Mayor que cuando iba todos los días a la oficina"/>
    <s v="Menor que cuando iba todos los días a la oficina"/>
    <s v="Igual que cuando iba todos los días a la oficina"/>
    <s v="Peor que cuando iba todos los días a la oficina"/>
    <s v="Mucho menor que cuando iba todos los días a la oficina"/>
    <s v="Mucho menor que cuando iba todos los días a la oficina"/>
    <s v="Mucho menor que cuando iba todos los días a la oficina"/>
    <s v="Menor que cuando iba todos los días a la oficina"/>
    <s v="Mayor que cuando iba todos los días a la oficina"/>
    <s v="Mayores que cuando iba todos los días a la oficina"/>
    <s v="Mucho menor que cuando iba todos los días a la oficina"/>
    <s v="Menor que cuando iba todos los días a la oficina"/>
    <s v="irobayab@banrep.gov.co"/>
    <s v="301+ empleados"/>
    <n v="1"/>
  </r>
  <r>
    <s v="Colombia"/>
    <s v="&lt;35 años"/>
    <s v="Masculino"/>
    <s v="Profesional"/>
    <s v="11-20 años"/>
    <s v="Ingeniero de desarrollo senior"/>
    <s v="Ingeniero especializado DevOps"/>
    <s v="301-500 empleados"/>
    <s v="Fábrica de Software"/>
    <s v="Local"/>
    <s v="Casi Nunca"/>
    <s v="Alto"/>
    <s v="3-4 días"/>
    <s v="1-2 días"/>
    <s v="Híbrida casa (más días en casa que en la oficina)"/>
    <s v="Impuesta por la empresa"/>
    <s v="En desacuerdo"/>
    <s v="Menor que cuando iba todos los días a la oficina"/>
    <s v="Menor que cuando iba todos los días a la oficina"/>
    <s v="Menor que cuando iba todos los días a la oficina"/>
    <s v="Diferentes que cuando iba todos los días a la oficina, ahora necesito menos horas para hacer lo mismo"/>
    <s v="Casi todas por videoconferencia"/>
    <s v="Igual que cuando eran en la oficina"/>
    <s v="Mayor que cuando iba todos los días a la oficina"/>
    <s v="Mayor que cuando iba todos los días a la oficina"/>
    <s v="Mayor que cuando iba todos los días a la oficina"/>
    <s v="Igual que cuando iba todos los días a la oficina"/>
    <x v="1"/>
    <x v="2"/>
    <x v="0"/>
    <s v="Menor que cuando iba todos los días a la oficina"/>
    <x v="2"/>
    <s v="Igual que cuando iba todos los días a la oficina"/>
    <s v="No trabajo con personas de distintas culturas"/>
    <s v="No trabajo con personas con un horario distinto al mío"/>
    <s v="No trabajo  con personas que se encuentran geográficamente distribuidas"/>
    <s v="No tengo la información para contestar a la pregunta"/>
    <s v="Igual que cuando iba todos los días a la oficina"/>
    <s v="Mas que cuando iba todos los días a la oficina"/>
    <s v="Mas que cuando iba todos los días a la oficina"/>
    <s v="Igual que cuando iba todos los días a la oficina"/>
    <s v="Mayores que cuando iba todos los días a la oficina"/>
    <s v="Mayor que cuando iba todos los días a la oficina"/>
    <s v="Igual que cuando iba todos los días a la oficina"/>
    <s v="Menor que cuando iba todos los días a la oficina"/>
    <s v="Mayor que cuando iba todos los días a la oficina"/>
    <s v="Menor que cuando iba todos los días a la oficina"/>
    <s v="Menor que cuando iba todos los días a la oficina"/>
    <s v="Igual que cuando iba todos los días a la oficina"/>
    <s v="Mayor que cuando iba todos los días a la oficina"/>
    <s v="Mayores que cuando iba todos los días a la oficina"/>
    <s v="Menor que cuando iba todos los días a la oficina"/>
    <s v="No hay diferencias culturales en mi equipo"/>
    <s v="Mayor que cuando iba todos los días a la oficina"/>
    <s v="No tengo la información para contestar a la pregunta"/>
    <s v="No tengo que utilizar diferentes idiomas en mi trabajo"/>
    <s v="No trabajo con personas con distintos horarios"/>
    <s v="Igual que cuando iba todos los días a la oficina"/>
    <s v="Mayores que cuando iba todos los días a la oficina"/>
    <s v="Mayor que cuando iba todos los días a la oficina"/>
    <s v="No tengo la información para contestar a la pregunta"/>
    <s v="No tengo la información para contestar a la pregunta"/>
    <s v="Iguales que cuando iba todos los días a la oficina"/>
    <s v="Igual que cuando iba todos los días a la oficina"/>
    <s v="Mayor que cuando iba todos los días a la oficina"/>
    <s v="Mayor que cuando iba todos los días a la oficina"/>
    <s v="Mayor que cuando iba todos los días a la oficina"/>
    <s v="Mayor que cuando iba todos los días a la oficina"/>
    <s v="Mayor que cuando iba todos los días a la oficina"/>
    <s v="Mayor que cuando iba todos los días a la oficina"/>
    <s v="Mayor que cuando iba todos los días a la oficina"/>
    <s v="Menor que cuando iba todos los días a la oficina"/>
    <s v="Igual que cuando iba todos los días a la oficina"/>
    <s v="Igual que cuando iba todos los días a la oficina"/>
    <s v="Menores que cuando iba todos los días a la oficina"/>
    <s v="Igual que cuando iba todos los días a la oficina"/>
    <s v="Mucho Mayor que cuando iba todos los días a la oficina"/>
    <s v="Mayor que cuando iba todos los días a la oficina"/>
    <s v="Menor que cuando iba todos los días a la oficina"/>
    <s v="Igual que cuando iba todos los días a la oficina"/>
    <s v="Menor que cuando iba todos los días a la oficina"/>
    <s v="Mejor que cuando iba todos los días a la oficina"/>
    <s v="Igual que cuando iba todos los días a la oficina"/>
    <s v="Menor que cuando iba todos los días a la oficina"/>
    <s v="Menor que cuando iba todos los días a la oficina"/>
    <s v="Mayor que cuando iba todos los días a la oficina"/>
    <s v="Menor que cuando iba todos los días a la oficina"/>
    <s v="Iguales que cuando iba todos los días a la oficina"/>
    <s v="Menor que cuando iba todos los días a la oficina"/>
    <s v="Mayor que cuando iba todos los días a la oficina"/>
    <s v="felipeurrego@gmail.com"/>
    <s v="301+ empleados"/>
    <n v="0"/>
  </r>
  <r>
    <s v="Colombia"/>
    <s v="&lt;35 años"/>
    <s v="Masculino"/>
    <s v="Especialista "/>
    <s v="11-20 años"/>
    <s v="Arquitecto de software "/>
    <s v="Arquitecto de software "/>
    <s v="151-300 empleados"/>
    <s v="Empresa que desarrolla software a medida partiendo desde cero"/>
    <s v="Local"/>
    <s v="Casi Nunca"/>
    <s v="Alto"/>
    <s v="3-4 días"/>
    <s v="1-2 días"/>
    <s v="Híbrida casa (más días en casa que en la oficina)"/>
    <s v="Consensuada por las dos partes"/>
    <s v="En desacuerdo"/>
    <s v="Mucho menor que cuando iba todos los días a la oficina"/>
    <s v="Menor que cuando iba todos los días a la oficina"/>
    <s v="Igual que cuando iba todos los días a la oficina"/>
    <s v="Iguales que cuando iba todos los días a la oficina"/>
    <s v="Casi todas por videoconferencia"/>
    <s v="Mayor que cuando eran en la oficina"/>
    <s v="Igual que cuando iba todos los días a la oficina"/>
    <s v="Menor que cuando iba todos los días a la oficina"/>
    <s v="Menor que cuando iba todos los días a la oficina"/>
    <s v="Mayor que cuando iba todos los días a la oficina"/>
    <x v="0"/>
    <x v="1"/>
    <x v="3"/>
    <s v="Menor que cuando iba todos los días a la oficina"/>
    <x v="1"/>
    <s v="Mucho más que cuando iba todos los días a la oficina"/>
    <s v="Igual que cuando iba todos los días a la oficina"/>
    <s v="Igual que cuando iba todos los días a la oficina"/>
    <s v="Igual que cuando iba todos los días a la oficina"/>
    <s v="Mucho más que cuando iba todos los días a la oficina"/>
    <s v="Mas que cuando iba todos los días a la oficina"/>
    <s v="Mas que cuando iba todos los días a la oficina"/>
    <s v="Mas que cuando iba todos los días a la oficina"/>
    <s v="Mas que cuando iba todos los días a la oficina"/>
    <s v="Menores que cuando iba todos los días a la oficina"/>
    <s v="Igual que cuando iba todos los días a la oficina"/>
    <s v="Menor que cuando iba todos los días a la oficina"/>
    <s v="Igual que cuando iba todos los días a la oficina"/>
    <s v="Igual que cuando iba todos los días a la oficina"/>
    <s v="Igual que cuando iba todos los días a la oficina"/>
    <s v="Mayor que cuando iba todos los días a la oficina"/>
    <s v="Igual que cuando iba todos los días a la oficina"/>
    <s v="Mayor que cuando iba todos los días a la oficina"/>
    <s v="Iguales que cuando iba todos los días a la oficina"/>
    <s v="Menor que cuando iba todos los días a la oficina"/>
    <s v="Iguales que cuando iba todos los días a la oficina"/>
    <s v="Mayor que cuando iba todos los días a la oficina"/>
    <s v="Mayores que cuando iba todos los días a la oficina"/>
    <s v="Iguales que cuando iba todos los días a la oficina"/>
    <s v="Igual que cuando iba todos los días a la oficina"/>
    <s v="Menor que cuando iba todos los días a la oficina"/>
    <s v="Mayores que cuando iba todos los días a la oficina"/>
    <s v="Igual que cuando iba todos los días a la oficina"/>
    <s v="Mucho menor que cuando iba todos los días a la oficina"/>
    <s v="Más que cuando iba todos los días a la oficina"/>
    <s v="Iguales que cuando iba todos los días a la oficina"/>
    <s v="Igual que cuando iba todos los días a la oficina"/>
    <s v="Igual que cuando iba todos los días a la oficina"/>
    <s v="Mayor que cuando iba todos los días a la oficina"/>
    <s v="Mucho mayor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Menor que cuando iba todos los días a la oficina"/>
    <s v="Igual que cuando iba todos los días a la oficina"/>
    <s v="Menores que cuando iba todos los días a la oficina"/>
    <s v="Igual que cuando iba todos los días a la oficina"/>
    <s v="Menor que cuando iba todos los días a la oficina"/>
    <s v="Igual que cuando iba todos los días a la oficina"/>
    <s v="Igual que cuando iba todos los días a la oficina"/>
    <s v="Menor que cuando iba todos los días a la oficina"/>
    <s v="Igual que cuando iba todos los días a la oficina"/>
    <s v="Peor que cuando iba todos los días a la oficina"/>
    <s v="Mayor que cuando iba todos los días a la oficina"/>
    <s v="Menor que cuando iba todos los días a la oficina"/>
    <s v="Menor que cuando iba todos los días a la oficina"/>
    <s v="Igual que cuando iba todos los días a la oficina"/>
    <s v="Igual que cuando iba todos los días a la oficina"/>
    <s v="Mayores que cuando iba todos los días a la oficina"/>
    <s v="Igual que cuando iba todos los días a la oficina"/>
    <s v="Igual que cuando iba todos los días a la oficina"/>
    <s v="johndanyosorio@gmail.com"/>
    <s v="&lt;301 empleados"/>
    <n v="0"/>
  </r>
  <r>
    <s v="Colombia"/>
    <s v="&lt;35 años"/>
    <s v="Masculino"/>
    <s v="Profesional "/>
    <s v="5-10 años"/>
    <s v="Ingeniero integrador "/>
    <s v="SRE"/>
    <s v="&gt;500 empleados."/>
    <s v="Empresa que desarrolla software a medida partiendo desde cero"/>
    <s v="Multinacional"/>
    <s v="Muy Frecuentemente"/>
    <s v="Alto"/>
    <s v="3-4 días"/>
    <s v="3-4 días"/>
    <s v="Remota ( todos los días en casa)"/>
    <s v="Impuesta por la empresa"/>
    <s v="Totalmente de acuerdo"/>
    <s v="Igual que cuando iba todos los días a la oficina"/>
    <s v="Igual que cuando iba todos los días a la oficina"/>
    <s v="Igual que cuando iba todos los días a la oficina"/>
    <s v="Iguales que cuando iba todos los días a la oficina"/>
    <s v="Todas por videoconferencia"/>
    <s v="Menor que cuando eran en la oficina"/>
    <s v="Mucho Mayor que cuando iba todos los días a la oficina"/>
    <s v="Mayor que cuando iba todos los días a la oficina"/>
    <s v="Mayor que cuando iba todos los días a la oficina"/>
    <s v="Mucho Mayor que cuando iba todos los días a la oficina"/>
    <x v="1"/>
    <x v="1"/>
    <x v="2"/>
    <s v="Igual que cuando iba todos los días a la oficina"/>
    <x v="4"/>
    <s v="Igual que cuando iba todos los días a la oficina"/>
    <s v="Mucho más que cuando iba todos los días a la oficina"/>
    <s v="Mucho menos que cuando iba todos los días a la oficina"/>
    <s v="Mucho menos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Mucho menos que cuando iba todos los días a la oficina"/>
    <s v="Mayores que cuando iba todos los días a la oficina"/>
    <s v="Mayor que cuando iba todos los días a la oficina"/>
    <s v="Mucho Mayor que cuando iba todos los días a la oficina"/>
    <s v="Mucho menor que cuando iba todos los días a la oficina"/>
    <s v="Mucho Mayor que cuando iba todos los días a la oficina"/>
    <s v="Mucho menor que cuando iba todos los días a la oficina"/>
    <s v="Mucho menor que cuando iba todos los días a la oficina"/>
    <s v="Mucho menor que cuando iba todos los días a la oficina"/>
    <s v="Mucho mayor que cuando iba todos los días a la oficina"/>
    <s v="Iguales que cuando iba todos los días a la oficina"/>
    <s v="Mucho mayor que cuando iba todos los días a la oficina"/>
    <s v="Mucho menores que cuando iba todos los días a la oficina"/>
    <s v="Mucho mayor que cuando iba todos los días a la oficina"/>
    <s v="Mucho menores que cuando iba todos los días a la oficina"/>
    <s v="Mucho menores que cuando iba todos los días a la oficina"/>
    <s v="Mucho menos que cuando iba todos los días a la oficina"/>
    <s v="Mucho mayor que cuando iba todos los días a la oficina"/>
    <s v="Menores que cuando iba todos los días a la oficina"/>
    <s v="Mucho mayor que cuando iba todos los días a la oficina"/>
    <s v="Igual que cuando iba todos los días a la oficina"/>
    <s v="Mucho menos que cuando iba todos los días a la oficina"/>
    <s v="Mucho menores que cuando iba todos los días a la oficina"/>
    <s v="Mucho mejor que cuando iba todos los días a la oficina"/>
    <s v="Mucho Mayor que cuando iba todos los días a la oficina"/>
    <s v="Mucho Mayor que cuando iba todos los días a la oficina"/>
    <s v="Mucho mayor que cuando iba todos los días a la oficina"/>
    <s v="Mucho Mayor que cuando iba todos los días a la oficina"/>
    <s v="Mucho Mayor que cuando iba todos los días a la oficina"/>
    <s v="Mucho Mayor que cuando iba todos los días a la oficina"/>
    <s v="Mucho Mayor que cuando iba todos los días a la oficina"/>
    <s v="Menor que cuando iba todos los días a la oficina"/>
    <s v="Menor que cuando iba todos los días a la oficina"/>
    <s v="Mucho mas que cuando iba todos los días a la oficina"/>
    <s v="Mucho Mayores que cuando iba todos los días a la oficina"/>
    <s v="Mayor que cuando iba todos los días a la oficina"/>
    <s v="Mucho Mayor que cuando iba todos los días a la oficina"/>
    <s v="Igual que cuando iba todos los días a la oficina"/>
    <s v="Mucho menor que cuando iba todos los días a la oficina"/>
    <s v="Mucho Mayor que cuando iba todos los días a la oficina"/>
    <s v="Mayor que cuando iba todos los días a la oficina"/>
    <s v="Mucho Mejor que cuando iba todos los días a la oficina"/>
    <s v="Mucho Mayor que cuando iba todos los días a la oficina"/>
    <s v="Mucho Mayor que cuando iba todos los días a la oficina"/>
    <s v="Mucho Mayor que cuando iba todos los días a la oficina"/>
    <s v="Mucho Mayor que cuando iba todos los días a la oficina"/>
    <s v="Mucho menor que cuando iba todos los días a la oficina"/>
    <s v="Mucho menores que cuando iba todos los días a la oficina"/>
    <s v="Mucho Mayor que cuando iba todos los días a la oficina"/>
    <s v="Mucho mayor que cuando iba todos los días a la oficina"/>
    <m/>
    <s v="301+ empleados"/>
    <n v="0"/>
  </r>
  <r>
    <s v="Colombia"/>
    <s v="&lt;35 años"/>
    <s v="Masculino"/>
    <s v="Universitario "/>
    <s v="11-20 años"/>
    <s v="Senior software developer "/>
    <s v="Director of technology "/>
    <s v="&gt;500 empleados."/>
    <s v="Empresa que desarrolla software a medida partiendo desde cero"/>
    <s v="Multinacional"/>
    <s v="Muy Frecuentemente"/>
    <s v="Alto"/>
    <s v="3-4 días"/>
    <s v="1-2 días"/>
    <s v="Híbrida casa (más días en casa que en la oficina)"/>
    <s v="Consensuada por las dos partes"/>
    <s v="Totalmente en desacuerdo"/>
    <s v="Menor que cuando iba todos los días a la oficina"/>
    <s v="Menor que cuando iba todos los días a la oficina"/>
    <s v="Mayor que cuando iba todos los días a la oficina"/>
    <s v="Iguales que cuando iba todos los días a la oficina"/>
    <s v="Casi todas por videoconferencia"/>
    <s v="Mucho menor que cuando eran en la oficina"/>
    <s v="Mayor que cuando iba todos los días a la oficina"/>
    <s v="Menor que cuando iba todos los días a la oficina"/>
    <s v="Igual que cuando iba todos los días a la oficina"/>
    <s v="Igual que cuando iba todos los días a la oficina"/>
    <x v="0"/>
    <x v="1"/>
    <x v="0"/>
    <s v="Menor que cuando iba todos los días a la oficina"/>
    <x v="2"/>
    <s v="Menos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Mas que cuando iba todos los días a la oficina"/>
    <s v="Mas que cuando iba todos los días a la oficina"/>
    <s v="Mas que cuando iba todos los días a la oficina"/>
    <s v="Igual que cuando iba todos los días a la oficina"/>
    <s v="Iguales que cuando iba todos los días a la oficina"/>
    <s v="Mayor que cuando iba todos los días a la oficina"/>
    <s v="Igual que cuando iba todos los días a la oficina"/>
    <s v="Menor que cuando iba todos los días a la oficina"/>
    <s v="Igual que cuando iba todos los días a la oficina"/>
    <s v="Menor que cuando iba todos los días a la oficina"/>
    <s v="Igual que cuando iba todos los días a la oficina"/>
    <s v="Menor que cuando iba todos los días a la oficina"/>
    <s v="Mucho mayor que cuando iba todos los días a la oficina"/>
    <s v="Iguales que cuando iba todos los días a la oficina"/>
    <s v="Igual que cuando iba todos los días a la oficina"/>
    <s v="Iguales que cuando iba todos los días a la oficina"/>
    <s v="Menor que cuando iba todos los días a la oficina"/>
    <s v="Mayores que cuando iba todos los días a la oficina"/>
    <s v="Iguales que cuando iba todos los días a la oficina"/>
    <s v="Igual que cuando iba todos los días a la oficina"/>
    <s v="Menor que cuando iba todos los días a la oficina"/>
    <s v="Menores que cuando iba todos los días a la oficina"/>
    <s v="Igual que cuando iba todos los días a la oficina"/>
    <s v="Menor que cuando iba todos los días a la oficina"/>
    <s v="Igual que cuando iba todos los días a la oficina"/>
    <s v="Iguales que cuando iba todos los días a la oficina"/>
    <s v="Peor que cuando iba todos los días a la oficina"/>
    <s v="Igual que cuando iba todos los días a la oficina"/>
    <s v="Mayor que cuando iba todos los días a la oficina"/>
    <s v="Mucho mayor que cuando iba todos los días a la oficina"/>
    <s v="Igual que cuando iba todos los días a la oficina"/>
    <s v="Igual que cuando iba todos los días a la oficina"/>
    <s v="Igual que cuando iba todos los días a la oficina"/>
    <s v="Mucho Mayor que cuando iba todos los días a la oficina"/>
    <s v="Igual que cuando iba todos los días a la oficina"/>
    <s v="Mayor que cuando iba todos los días a la oficina"/>
    <s v="Igual que cuando iba todos los días a la oficina"/>
    <s v="Menores que cuando iba todos los días a la oficina"/>
    <s v="Menor que cuando iba todos los días a la oficina"/>
    <s v="Mayor que cuando iba todos los días a la oficina"/>
    <s v="Igual que cuando iba todos los días a la oficina"/>
    <s v="Igual que cuando iba todos los días a la oficina"/>
    <s v="Menor que cuando iba todos los días a la oficina"/>
    <s v="Igual que cuando iba todos los días a la oficina"/>
    <s v="Igual que cuando iba todos los días a la oficina"/>
    <s v="Mayor que cuando iba todos los días a la oficina"/>
    <s v="Menor que cuando iba todos los días a la oficina"/>
    <s v="Menor que cuando iba todos los días a la oficina"/>
    <s v="Mayor que cuando iba todos los días a la oficina"/>
    <s v="Igual que cuando iba todos los días a la oficina"/>
    <s v="Mayores que cuando iba todos los días a la oficina"/>
    <s v="Igual que cuando iba todos los días a la oficina"/>
    <s v="Igual que cuando iba todos los días a la oficina"/>
    <m/>
    <s v="301+ empleados"/>
    <n v="1"/>
  </r>
  <r>
    <s v="España"/>
    <s v="&lt;35 años"/>
    <s v="Femenino"/>
    <s v="Diplomado"/>
    <s v="&gt;30 años"/>
    <s v="Adjunto dirección"/>
    <s v="Adjunto dirección"/>
    <s v="&gt;500 empleados."/>
    <s v="Empresa que subcontrata (outsourcing) los servicios de otra del mismo país"/>
    <s v="Nacional (múltiples sedes en el mismo país)"/>
    <s v="Casi Nunca"/>
    <s v="Alto"/>
    <s v="3-4 días"/>
    <s v="4-5 días"/>
    <s v="Híbrida oficina (más días en la oficina que en casa)"/>
    <s v="Consensuada por las dos partes"/>
    <s v="En desacuerdo"/>
    <s v="Igual que cuando iba todos los días a la oficina"/>
    <s v="Igual que cuando iba todos los días a la oficina"/>
    <s v="Igual que cuando iba todos los días a la oficina"/>
    <s v="Diferentes que cuando iba todos los días a la oficina, ahora necesito menos horas para hacer lo mismo"/>
    <s v="Todas por videoconferencia"/>
    <s v="Menor que cuando eran en la oficina"/>
    <s v="Igual que cuando iba todos los días a la oficina"/>
    <s v="Igual que cuando iba todos los días a la oficina"/>
    <s v="Igual que cuando iba todos los días a la oficina"/>
    <s v="Mayor que cuando iba todos los días a la oficina"/>
    <x v="4"/>
    <x v="2"/>
    <x v="0"/>
    <s v="Igual que cuando iba todos los días a la oficina"/>
    <x v="2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es que cuando iba todos los días a la oficina"/>
    <s v="Igual que cuando iba todos los días a la oficina"/>
    <s v="Igual que cuando iba todos los días a la oficina"/>
    <s v="Mucho menor que cuando iba todos los días a la oficina"/>
    <s v="Igual que cuando iba todos los días a la oficina"/>
    <s v="Mucho menor que cuando iba todos los días a la oficina"/>
    <s v="Menor que cuando iba todos los días a la oficina"/>
    <s v="Igual que cuando iba todos los días a la oficina"/>
    <s v="Mucho mayor que cuando iba todos los días a la oficina"/>
    <s v="Iguales que cuando iba todos los días a la oficina"/>
    <s v="Igual que cuando iba todos los días a la oficina"/>
    <s v="Iguales que cuando iba todos los días a la oficina"/>
    <s v="Igual que cuando iba todos los días a la oficina"/>
    <s v="Iguales que cuando iba todos los días a la oficina"/>
    <s v="Iguales que cuando iba todos los días a la oficina"/>
    <s v="Igual que cuando iba todos los días a la oficina"/>
    <s v="Igual que cuando iba todos los días a la oficina"/>
    <s v="Menores que cuando iba todos los días a la oficina"/>
    <s v="Mayor que cuando iba todos los días a la oficina"/>
    <s v="Igual que cuando iba todos los días a la oficina"/>
    <s v="Igual que cuando iba todos los días a la oficina"/>
    <s v="Iguales que cuando iba todos los días a la oficina"/>
    <s v="Igual que cuando iba todos los días a la oficina"/>
    <s v="Mayor que cuando iba todos los días a la oficina"/>
    <s v="Mayor que cuando iba todos los días a la oficina"/>
    <s v="Mucho mayor que cuando iba todos los días a la oficina"/>
    <s v="Igual que cuando iba todos los días a la oficina"/>
    <s v="Igual que cuando iba todos los días a la oficina"/>
    <s v="Igual que cuando iba todos los días a la oficina"/>
    <s v="Mayor que cuando iba todos los días a la oficina"/>
    <s v="Igual que cuando iba todos los días a la oficina"/>
    <s v="Igual que cuando iba todos los días a la oficina"/>
    <s v="Igual que cuando iba todos los días a la oficina"/>
    <s v="Iguales que cuando iba todos los días a la oficina"/>
    <s v="Igual que cuando iba todos los días a la oficina"/>
    <s v="Mucho Mayor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es que cuando iba todos los días a la oficina"/>
    <s v="Igual que cuando iba todos los días a la oficina"/>
    <s v="Igual que cuando iba todos los días a la oficina"/>
    <m/>
    <s v="301+ empleados"/>
    <n v="0"/>
  </r>
  <r>
    <s v="España"/>
    <s v="&lt;35 años"/>
    <s v="Masculino"/>
    <s v="Universitarios"/>
    <s v="&lt;5 años"/>
    <s v="Desarrollador web"/>
    <s v="Desarrollador web"/>
    <s v="&gt;500 empleados."/>
    <s v="Fábrica de Software"/>
    <s v="Multinacional"/>
    <s v="Nunca"/>
    <s v="Alto"/>
    <s v="3-4 días"/>
    <s v="1-2 días"/>
    <s v="Híbrida casa (más días en casa que en la oficina)"/>
    <s v="Consensuada por las dos partes"/>
    <s v="De acuerdo"/>
    <s v="Menor que cuando iba todos los días a la oficina"/>
    <s v="Menor que cuando iba todos los días a la oficina"/>
    <s v="Menor que cuando iba todos los días a la oficina"/>
    <s v="Iguales que cuando iba todos los días a la oficina"/>
    <s v="Casi todas por videoconferencia"/>
    <s v="Igual que cuando eran en la oficina"/>
    <s v="Igual que cuando iba todos los días a la oficina"/>
    <s v="Menor que cuando iba todos los días a la oficina"/>
    <s v="Menor que cuando iba todos los días a la oficina"/>
    <s v="Menor que cuando iba todos los días a la oficina"/>
    <x v="1"/>
    <x v="0"/>
    <x v="0"/>
    <s v="Igual que cuando iba todos los días a la oficina"/>
    <x v="4"/>
    <s v="Igual que cuando iba todos los días a la oficina"/>
    <s v="Igual que cuando iba todos los días a la oficina"/>
    <s v="Igual que cuando iba todos los días a la oficina"/>
    <s v="Más que cuando iba todos los días a la oficina"/>
    <s v="Más que cuando iba todos los días a la oficina"/>
    <s v="Mas que cuando iba todos los días a la oficina"/>
    <s v="Mas que cuando iba todos los días a la oficina"/>
    <s v="Mas que cuando iba todos los días a la oficina"/>
    <s v="Igual que cuando iba todos los días a la oficina"/>
    <s v="Iguales que cuando iba todos los días a la oficina"/>
    <s v="Igual que cuando iba todos los días a la oficina"/>
    <s v="Igual que cuando iba todos los días a la oficina"/>
    <s v="Menor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Menores que cuando iba todos los días a la oficina"/>
    <s v="Mayor que cuando iba todos los días a la oficina"/>
    <s v="Iguales que cuando iba todos los días a la oficina"/>
    <s v="Igual que cuando iba todos los días a la oficina"/>
    <s v="Mayores que cuando iba todos los días a la oficina"/>
    <s v="Mayores que cuando iba todos los días a la oficina"/>
    <s v="Más que cuando iba todos los días a la oficina"/>
    <s v="Igual que cuando iba todos los días a la oficina"/>
    <s v="Mucho mayores que cuando iba todos los días a la oficina"/>
    <s v="Menor que cuando iba todos los días a la oficina"/>
    <s v="Igual que cuando iba todos los días a la oficina"/>
    <s v="Igual que cuando iba todos los días a la oficina"/>
    <s v="Iguales que cuando iba todos los días a la oficina"/>
    <s v="Igual que cuando iba todos los días a la oficina"/>
    <s v="Igual que cuando iba todos los días a la oficina"/>
    <s v="Menor que cuando iba todos los días a la oficina"/>
    <s v="Mayor que cuando iba todos los días a la oficina"/>
    <s v="Mayor que cuando iba todos los días a la oficina"/>
    <s v="Mayor que cuando iba todos los días a la oficina"/>
    <s v="Mayor que cuando iba todos los días a la oficina"/>
    <s v="Igual que cuando iba todos los días a la oficina"/>
    <s v="Igual que cuando iba todos los días a la oficina"/>
    <s v="Mayor que cuando iba todos los días a la oficina"/>
    <s v="Igual que cuando iba todos los días a la oficina"/>
    <s v="Iguales que cuando iba todos los días a la oficina"/>
    <s v="Igual que cuando iba todos los días a la oficina"/>
    <s v="Mayor que cuando iba todos los días a la oficina"/>
    <s v="Igual que cuando iba todos los días a la oficina"/>
    <s v="Igual que cuando iba todos los días a la oficina"/>
    <s v="Igual que cuando iba todos los días a la oficina"/>
    <s v="Mayor que cuando iba todos los días a la oficina"/>
    <s v="Igual que cuando iba todos los días a la oficina"/>
    <s v="Igual que cuando iba todos los días a la oficina"/>
    <s v="Menor que cuando iba todos los días a la oficina"/>
    <s v="Menor que cuando iba todos los días a la oficina"/>
    <s v="Mayor que cuando iba todos los días a la oficina"/>
    <s v="Menor que cuando iba todos los días a la oficina"/>
    <s v="Iguales que cuando iba todos los días a la oficina"/>
    <s v="Igual que cuando iba todos los días a la oficina"/>
    <s v="Igual que cuando iba todos los días a la oficina"/>
    <m/>
    <s v="301+ empleados"/>
    <n v="0"/>
  </r>
  <r>
    <s v="España"/>
    <s v="&lt;35 años"/>
    <s v="Femenino"/>
    <s v="Estudios superiores"/>
    <s v="5-10 años"/>
    <s v="Desarrollo"/>
    <s v="Desarrollo"/>
    <s v="51-150 empleados"/>
    <s v="Fábrica de Software"/>
    <s v="Nacional (múltiples sedes en el mismo país)"/>
    <s v="Casi Nunca"/>
    <s v="Alto"/>
    <s v="3-4 días"/>
    <s v="1-2 días"/>
    <s v="Híbrida casa (más días en casa que en la oficina)"/>
    <s v="Consensuada por las dos partes"/>
    <s v="Totalmente de acuerdo"/>
    <s v="Igual que cuando iba todos los días a la oficina"/>
    <s v="Igual que cuando iba todos los días a la oficina"/>
    <s v="Igual que cuando iba todos los días a la oficina"/>
    <s v="Iguales que cuando iba todos los días a la oficina"/>
    <s v="Casi todas por videoconferencia"/>
    <s v="Igual que cuando eran en la oficina"/>
    <s v="Mayor que cuando iba todos los días a la oficina"/>
    <s v="Igual que cuando iba todos los días a la oficina"/>
    <s v="Igual que cuando iba todos los días a la oficina"/>
    <s v="Mayor que cuando iba todos los días a la oficina"/>
    <x v="2"/>
    <x v="1"/>
    <x v="0"/>
    <s v="Igual que cuando iba todos los días a la oficina"/>
    <x v="2"/>
    <s v="Igual que cuando iba todos los días a la oficina"/>
    <s v="No trabajo con personas de distintas culturas"/>
    <s v="No trabajo con personas con un horario distinto al mío"/>
    <s v="Igual que cuando iba todos los días a la oficina"/>
    <s v="Igual que cuando iba todos los días a la oficina"/>
    <s v="Igual que cuando iba todos los días a la oficina"/>
    <s v="Mas que cuando iba todos los días a la oficina"/>
    <s v="Mas que cuando iba todos los días a la oficina"/>
    <s v="Igual que cuando iba todos los días a la oficina"/>
    <s v="Iguales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Mayor que cuando iba todos los días a la oficina"/>
    <s v="Iguales que cuando iba todos los días a la oficina"/>
    <s v="Mayor que cuando iba todos los días a la oficina"/>
    <s v="No hay diferencias culturales en mi equipo"/>
    <s v="Igual que cuando iba todos los días a la oficina"/>
    <s v="Iguales que cuando iba todos los días a la oficina"/>
    <s v="No tengo que utilizar diferentes idiomas en mi trabajo"/>
    <s v="No trabajo con personas con distintos horarios"/>
    <s v="Igual que cuando iba todos los días a la oficina"/>
    <s v="Iguales que cuando iba todos los días a la oficina"/>
    <s v="Igual que cuando iba todos los días a la oficina"/>
    <s v="Igual que cuando iba todos los días a la oficina"/>
    <s v="Igual que cuando iba todos los días a la oficina"/>
    <s v="Iguales que cuando iba todos los días a la oficina"/>
    <s v="Igual que cuando iba todos los días a la oficina"/>
    <s v="Igual que cuando iba todos los días a la oficina"/>
    <s v="Igual que cuando iba todos los días a la oficina"/>
    <s v="Mayor que cuando iba todos los días a la oficina"/>
    <s v="Igual que cuando iba todos los días a la oficina"/>
    <s v="Igual que cuando iba todos los días a la oficina"/>
    <s v="Igual que cuando iba todos los días a la oficina"/>
    <s v="Mayor que cuando iba todos los días a la oficina"/>
    <s v="Igual que cuando iba todos los días a la oficina"/>
    <s v="Igual que cuando iba todos los días a la oficina"/>
    <s v="Igual que cuando iba todos los días a la oficina"/>
    <s v="Iguales que cuando iba todos los días a la oficina"/>
    <s v="Igual que cuando iba todos los días a la oficina"/>
    <s v="Mayor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Menor que cuando iba todos los días a la oficina"/>
    <s v="Igual que cuando iba todos los días a la oficina"/>
    <s v="Igual que cuando iba todos los días a la oficina"/>
    <s v="Igual que cuando iba todos los días a la oficina"/>
    <s v="Iguales que cuando iba todos los días a la oficina"/>
    <s v="Menor que cuando iba todos los días a la oficina"/>
    <s v="Igual que cuando iba todos los días a la oficina"/>
    <m/>
    <s v="&lt;301 empleados"/>
    <n v="0"/>
  </r>
  <r>
    <s v="España"/>
    <s v="&lt;35 años"/>
    <s v="Femenino"/>
    <s v="Ingenieria"/>
    <s v="21-30 años"/>
    <s v="Gestor de proyectos "/>
    <s v="Gestor de proyectos"/>
    <s v="&gt;500 empleados."/>
    <s v="Empresa que desarrolla software a medida partiendo desde cero"/>
    <s v="Multinacional"/>
    <s v="Muy Frecuentemente"/>
    <s v="Alto"/>
    <s v="3-4 días"/>
    <s v="3-4 días"/>
    <s v="Híbrida casa (más días en casa que en la oficina)"/>
    <s v="Consensuada por las dos partes"/>
    <s v="En desacuerdo"/>
    <s v="Menor que cuando iba todos los días a la oficina"/>
    <s v="Menor que cuando iba todos los días a la oficina"/>
    <s v="Menor que cuando iba todos los días a la oficina"/>
    <s v="Diferentes que cuando iba todos los días a la oficina, ahora necesito menos horas para hacer lo mismo"/>
    <s v="Casi todas por videoconferencia"/>
    <s v="Mayor que cuando eran en la oficina"/>
    <s v="Mayor que cuando iba todos los días a la oficina"/>
    <s v="Mayor que cuando iba todos los días a la oficina"/>
    <s v="Mayor que cuando iba todos los días a la oficina"/>
    <s v="Mayor que cuando iba todos los días a la oficina"/>
    <x v="0"/>
    <x v="1"/>
    <x v="0"/>
    <s v="Mayor que cuando iba todos los días a la oficina"/>
    <x v="1"/>
    <s v="Menos que cuando iba todos los días a la oficina"/>
    <s v="Igual que cuando iba todos los días a la oficina"/>
    <s v="Mucho menos que cuando iba todos los días a la oficina"/>
    <s v="Mucho menos que cuando iba todos los días a la oficina"/>
    <s v="Más que cuando iba todos los días a la oficina"/>
    <s v="Mas que cuando iba todos los días a la oficina"/>
    <s v="Mas que cuando iba todos los días a la oficina"/>
    <s v="Igual que cuando iba todos los días a la oficina"/>
    <s v="Mas que cuando iba todos los días a la oficina"/>
    <s v="Mayores que cuando iba todos los días a la oficina"/>
    <s v="Mayor que cuando iba todos los días a la oficina"/>
    <s v="Igual que cuando iba todos los días a la oficina"/>
    <s v="Menor que cuando iba todos los días a la oficina"/>
    <s v="Igual que cuando iba todos los días a la oficina"/>
    <s v="Igual que cuando iba todos los días a la oficina"/>
    <s v="Mayor que cuando iba todos los días a la oficina"/>
    <s v="Igual que cuando iba todos los días a la oficina"/>
    <s v="Mucho mayor que cuando iba todos los días a la oficina"/>
    <s v="Iguales que cuando iba todos los días a la oficina"/>
    <s v="Mayor que cuando iba todos los días a la oficina"/>
    <s v="Iguales que cuando iba todos los días a la oficina"/>
    <s v="Mucho mayor que cuando iba todos los días a la oficina"/>
    <s v="Mayores que cuando iba todos los días a la oficina"/>
    <s v="Mucho menores que cuando iba todos los días a la oficina"/>
    <s v="Mucho menos que cuando iba todos los días a la oficina"/>
    <s v="Menor que cuando iba todos los días a la oficina"/>
    <s v="Menores que cuando iba todos los días a la oficina"/>
    <s v="Mayor que cuando iba todos los días a la oficina"/>
    <s v="Mayor que cuando iba todos los días a la oficina"/>
    <s v="Más que cuando iba todos los días a la oficina"/>
    <s v="Menores que cuando iba todos los días a la oficina"/>
    <s v="Mejor que cuando iba todos los días a la oficina"/>
    <s v="Menor que cuando iba todos los días a la oficina"/>
    <s v="Mayor que cuando iba todos los días a la oficina"/>
    <s v="Mayor que cuando iba todos los días a la oficina"/>
    <s v="Igual que cuando iba todos los días a la oficina"/>
    <s v="Menor que cuando iba todos los días a la oficina"/>
    <s v="Mayor que cuando iba todos los días a la oficina"/>
    <s v="Mayor que cuando iba todos los días a la oficina"/>
    <s v="Menor que cuando iba todos los días a la oficina"/>
    <s v="Igual que cuando iba todos los días a la oficina"/>
    <s v="Igual que cuando iba todos los días a la oficina"/>
    <s v="Iguales que cuando iba todos los días a la oficina"/>
    <s v="Mayor que cuando iba todos los días a la oficina"/>
    <s v="Mayor que cuando iba todos los días a la oficina"/>
    <s v="Mucho menor que cuando iba todos los días a la oficina"/>
    <s v="Menor que cuando iba todos los días a la oficina"/>
    <s v="Menor que cuando iba todos los días a la oficina"/>
    <s v="Igual que cuando iba todos los días a la oficina"/>
    <s v="Peor que cuando iba todos los días a la oficina"/>
    <s v="Menor que cuando iba todos los días a la oficina"/>
    <s v="Mucho menor que cuando iba todos los días a la oficina"/>
    <s v="Mucho menor que cuando iba todos los días a la oficina"/>
    <s v="Mayor que cuando iba todos los días a la oficina"/>
    <s v="Igual que cuando iba todos los días a la oficina"/>
    <s v="Mayores que cuando iba todos los días a la oficina"/>
    <s v="Menor que cuando iba todos los días a la oficina"/>
    <s v="Mayor que cuando iba todos los días a la oficina"/>
    <s v="lllmarivi@gmail.com"/>
    <s v="301+ empleados"/>
    <n v="1"/>
  </r>
  <r>
    <s v="España"/>
    <s v="&lt;35 años"/>
    <s v="Masculino"/>
    <s v="Grado "/>
    <s v="5-10 años"/>
    <s v="IT Consultant AML "/>
    <s v="IT BI Consultant"/>
    <s v="&gt;500 empleados."/>
    <s v="Empresa que desarrolla software a medida partiendo desde cero"/>
    <s v="Multinacional"/>
    <s v="Muy Frecuentemente"/>
    <s v="Alto"/>
    <s v="3-4 días"/>
    <s v="1-2 días"/>
    <s v="Híbrida casa (más días en casa que en la oficina)"/>
    <s v="Consensuada por las dos partes"/>
    <s v="En desacuerdo"/>
    <s v="Menor que cuando iba todos los días a la oficina"/>
    <s v="Menor que cuando iba todos los días a la oficina"/>
    <s v="Igual que cuando iba todos los días a la oficina"/>
    <s v="Diferentes que cuando iba todos los días a la oficina, ahora necesito más horas para hacer lo mismo"/>
    <s v="Casi todas por videoconferencia"/>
    <s v="Mayor que cuando eran en la oficina"/>
    <s v="Igual que cuando iba todos los días a la oficina"/>
    <s v="Menor que cuando iba todos los días a la oficina"/>
    <s v="Igual que cuando iba todos los días a la oficina"/>
    <s v="Igual que cuando iba todos los días a la oficina"/>
    <x v="1"/>
    <x v="2"/>
    <x v="1"/>
    <s v="Menor que cuando iba todos los días a la oficina"/>
    <x v="0"/>
    <s v="Más que cuando iba todos los días a la oficina"/>
    <s v="Mucho menos que cuando iba todos los días a la oficina"/>
    <s v="Igual que cuando iba todos los días a la oficina"/>
    <s v="Igual que cuando iba todos los días a la oficina"/>
    <s v="Más que cuando iba todos los días a la oficina"/>
    <s v="Mas que cuando iba todos los días a la oficina"/>
    <s v="Mas que cuando iba todos los días a la oficina"/>
    <s v="Mas que cuando iba todos los días a la oficina"/>
    <s v="Mas que cuando iba todos los días a la oficina"/>
    <s v="Iguales que cuando iba todos los días a la oficina"/>
    <s v="Igual que cuando iba todos los días a la oficina"/>
    <s v="Igual que cuando iba todos los días a la oficina"/>
    <s v="Mayor que cuando iba todos los días a la oficina"/>
    <s v="Mucho Mayor que cuando iba todos los días a la oficina"/>
    <s v="Mayor que cuando iba todos los días a la oficina"/>
    <s v="Mayor que cuando iba todos los días a la oficina"/>
    <s v="Igual que cuando iba todos los días a la oficina"/>
    <s v="Mayor que cuando iba todos los días a la oficina"/>
    <s v="Iguales que cuando iba todos los días a la oficina"/>
    <s v="Mayor que cuando iba todos los días a la oficina"/>
    <s v="No hay diferencias culturales en mi equipo"/>
    <s v="Mayor que cuando iba todos los días a la oficina"/>
    <s v="Mayores que cuando iba todos los días a la oficina"/>
    <s v="Menores que cuando iba todos los días a la oficina"/>
    <s v="Igual que cuando iba todos los días a la oficina"/>
    <s v="Menor que cuando iba todos los días a la oficina"/>
    <s v="Iguales que cuando iba todos los días a la oficina"/>
    <s v="Menor que cuando iba todos los días a la oficina"/>
    <s v="Mayor que cuando iba todos los días a la oficina"/>
    <s v="Igual que cuando iba todos los días a la oficina"/>
    <s v="Iguales que cuando iba todos los días a la oficina"/>
    <s v="Igual que cuando iba todos los días a la oficina"/>
    <s v="Igual que cuando iba todos los días a la oficina"/>
    <s v="Menor que cuando iba todos los días a la oficina"/>
    <s v="Mayor que cuando iba todos los días a la oficina"/>
    <s v="Igual que cuando iba todos los días a la oficina"/>
    <s v="Igual que cuando iba todos los días a la oficina"/>
    <s v="Igual que cuando iba todos los días a la oficina"/>
    <s v="Menor que cuando iba todos los días a la oficina"/>
    <s v="Igual que cuando iba todos los días a la oficina"/>
    <s v="Mayor que cuando iba todos los días a la oficina"/>
    <s v="Menos que cuando iba todos los días a la oficina"/>
    <s v="Menores que cuando iba todos los días a la oficina"/>
    <s v="Igual que cuando iba todos los días a la oficina"/>
    <s v="Igual que cuando iba todos los días a la oficina"/>
    <s v="Menor que cuando iba todos los días a la oficina"/>
    <s v="Menor que cuando iba todos los días a la oficina"/>
    <s v="Menor que cuando iba todos los días a la oficina"/>
    <s v="Igual que cuando iba todos los días a la oficina"/>
    <s v="Peor que cuando iba todos los días a la oficina"/>
    <s v="Igual que cuando iba todos los días a la oficina"/>
    <s v="Mucho menor que cuando iba todos los días a la oficina"/>
    <s v="Menor que cuando iba todos los días a la oficina"/>
    <s v="Mayor que cuando iba todos los días a la oficina"/>
    <s v="Igual que cuando iba todos los días a la oficina"/>
    <s v="Mayores que cuando iba todos los días a la oficina"/>
    <s v="Mucho menor que cuando iba todos los días a la oficina"/>
    <s v="Igual que cuando iba todos los días a la oficina"/>
    <s v="miguel.ampuero.ls@gmail.com"/>
    <s v="301+ empleados"/>
    <n v="0"/>
  </r>
  <r>
    <s v="España"/>
    <s v="&lt;35 años"/>
    <s v="Masculino"/>
    <s v="Ingeniero informático"/>
    <s v="11-20 años"/>
    <s v="Junior/Senior Developer"/>
    <s v="Senior Developer/ Project Manager"/>
    <s v="51-150 empleados"/>
    <s v="Empresa que desarrolla software a medida partiendo desde cero"/>
    <s v="Nacional (múltiples sedes en el mismo país)"/>
    <s v="Casi Nunca"/>
    <s v="Alto"/>
    <s v="3-4 días"/>
    <s v="1-2 días"/>
    <s v="Híbrida casa (más días en casa que en la oficina)"/>
    <s v="Decidida por ti"/>
    <s v="De acuerdo"/>
    <s v="Menor que cuando iba todos los días a la oficina"/>
    <s v="Menor que cuando iba todos los días a la oficina"/>
    <s v="Menor que cuando iba todos los días a la oficina"/>
    <s v="Diferentes que cuando iba todos los días a la oficina, ahora necesito menos horas para hacer lo mismo"/>
    <s v="Todas por videoconferencia"/>
    <s v="Mucho menor que cuando eran en la oficina"/>
    <s v="Igual que cuando iba todos los días a la oficina"/>
    <s v="Menor que cuando iba todos los días a la oficina"/>
    <s v="Menor que cuando iba todos los días a la oficina"/>
    <s v="Igual que cuando iba todos los días a la oficina"/>
    <x v="1"/>
    <x v="2"/>
    <x v="1"/>
    <s v="Menor que cuando iba todos los días a la oficina"/>
    <x v="1"/>
    <s v="Más que cuando iba todos los días a la oficina"/>
    <s v="No trabajo con personas de distintas culturas"/>
    <s v="Más que cuando iba todos los días a la oficina"/>
    <s v="Más que cuando iba todos los días a la oficina"/>
    <s v="Más que cuando iba todos los días a la oficina"/>
    <s v="Mas que cuando iba todos los días a la oficina"/>
    <s v="Mas que cuando iba todos los días a la oficina"/>
    <s v="Mas que cuando iba todos los días a la oficina"/>
    <s v="Mas que cuando iba todos los días a la oficina"/>
    <s v="Menores que cuando iba todos los días a la oficina"/>
    <s v="Menor que cuando iba todos los días a la oficina"/>
    <s v="Mayor que cuando iba todos los días a la oficina"/>
    <s v="Menor que cuando iba todos los días a la oficina"/>
    <s v="Mayor que cuando iba todos los días a la oficina"/>
    <s v="Menor que cuando iba todos los días a la oficina"/>
    <s v="Menor que cuando iba todos los días a la oficina"/>
    <s v="Menor que cuando iba todos los días a la oficina"/>
    <s v="Mucho mayor que cuando iba todos los días a la oficina"/>
    <s v="Iguales que cuando iba todos los días a la oficina"/>
    <s v="Menor que cuando iba todos los días a la oficina"/>
    <s v="No hay diferencias culturales en mi equipo"/>
    <s v="Igual que cuando iba todos los días a la oficina"/>
    <s v="Mayores que cuando iba todos los días a la oficina"/>
    <s v="No tengo que utilizar diferentes idiomas en mi trabajo"/>
    <s v="Menos que cuando iba todos los días a la oficina"/>
    <s v="Menor que cuando iba todos los días a la oficina"/>
    <s v="Mayores que cuando iba todos los días a la oficina"/>
    <s v="Igual que cuando iba todos los días a la oficina"/>
    <s v="Mayor que cuando iba todos los días a la oficina"/>
    <s v="Igual que cuando iba todos los días a la oficina"/>
    <s v="Iguales que cuando iba todos los días a la oficina"/>
    <s v="Igual que cuando iba todos los días a la oficina"/>
    <s v="Igual que cuando iba todos los días a la oficina"/>
    <s v="Igual que cuando iba todos los días a la oficina"/>
    <s v="Mucho mayor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Menores que cuando iba todos los días a la oficina"/>
    <s v="Igual que cuando iba todos los días a la oficina"/>
    <s v="Mucho Mayor que cuando iba todos los días a la oficina"/>
    <s v="Menor que cuando iba todos los días a la oficina"/>
    <s v="Igual que cuando iba todos los días a la oficina"/>
    <s v="Menor que cuando iba todos los días a la oficina"/>
    <s v="Igual que cuando iba todos los días a la oficina"/>
    <s v="Peor que cuando iba todos los días a la oficina"/>
    <s v="Igual que cuando iba todos los días a la oficina"/>
    <s v="Menor que cuando iba todos los días a la oficina"/>
    <s v="Menor que cuando iba todos los días a la oficina"/>
    <s v="Mayor que cuando iba todos los días a la oficina"/>
    <s v="Igual que cuando iba todos los días a la oficina"/>
    <s v="Iguales que cuando iba todos los días a la oficina"/>
    <s v="Menor que cuando iba todos los días a la oficina"/>
    <s v="Mayor que cuando iba todos los días a la oficina"/>
    <m/>
    <s v="&lt;301 empleados"/>
    <n v="1"/>
  </r>
  <r>
    <s v="España"/>
    <s v="&lt;35 años"/>
    <s v="Masculino"/>
    <s v="Graduado en Ingeniería Informática"/>
    <s v="&lt;5 años"/>
    <s v="No he estado nunca en esa situación"/>
    <s v="Junior Engineer"/>
    <s v="&gt;500 empleados."/>
    <s v="Empresa que desarrolla software a medida partiendo desde cero"/>
    <s v="Multinacional"/>
    <s v="A veces"/>
    <s v="Alto"/>
    <s v="3-4 días"/>
    <s v="1-2 días"/>
    <s v="Híbrida casa (más días en casa que en la oficina)"/>
    <s v="Consensuada por las dos partes"/>
    <s v="De acuerdo"/>
    <s v="Igual que cuando iba todos los días a la oficina"/>
    <s v="Igual que cuando iba todos los días a la oficina"/>
    <s v="Menor que cuando iba todos los días a la oficina"/>
    <s v="Iguales que cuando iba todos los días a la oficina"/>
    <s v="Casi todas por videoconferencia"/>
    <s v="Igual que cuando eran en la oficina"/>
    <s v="Mayor que cuando iba todos los días a la oficina"/>
    <s v="Mayor que cuando iba todos los días a la oficina"/>
    <s v="Igual que cuando iba todos los días a la oficina"/>
    <s v="Menor que cuando iba todos los días a la oficina"/>
    <x v="4"/>
    <x v="2"/>
    <x v="1"/>
    <s v="Mayor que cuando iba todos los días a la oficina"/>
    <x v="1"/>
    <s v="Más que cuando iba todos los días a la oficina"/>
    <s v="Igual que cuando iba todos los días a la oficina"/>
    <s v="Más que cuando iba todos los días a la oficina"/>
    <s v="Más que cuando iba todos los días a la oficina"/>
    <s v="Más que cuando iba todos los días a la oficina"/>
    <s v="Mas que cuando iba todos los días a la oficina"/>
    <s v="Mucho más que cuando iba todos los días a la oficina"/>
    <s v="Mas que cuando iba todos los días a la oficina"/>
    <s v="Mas que cuando iba todos los días a la oficina"/>
    <s v="Mayores que cuando iba todos los días a la oficina"/>
    <s v="Mayor que cuando iba todos los días a la oficina"/>
    <s v="Mayor que cuando iba todos los días a la oficina"/>
    <s v="Igual que cuando iba todos los días a la oficina"/>
    <s v="Mayor que cuando iba todos los días a la oficina"/>
    <s v="Igual que cuando iba todos los días a la oficina"/>
    <s v="Igual que cuando iba todos los días a la oficina"/>
    <s v="Mayor que cuando iba todos los días a la oficina"/>
    <s v="Mucho mayor que cuando iba todos los días a la oficina"/>
    <s v="Mayores que cuando iba todos los días a la oficina"/>
    <s v="Mayor que cuando iba todos los días a la oficina"/>
    <s v="Iguales que cuando iba todos los días a la oficina"/>
    <s v="Mayor que cuando iba todos los días a la oficina"/>
    <s v="Mayores que cuando iba todos los días a la oficina"/>
    <s v="Iguales que cuando iba todos los días a la oficina"/>
    <s v="Igual que cuando iba todos los días a la oficina"/>
    <s v="Menor que cuando iba todos los días a la oficina"/>
    <s v="Mayores que cuando iba todos los días a la oficina"/>
    <s v="Mucho mayor que cuando iba todos los días a la oficina"/>
    <s v="Mucho mayor que cuando iba todos los días a la oficina"/>
    <s v="Más que cuando iba todos los días a la oficina"/>
    <s v="Mayores que cuando iba todos los días a la oficina"/>
    <s v="Igual que cuando iba todos los días a la oficina"/>
    <s v="Igual que cuando iba todos los días a la oficina"/>
    <s v="Igual que cuando iba todos los días a la oficina"/>
    <s v="Mayor que cuando iba todos los días a la oficina"/>
    <s v="Mayor que cuando iba todos los días a la oficina"/>
    <s v="Mayor que cuando iba todos los días a la oficina"/>
    <s v="Mayor que cuando iba todos los días a la oficina"/>
    <s v="Mayor que cuando iba todos los días a la oficina"/>
    <s v="Mayor que cuando iba todos los días a la oficina"/>
    <s v="Igual que cuando iba todos los días a la oficina"/>
    <s v="Igual que cuando iba todos los días a la oficina"/>
    <s v="Mayores que cuando iba todos los días a la oficina"/>
    <s v="Igual que cuando iba todos los días a la oficina"/>
    <s v="Mucho Mayor que cuando iba todos los días a la oficina"/>
    <s v="Mayor que cuando iba todos los días a la oficina"/>
    <s v="Mayor que cuando iba todos los días a la oficina"/>
    <s v="Igual que cuando iba todos los días a la oficina"/>
    <s v="Igual que cuando iba todos los días a la oficina"/>
    <s v="Mejor que cuando iba todos los días a la oficina"/>
    <s v="Igual que cuando iba todos los días a la oficina"/>
    <s v="Mucho menor que cuando iba todos los días a la oficina"/>
    <s v="Igual que cuando iba todos los días a la oficina"/>
    <s v="Mayor que cuando iba todos los días a la oficina"/>
    <s v="Menor que cuando iba todos los días a la oficina"/>
    <s v="Iguales que cuando iba todos los días a la oficina"/>
    <s v="Igual que cuando iba todos los días a la oficina"/>
    <s v="Igual que cuando iba todos los días a la oficina"/>
    <m/>
    <s v="301+ empleados"/>
    <n v="0"/>
  </r>
  <r>
    <s v="México"/>
    <s v="&lt;35 años"/>
    <s v="Femenino"/>
    <s v="Preparatoria terminada"/>
    <s v="&lt;5 años"/>
    <s v="Account Research Specialist"/>
    <s v="Data Steward"/>
    <s v="&gt;500 empleados."/>
    <s v="Fábrica de Software"/>
    <s v="Multinacional"/>
    <s v="Muy Frecuentemente"/>
    <s v="Alto"/>
    <s v="3-4 días"/>
    <s v="1-2 días"/>
    <s v="Remota ( todos los días en casa)"/>
    <s v="Impuesta por la empresa"/>
    <s v="En desacuerdo"/>
    <s v="Menor que cuando iba todos los días a la oficina"/>
    <s v="Menor que cuando iba todos los días a la oficina"/>
    <s v="Igual que cuando iba todos los días a la oficina"/>
    <s v="Diferentes que cuando iba todos los días a la oficina, ahora necesito menos horas para hacer lo mismo"/>
    <s v="Todas por videoconferencia"/>
    <s v="Menor que cuando eran en la oficina"/>
    <s v="Igual que cuando iba todos los días a la oficina"/>
    <s v="Igual que cuando iba todos los días a la oficina"/>
    <s v="Mayor que cuando iba todos los días a la oficina"/>
    <s v="Menor que cuando iba todos los días a la oficina"/>
    <x v="1"/>
    <x v="2"/>
    <x v="1"/>
    <s v="Menor que cuando iba todos los días a la oficina"/>
    <x v="5"/>
    <s v="Igual que cuando iba todos los días a la oficina"/>
    <s v="Menos que cuando iba todos los días a la oficina"/>
    <s v="Mucho menos que cuando iba todos los días a la oficina"/>
    <s v="Menos que cuando iba todos los días a la oficina"/>
    <s v="Mucho menos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es que cuando iba todos los días a la oficina"/>
    <s v="Mayor que cuando iba todos los días a la oficina"/>
    <s v="Mucho Mayor que cuando iba todos los días a la oficina"/>
    <s v="Mucho menor que cuando iba todos los días a la oficina"/>
    <s v="Igual que cuando iba todos los días a la oficina"/>
    <s v="Mucho menor que cuando iba todos los días a la oficina"/>
    <s v="Menor que cuando iba todos los días a la oficina"/>
    <s v="Igual que cuando iba todos los días a la oficina"/>
    <s v="Mucho mayor que cuando iba todos los días a la oficina"/>
    <s v="Mucho menores que cuando iba todos los días a la oficina"/>
    <s v="Mucho mayor que cuando iba todos los días a la oficina"/>
    <s v="Menores que cuando iba todos los días a la oficina"/>
    <s v="Mayor que cuando iba todos los días a la oficina"/>
    <s v="Menores que cuando iba todos los días a la oficina"/>
    <s v="Iguales que cuando iba todos los días a la oficina"/>
    <s v="Menos que cuando iba todos los días a la oficina"/>
    <s v="Menor que cuando iba todos los días a la oficina"/>
    <s v="Iguales que cuando iba todos los días a la oficina"/>
    <s v="Menor que cuando iba todos los días a la oficina"/>
    <s v="Mayor que cuando iba todos los días a la oficina"/>
    <s v="No tengo la información para contestar a la pregunta"/>
    <s v="Menores que cuando iba todos los días a la oficina"/>
    <s v="Igual que cuando iba todos los días a la oficina"/>
    <s v="Mayor que cuando iba todos los días a la oficina"/>
    <s v="Igual que cuando iba todos los días a la oficina"/>
    <s v="Mucho mayor que cuando iba todos los días a la oficina"/>
    <s v="Menor que cuando iba todos los días a la oficina"/>
    <s v="Igual que cuando iba todos los días a la oficina"/>
    <s v="Menor que cuando iba todos los días a la oficina"/>
    <s v="Mayor que cuando iba todos los días a la oficina"/>
    <s v="Igual que cuando iba todos los días a la oficina"/>
    <s v="Igual que cuando iba todos los días a la oficina"/>
    <s v="Mas que cuando iba todos los días a la oficina"/>
    <s v="Mayores que cuando iba todos los días a la oficina"/>
    <s v="Mayor que cuando iba todos los días a la oficina"/>
    <s v="Mucho Mayor que cuando iba todos los días a la oficina"/>
    <s v="Igual que cuando iba todos los días a la oficina"/>
    <s v="Menor que cuando iba todos los días a la oficina"/>
    <s v="Igual que cuando iba todos los días a la oficina"/>
    <s v="Mayor que cuando iba todos los días a la oficina"/>
    <s v="Mejor que cuando iba todos los días a la oficina"/>
    <s v="Igual que cuando iba todos los días a la oficina"/>
    <s v="Menor que cuando iba todos los días a la oficina"/>
    <s v="Igual que cuando iba todos los días a la oficina"/>
    <s v="Mayor que cuando iba todos los días a la oficina"/>
    <s v="Menor que cuando iba todos los días a la oficina"/>
    <s v="Menores que cuando iba todos los días a la oficina"/>
    <s v="Mucho Mayor que cuando iba todos los días a la oficina"/>
    <s v="Igual que cuando iba todos los días a la oficina"/>
    <m/>
    <s v="301+ empleados"/>
    <n v="0"/>
  </r>
  <r>
    <s v="México"/>
    <s v="&lt;35 años"/>
    <s v="Masculino"/>
    <s v="Carrera tecnica"/>
    <s v="&lt;5 años"/>
    <s v="Auxiliar"/>
    <s v="Desarrollador de aplicaciones móviles "/>
    <s v="&lt;50 empleados"/>
    <s v="Empresa que desarrolla software a medida partiendo desde cero"/>
    <s v="Local"/>
    <s v="Nunca"/>
    <s v="Alto"/>
    <s v="3-4 días"/>
    <s v="1-2 días"/>
    <s v="Híbrida casa (más días en casa que en la oficina)"/>
    <s v="Impuesta por la empresa"/>
    <s v="De acuerdo"/>
    <s v="Igual que cuando iba todos los días a la oficina"/>
    <s v="Menor que cuando iba todos los días a la oficina"/>
    <s v="Menor que cuando iba todos los días a la oficina"/>
    <s v="Iguales que cuando iba todos los días a la oficina"/>
    <s v="Casi todas por videoconferencia"/>
    <s v="Igual que cuando eran en la oficina"/>
    <s v="Mayor que cuando iba todos los días a la oficina"/>
    <s v="Mayor que cuando iba todos los días a la oficina"/>
    <s v="Mayor que cuando iba todos los días a la oficina"/>
    <s v="Mucho Mayor que cuando iba todos los días a la oficina"/>
    <x v="4"/>
    <x v="3"/>
    <x v="1"/>
    <s v="Menor que cuando iba todos los días a la oficina"/>
    <x v="2"/>
    <s v="Igual que cuando iba todos los días a la oficina"/>
    <s v="No trabajo con personas de distintas culturas"/>
    <s v="Mucho más que cuando iba todos los días a la oficina"/>
    <s v="No trabajo  con personas que se encuentran geográficamente distribuidas"/>
    <s v="Mucho más que cuando iba todos los días a la oficina"/>
    <s v="Mucho más que cuando iba todos los días a la oficina"/>
    <s v="Mucho más que cuando iba todos los días a la oficina"/>
    <s v="Mucho mas que cuando iba todos los días a la oficina"/>
    <s v="Mucho mas que cuando iba todos los días a la oficina"/>
    <s v="Mayores que cuando iba todos los días a la oficina"/>
    <s v="Menor que cuando iba todos los días a la oficina"/>
    <s v="Mucho Mayor que cuando iba todos los días a la oficina"/>
    <s v="Mucho Mayor que cuando iba todos los días a la oficina"/>
    <s v="Menor que cuando iba todos los días a la oficina"/>
    <s v="Mayor que cuando iba todos los días a la oficina"/>
    <s v="Igual que cuando iba todos los días a la oficina"/>
    <s v="Mucho mayor que cuando iba todos los días a la oficina"/>
    <s v="Mucho mayor que cuando iba todos los días a la oficina"/>
    <s v="Iguales que cuando iba todos los días a la oficina"/>
    <s v="Igual que cuando iba todos los días a la oficina"/>
    <s v="No hay diferencias culturales en mi equipo"/>
    <s v="Igual que cuando iba todos los días a la oficina"/>
    <s v="Mayores que cuando iba todos los días a la oficina"/>
    <s v="No tengo que utilizar diferentes idiomas en mi trabajo"/>
    <s v="Mucho más que cuando iba todos los días a la oficina"/>
    <s v="Mayor que cuando iba todos los días a la oficina"/>
    <s v="Menores que cuando iba todos los días a la oficina"/>
    <s v="Igual que cuando iba todos los días a la oficina"/>
    <s v="Igual que cuando iba todos los días a la oficina"/>
    <s v="Mucho más que cuando iba todos los días a la oficina"/>
    <s v="Iguales que cuando iba todos los días a la oficina"/>
    <s v="Igual que cuando iba todos los días a la oficina"/>
    <s v="Igual que cuando iba todos los días a la oficina"/>
    <s v="Mucho Mayor que cuando iba todos los días a la oficina"/>
    <s v="Mucho mayor que cuando iba todos los días a la oficina"/>
    <s v="Igual que cuando iba todos los días a la oficina"/>
    <s v="Igual que cuando iba todos los días a la oficina"/>
    <s v="Igual que cuando iba todos los días a la oficina"/>
    <s v="Mucho Mayor que cuando iba todos los días a la oficina"/>
    <s v="Mucho Mayor que cuando iba todos los días a la oficina"/>
    <s v="Igual que cuando iba todos los días a la oficina"/>
    <s v="Igual que cuando iba todos los días a la oficina"/>
    <s v="Iguales que cuando iba todos los días a la oficina"/>
    <s v="Igual que cuando iba todos los días a la oficina"/>
    <s v="Igual que cuando iba todos los días a la oficina"/>
    <s v="Igual que cuando iba todos los días a la oficina"/>
    <s v="Mucho menor que cuando iba todos los días a la oficina"/>
    <s v="Mucho menor que cuando iba todos los días a la oficina"/>
    <s v="Mucho menor que cuando iba todos los días a la oficina"/>
    <s v="Igual que cuando iba todos los días a la oficina"/>
    <s v="Mayor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es que cuando iba todos los días a la oficina"/>
    <s v="Igual que cuando iba todos los días a la oficina"/>
    <s v="Igual que cuando iba todos los días a la oficina"/>
    <m/>
    <s v="&lt;301 empleados"/>
    <n v="0"/>
  </r>
  <r>
    <s v="México"/>
    <s v="&lt;35 años"/>
    <s v="Masculino"/>
    <s v="Licenciatura"/>
    <s v="&lt;5 años"/>
    <s v="Data Analyst"/>
    <s v="Data Analyst "/>
    <s v="&gt;500 empleados."/>
    <s v="Fábrica de Software"/>
    <s v="Multinacional"/>
    <s v="Muy Frecuentemente"/>
    <s v="Alto"/>
    <s v="3-4 días"/>
    <s v="1-2 días"/>
    <s v="Híbrida casa (más días en casa que en la oficina)"/>
    <s v="Impuesta por la empresa"/>
    <s v="Totalmente de acuerdo"/>
    <s v="Igual que cuando iba todos los días a la oficina"/>
    <s v="Igual que cuando iba todos los días a la oficina"/>
    <s v="Igual que cuando iba todos los días a la oficina"/>
    <s v="Muy diferentes que cuando iba todos los días a la oficina, ahora necesito muchas menos horas para hacer lo mismo"/>
    <s v="Todas por videoconferencia"/>
    <s v="Mucho menor que cuando eran en la oficina"/>
    <s v="Mayor que cuando iba todos los días a la oficina"/>
    <s v="No tengo la información para contestar a la pregunta"/>
    <s v="No tengo la información para contestar a la pregunta"/>
    <s v="Igual que cuando iba todos los días a la oficina"/>
    <x v="1"/>
    <x v="1"/>
    <x v="2"/>
    <s v="Mayor que cuando iba todos los días a la oficina"/>
    <x v="3"/>
    <s v="No tengo la información para contestar a la pregunta"/>
    <s v="Igual que cuando iba todos los días a la oficina"/>
    <s v="Mucho menos que cuando iba todos los días a la oficina"/>
    <s v="Mucho menos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es que cuando iba todos los días a la oficina"/>
    <s v="Igual que cuando iba todos los días a la oficina"/>
    <s v="Igual que cuando iba todos los días a la oficina"/>
    <s v="Mucho menor que cuando iba todos los días a la oficina"/>
    <s v="Igual que cuando iba todos los días a la oficina"/>
    <s v="Menor que cuando iba todos los días a la oficina"/>
    <s v="Mucho menor que cuando iba todos los días a la oficina"/>
    <s v="Igual que cuando iba todos los días a la oficina"/>
    <s v="Mucho mayor que cuando iba todos los días a la oficina"/>
    <s v="Iguales que cuando iba todos los días a la oficina"/>
    <s v="Igual que cuando iba todos los días a la oficina"/>
    <s v="Iguales que cuando iba todos los días a la oficina"/>
    <s v="Igual que cuando iba todos los días a la oficina"/>
    <s v="Iguales que cuando iba todos los días a la oficina"/>
    <s v="Iguales que cuando iba todos los días a la oficina"/>
    <s v="Mucho menos que cuando iba todos los días a la oficina"/>
    <s v="Igual que cuando iba todos los días a la oficina"/>
    <s v="Mucho mayores que cuando iba todos los días a la oficina"/>
    <s v="Igual que cuando iba todos los días a la oficina"/>
    <s v="No tengo la información para contestar a la pregunta"/>
    <s v="Igual que cuando iba todos los días a la oficina"/>
    <s v="Iguales que cuando iba todos los días a la oficina"/>
    <s v="Igual que cuando iba todos los días a la oficina"/>
    <s v="Mayor que cuando iba todos los días a la oficina"/>
    <s v="Menor que cuando iba todos los días a la oficina"/>
    <s v="Mucho mayor que cuando iba todos los días a la oficina"/>
    <s v="Igual que cuando iba todos los días a la oficina"/>
    <s v="Igual que cuando iba todos los días a la oficina"/>
    <s v="Igual que cuando iba todos los días a la oficina"/>
    <s v="Mucho Mayor que cuando iba todos los días a la oficina"/>
    <s v="Mayor que cuando iba todos los días a la oficina"/>
    <s v="Igual que cuando iba todos los días a la oficina"/>
    <s v="Mucho mas que cuando iba todos los días a la oficina"/>
    <s v="Mucho Mayores que cuando iba todos los días a la oficina"/>
    <s v="Igual que cuando iba todos los días a la oficina"/>
    <s v="Mucho Mayor que cuando iba todos los días a la oficina"/>
    <s v="Mayor que cuando iba todos los días a la oficina"/>
    <s v="Mucho menor que cuando iba todos los días a la oficina"/>
    <s v="Igual que cuando iba todos los días a la oficina"/>
    <s v="Mayor que cuando iba todos los días a la oficina"/>
    <s v="Mucho Mejor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es que cuando iba todos los días a la oficina"/>
    <s v="Igual que cuando iba todos los días a la oficina"/>
    <s v="Mayor que cuando iba todos los días a la oficina"/>
    <s v="martinpreciado6@gmail.com"/>
    <s v="301+ empleados"/>
    <n v="0"/>
  </r>
  <r>
    <s v="México"/>
    <s v="&lt;35 años"/>
    <s v="Masculino"/>
    <s v="licenciatura"/>
    <s v="&lt;5 años"/>
    <s v="Data analyst"/>
    <s v="Data analyst"/>
    <s v="&gt;500 empleados."/>
    <s v="Empresa que desarrolla software a medida partiendo desde cero"/>
    <s v="Multinacional"/>
    <s v="Muy Frecuentemente"/>
    <s v="Alto"/>
    <s v="3-4 días"/>
    <s v="1-2 días"/>
    <s v="Remota ( todos los días en casa)"/>
    <s v="Impuesta por la empresa"/>
    <s v="De acuerdo"/>
    <s v="Igual que cuando iba todos los días a la oficina"/>
    <s v="Igual que cuando iba todos los días a la oficina"/>
    <s v="Igual que cuando iba todos los días a la oficina"/>
    <s v="Iguales que cuando iba todos los días a la oficina"/>
    <s v="Casi todas por videoconferencia"/>
    <s v="Igual que cuando eran en la oficina"/>
    <s v="Igual que cuando iba todos los días a la oficina"/>
    <s v="Igual que cuando iba todos los días a la oficina"/>
    <s v="Igual que cuando iba todos los días a la oficina"/>
    <s v="Igual que cuando iba todos los días a la oficina"/>
    <x v="1"/>
    <x v="2"/>
    <x v="1"/>
    <s v="Igual que cuando iba todos los días a la oficina"/>
    <x v="2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es que cuando iba todos los días a la oficina"/>
    <s v="Igual que cuando iba todos los días a la oficina"/>
    <s v="Igual que cuando iba todos los días a la oficina"/>
    <s v="Mucho menor que cuando iba todos los días a la oficina"/>
    <s v="Igual que cuando iba todos los días a la oficina"/>
    <s v="Menor que cuando iba todos los días a la oficina"/>
    <s v="Menor que cuando iba todos los días a la oficina"/>
    <s v="Igual que cuando iba todos los días a la oficina"/>
    <s v="Mayor que cuando iba todos los días a la oficina"/>
    <s v="Iguales que cuando iba todos los días a la oficina"/>
    <s v="Igual que cuando iba todos los días a la oficina"/>
    <s v="Iguales que cuando iba todos los días a la oficina"/>
    <s v="Igual que cuando iba todos los días a la oficina"/>
    <s v="Iguales que cuando iba todos los días a la oficina"/>
    <s v="Iguales que cuando iba todos los días a la oficina"/>
    <s v="Igual que cuando iba todos los días a la oficina"/>
    <s v="Igual que cuando iba todos los días a la oficina"/>
    <s v="Iguales que cuando iba todos los días a la oficina"/>
    <s v="Igual que cuando iba todos los días a la oficina"/>
    <s v="Igual que cuando iba todos los días a la oficina"/>
    <s v="Igual que cuando iba todos los días a la oficina"/>
    <s v="Iguales que cuando iba todos los días a la oficina"/>
    <s v="Igual que cuando iba todos los días a la oficina"/>
    <s v="Igual que cuando iba todos los días a la oficina"/>
    <s v="Igual que cuando iba todos los días a la oficina"/>
    <s v="Mayor que cuando iba todos los días a la oficina"/>
    <s v="Igual que cuando iba todos los días a la oficina"/>
    <s v="Igual que cuando iba todos los días a la oficina"/>
    <s v="Igual que cuando iba todos los días a la oficina"/>
    <s v="Mayor que cuando iba todos los días a la oficina"/>
    <s v="Mayor que cuando iba todos los días a la oficina"/>
    <s v="Igual que cuando iba todos los días a la oficina"/>
    <s v="Igual que cuando iba todos los días a la oficina"/>
    <s v="Iguales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es que cuando iba todos los días a la oficina"/>
    <s v="Igual que cuando iba todos los días a la oficina"/>
    <s v="Igual que cuando iba todos los días a la oficina"/>
    <m/>
    <s v="301+ empleados"/>
    <n v="0"/>
  </r>
  <r>
    <s v="México"/>
    <s v="&lt;35 años"/>
    <s v="Femenino"/>
    <s v="Licenciatura"/>
    <s v="5-10 años"/>
    <s v="data engineer"/>
    <s v="data engineer"/>
    <s v="&gt;500 empleados."/>
    <s v="Empresa que subcontrata (outsourcing) los servicios de otra del mismo país"/>
    <s v="Multinacional"/>
    <s v="Frecuentemente"/>
    <s v="Alto"/>
    <s v="3-4 días"/>
    <s v="1-2 días"/>
    <s v="Híbrida casa (más días en casa que en la oficina)"/>
    <s v="Consensuada por las dos partes"/>
    <s v="En desacuerdo"/>
    <s v="Igual que cuando iba todos los días a la oficina"/>
    <s v="Igual que cuando iba todos los días a la oficina"/>
    <s v="Igual que cuando iba todos los días a la oficina"/>
    <s v="Diferentes que cuando iba todos los días a la oficina, ahora necesito menos horas para hacer lo mismo"/>
    <s v="La Mitad por videoconferencia y la mitad presencial"/>
    <s v="Menor que cuando eran en la oficina"/>
    <s v="Igual que cuando iba todos los días a la oficina"/>
    <s v="Mayor que cuando iba todos los días a la oficina"/>
    <s v="Igual que cuando iba todos los días a la oficina"/>
    <s v="Mayor que cuando iba todos los días a la oficina"/>
    <x v="1"/>
    <x v="3"/>
    <x v="0"/>
    <s v="Igual que cuando iba todos los días a la oficina"/>
    <x v="1"/>
    <s v="Más que cuando iba todos los días a la oficina"/>
    <s v="Menos que cuando iba todos los días a la oficina"/>
    <s v="Más que cuando iba todos los días a la oficina"/>
    <s v="Menos que cuando iba todos los días a la oficina"/>
    <s v="Más que cuando iba todos los días a la oficina"/>
    <s v="Igual que cuando iba todos los días a la oficina"/>
    <s v="Mas que cuando iba todos los días a la oficina"/>
    <s v="Mas que cuando iba todos los días a la oficina"/>
    <s v="Mas que cuando iba todos los días a la oficina"/>
    <s v="Iguales que cuando iba todos los días a la oficina"/>
    <s v="Igual que cuando iba todos los días a la oficina"/>
    <s v="Igual que cuando iba todos los días a la oficina"/>
    <s v="Menor que cuando iba todos los días a la oficina"/>
    <s v="Igual que cuando iba todos los días a la oficina"/>
    <s v="Menor que cuando iba todos los días a la oficina"/>
    <s v="Igual que cuando iba todos los días a la oficina"/>
    <s v="Igual que cuando iba todos los días a la oficina"/>
    <s v="Mayor que cuando iba todos los días a la oficina"/>
    <s v="Iguales que cuando iba todos los días a la oficina"/>
    <s v="Igual que cuando iba todos los días a la oficina"/>
    <s v="Menores que cuando iba todos los días a la oficina"/>
    <s v="Igual que cuando iba todos los días a la oficina"/>
    <s v="Iguales que cuando iba todos los días a la oficina"/>
    <s v="Iguales que cuando iba todos los días a la oficina"/>
    <s v="Menos que cuando iba todos los días a la oficina"/>
    <s v="Menor que cuando iba todos los días a la oficina"/>
    <s v="Iguales que cuando iba todos los días a la oficina"/>
    <s v="Mayor que cuando iba todos los días a la oficina"/>
    <s v="Mayor que cuando iba todos los días a la oficina"/>
    <s v="Más que cuando iba todos los días a la oficina"/>
    <s v="Iguales que cuando iba todos los días a la oficina"/>
    <s v="Mejor que cuando iba todos los días a la oficina"/>
    <s v="Menor que cuando iba todos los días a la oficina"/>
    <s v="Igual que cuando iba todos los días a la oficina"/>
    <s v="Mayor que cuando iba todos los días a la oficina"/>
    <s v="Mayor que cuando iba todos los días a la oficina"/>
    <s v="Mayor que cuando iba todos los días a la oficina"/>
    <s v="Mayor que cuando iba todos los días a la oficina"/>
    <s v="Mayor que cuando iba todos los días a la oficina"/>
    <s v="Igual que cuando iba todos los días a la oficina"/>
    <s v="Igual que cuando iba todos los días a la oficina"/>
    <s v="Igual que cuando iba todos los días a la oficina"/>
    <s v="Menores que cuando iba todos los días a la oficina"/>
    <s v="Igual que cuando iba todos los días a la oficina"/>
    <s v="Mayor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Menor que cuando iba todos los días a la oficina"/>
    <s v="Igual que cuando iba todos los días a la oficina"/>
    <s v="Mayor que cuando iba todos los días a la oficina"/>
    <s v="Menor que cuando iba todos los días a la oficina"/>
    <s v="Iguales que cuando iba todos los días a la oficina"/>
    <s v="Menor que cuando iba todos los días a la oficina"/>
    <s v="Igual que cuando iba todos los días a la oficina"/>
    <m/>
    <s v="301+ empleados"/>
    <n v="0"/>
  </r>
  <r>
    <s v="México"/>
    <s v="&lt;35 años"/>
    <s v="Masculino"/>
    <s v="Licenciatura"/>
    <s v="5-10 años"/>
    <s v="Desarrollador"/>
    <s v="Desarrollador"/>
    <s v="&lt;50 empleados"/>
    <s v="Empresa que desarrolla software a medida partiendo desde cero"/>
    <s v="Local"/>
    <s v="Nunca"/>
    <s v="Alto"/>
    <s v="3-4 días"/>
    <s v="Ninguno"/>
    <s v="Presencial (todos los días en la oficina)"/>
    <s v="Decidida por ti"/>
    <s v="En desacuerdo"/>
    <s v="Menor que cuando iba todos los días a la oficina"/>
    <s v="Menor que cuando iba todos los días a la oficina"/>
    <s v="Menor que cuando iba todos los días a la oficina"/>
    <s v="Diferentes que cuando iba todos los días a la oficina, ahora necesito menos horas para hacer lo mismo"/>
    <s v="Todas por videoconferencia"/>
    <s v="Menor que cuando eran en la oficina"/>
    <s v="Mayor que cuando iba todos los días a la oficina"/>
    <s v="Igual que cuando iba todos los días a la oficina"/>
    <s v="Mayor que cuando iba todos los días a la oficina"/>
    <s v="Menor que cuando iba todos los días a la oficina"/>
    <x v="2"/>
    <x v="2"/>
    <x v="1"/>
    <s v="Menor que cuando iba todos los días a la oficina"/>
    <x v="2"/>
    <s v="Más que cuando iba todos los días a la oficina"/>
    <s v="Igual que cuando iba todos los días a la oficina"/>
    <s v="Más que cuando iba todos los días a la oficina"/>
    <s v="Igual que cuando iba todos los días a la oficina"/>
    <s v="Más que cuando iba todos los días a la oficina"/>
    <s v="Mas que cuando iba todos los días a la oficina"/>
    <s v="Mucho más que cuando iba todos los días a la oficina"/>
    <s v="Mas que cuando iba todos los días a la oficina"/>
    <s v="Igual que cuando iba todos los días a la oficina"/>
    <s v="Menores que cuando iba todos los días a la oficina"/>
    <s v="Menor que cuando iba todos los días a la oficina"/>
    <s v="Igual que cuando iba todos los días a la oficina"/>
    <s v="Mucho menor que cuando iba todos los días a la oficina"/>
    <s v="Igual que cuando iba todos los días a la oficina"/>
    <s v="Igual que cuando iba todos los días a la oficina"/>
    <s v="Menor que cuando iba todos los días a la oficina"/>
    <s v="Mucho menor que cuando iba todos los días a la oficina"/>
    <s v="Menor que cuando iba todos los días a la oficina"/>
    <s v="Menores que cuando iba todos los días a la oficina"/>
    <s v="Menor que cuando iba todos los días a la oficina"/>
    <s v="Iguales que cuando iba todos los días a la oficina"/>
    <s v="Igual que cuando iba todos los días a la oficina"/>
    <s v="Mayores que cuando iba todos los días a la oficina"/>
    <s v="Menores que cuando iba todos los días a la oficina"/>
    <s v="Menos que cuando iba todos los días a la oficina"/>
    <s v="Menor que cuando iba todos los días a la oficina"/>
    <s v="Mayores que cuando iba todos los días a la oficina"/>
    <s v="Menor que cuando iba todos los días a la oficina"/>
    <s v="Mayor que cuando iba todos los días a la oficina"/>
    <s v="Igual que cuando iba todos los días a la oficina"/>
    <s v="Iguales que cuando iba todos los días a la oficina"/>
    <s v="Mejor que cuando iba todos los días a la oficina"/>
    <s v="Mayor que cuando iba todos los días a la oficina"/>
    <s v="Menor que cuando iba todos los días a la oficina"/>
    <s v="Mucho mayor que cuando iba todos los días a la oficina"/>
    <s v="Mayor que cuando iba todos los días a la oficina"/>
    <s v="Igual que cuando iba todos los días a la oficina"/>
    <s v="Mayor que cuando iba todos los días a la oficina"/>
    <s v="Mucho Mayor que cuando iba todos los días a la oficina"/>
    <s v="Menor que cuando iba todos los días a la oficina"/>
    <s v="Igual que cuando iba todos los días a la oficina"/>
    <s v="Igual que cuando iba todos los días a la oficina"/>
    <s v="Iguales que cuando iba todos los días a la oficina"/>
    <s v="Mayor que cuando iba todos los días a la oficina"/>
    <s v="Mayor que cuando iba todos los días a la oficina"/>
    <s v="Igual que cuando iba todos los días a la oficina"/>
    <s v="Mucho menor que cuando iba todos los días a la oficina"/>
    <s v="Menor que cuando iba todos los días a la oficina"/>
    <s v="Igual que cuando iba todos los días a la oficina"/>
    <s v="Igual que cuando iba todos los días a la oficina"/>
    <s v="Igual que cuando iba todos los días a la oficina"/>
    <s v="Menor que cuando iba todos los días a la oficina"/>
    <s v="Igual que cuando iba todos los días a la oficina"/>
    <s v="Mayor que cuando iba todos los días a la oficina"/>
    <s v="Menor que cuando iba todos los días a la oficina"/>
    <s v="Iguales que cuando iba todos los días a la oficina"/>
    <s v="Igual que cuando iba todos los días a la oficina"/>
    <s v="Mayor que cuando iba todos los días a la oficina"/>
    <m/>
    <s v="&lt;301 empleados"/>
    <n v="0"/>
  </r>
  <r>
    <s v="México"/>
    <s v="&lt;35 años"/>
    <s v="Femenino"/>
    <s v="UNIVERSITARIO"/>
    <s v="&lt;5 años"/>
    <s v="Desarrollo de software "/>
    <s v="Desarollador de software "/>
    <s v="&lt;50 empleados"/>
    <s v="Empresa que desarrolla software a medida partiendo desde cero"/>
    <s v="Local"/>
    <s v="A veces"/>
    <s v="Alto"/>
    <s v="3-4 días"/>
    <s v="3-4 días"/>
    <s v="Presencial (todos los días en la oficina)"/>
    <s v="Impuesta por la empresa"/>
    <s v="Totalmente de acuerdo"/>
    <s v="Mucho menor que cuando iba todos los días a la oficina"/>
    <s v="Menor que cuando iba todos los días a la oficina"/>
    <s v="Menor que cuando iba todos los días a la oficina"/>
    <s v="Iguales que cuando iba todos los días a la oficina"/>
    <s v="La Mitad por videoconferencia y la mitad presencial"/>
    <s v="Mucho menor que cuando eran en la oficina"/>
    <s v="Mayor que cuando iba todos los días a la oficina"/>
    <s v="Mayor que cuando iba todos los días a la oficina"/>
    <s v="Mayor que cuando iba todos los días a la oficina"/>
    <s v="Igual que cuando iba todos los días a la oficina"/>
    <x v="0"/>
    <x v="1"/>
    <x v="1"/>
    <s v="Menor que cuando iba todos los días a la oficina"/>
    <x v="2"/>
    <s v="Más que cuando iba todos los días a la oficina"/>
    <s v="Igual que cuando iba todos los días a la oficina"/>
    <s v="Más que cuando iba todos los días a la oficina"/>
    <s v="Igual que cuando iba todos los días a la oficina"/>
    <s v="Más que cuando iba todos los días a la oficina"/>
    <s v="Mas que cuando iba todos los días a la oficina"/>
    <s v="Igual que cuando iba todos los días a la oficina"/>
    <s v="Igual que cuando iba todos los días a la oficina"/>
    <s v="Igual que cuando iba todos los días a la oficina"/>
    <s v="Iguales que cuando iba todos los días a la oficina"/>
    <s v="Mayor que cuando iba todos los días a la oficina"/>
    <s v="Mucho Mayor que cuando iba todos los días a la oficina"/>
    <s v="Mucho menor que cuando iba todos los días a la oficina"/>
    <s v="Mucho Mayor que cuando iba todos los días a la oficina"/>
    <s v="Menor que cuando iba todos los días a la oficina"/>
    <s v="Igual que cuando iba todos los días a la oficina"/>
    <s v="Igual que cuando iba todos los días a la oficina"/>
    <s v="Mucho mayor que cuando iba todos los días a la oficina"/>
    <s v="Menores que cuando iba todos los días a la oficina"/>
    <s v="Igual que cuando iba todos los días a la oficina"/>
    <s v="No hay diferencias culturales en mi equipo"/>
    <s v="Igual que cuando iba todos los días a la oficina"/>
    <s v="Menores que cuando iba todos los días a la oficina"/>
    <s v="No tengo que utilizar diferentes idiomas en mi trabajo"/>
    <s v="No trabajo con personas con distintos horarios"/>
    <s v="Igual que cuando iba todos los días a la oficina"/>
    <s v="Menores que cuando iba todos los días a la oficina"/>
    <s v="Mayor que cuando iba todos los días a la oficina"/>
    <s v="Mucho mayor que cuando iba todos los días a la oficina"/>
    <s v="Menos que cuando iba todos los días a la oficina"/>
    <s v="Mayores que cuando iba todos los días a la oficina"/>
    <s v="Mejor que cuando iba todos los días a la oficina"/>
    <s v="Igual que cuando iba todos los días a la oficina"/>
    <s v="Mayor que cuando iba todos los días a la oficina"/>
    <s v="Mucho mayor que cuando iba todos los días a la oficina"/>
    <s v="Igual que cuando iba todos los días a la oficina"/>
    <s v="Igual que cuando iba todos los días a la oficina"/>
    <s v="Mayor que cuando iba todos los días a la oficina"/>
    <s v="Mucho Mayor que cuando iba todos los días a la oficina"/>
    <s v="Igual que cuando iba todos los días a la oficina"/>
    <s v="Igual que cuando iba todos los días a la oficina"/>
    <s v="Igual que cuando iba todos los días a la oficina"/>
    <s v="Iguales que cuando iba todos los días a la oficina"/>
    <s v="Igual que cuando iba todos los días a la oficina"/>
    <s v="Mucho Mayor que cuando iba todos los días a la oficina"/>
    <s v="Menor que cuando iba todos los días a la oficina"/>
    <s v="Igual que cuando iba todos los días a la oficina"/>
    <s v="Igual que cuando iba todos los días a la oficina"/>
    <s v="Menor que cuando iba todos los días a la oficina"/>
    <s v="Igual que cuando iba todos los días a la oficina"/>
    <s v="Igual que cuando iba todos los días a la oficina"/>
    <s v="Menor que cuando iba todos los días a la oficina"/>
    <s v="Igual que cuando iba todos los días a la oficina"/>
    <s v="Igual que cuando iba todos los días a la oficina"/>
    <s v="Menor que cuando iba todos los días a la oficina"/>
    <s v="Iguales que cuando iba todos los días a la oficina"/>
    <s v="Igual que cuando iba todos los días a la oficina"/>
    <s v="Igual que cuando iba todos los días a la oficina"/>
    <s v="celestegpee@gmail.com"/>
    <s v="&lt;301 empleados"/>
    <n v="0"/>
  </r>
  <r>
    <s v="México"/>
    <s v="&lt;35 años"/>
    <s v="Masculino"/>
    <s v="Maestria "/>
    <s v="5-10 años"/>
    <s v="Gerencia"/>
    <s v="Direccion"/>
    <s v="&lt;50 empleados"/>
    <s v="Empresa que desarrolla software a medida partiendo desde cero"/>
    <s v="Nacional (múltiples sedes en el mismo país)"/>
    <s v="Casi Nunca"/>
    <s v="Alto"/>
    <s v="3-4 días"/>
    <s v="1-2 días"/>
    <s v="Híbrida casa (más días en casa que en la oficina)"/>
    <s v="Impuesta por la empresa"/>
    <s v="En desacuerdo"/>
    <s v="Menor que cuando iba todos los días a la oficina"/>
    <s v="Igual que cuando iba todos los días a la oficina"/>
    <s v="Menor que cuando iba todos los días a la oficina"/>
    <s v="Muy diferentes que cuando iba todos los días a la oficina, ahora necesito muchas menos horas para hacer lo mismo"/>
    <s v="Casi todas por videoconferencia"/>
    <s v="Igual que cuando eran en la oficina"/>
    <s v="Mayor que cuando iba todos los días a la oficina"/>
    <s v="Igual que cuando iba todos los días a la oficina"/>
    <s v="Igual que cuando iba todos los días a la oficina"/>
    <s v="Mayor que cuando iba todos los días a la oficina"/>
    <x v="2"/>
    <x v="1"/>
    <x v="1"/>
    <s v="Igual que cuando iba todos los días a la oficina"/>
    <x v="4"/>
    <s v="Igual que cuando iba todos los días a la oficina"/>
    <s v="No trabajo con personas de distintas culturas"/>
    <s v="Menos que cuando iba todos los días a la oficina"/>
    <s v="No trabajo  con personas que se encuentran geográficamente distribuidas"/>
    <s v="Igual que cuando iba todos los días a la oficina"/>
    <s v="Mas que cuando iba todos los días a la oficina"/>
    <s v="Igual que cuando iba todos los días a la oficina"/>
    <s v="Mas que cuando iba todos los días a la oficina"/>
    <s v="Menos que cuando iba todos los días a la oficina"/>
    <s v="Mayores que cuando iba todos los días a la oficina"/>
    <s v="Mayor que cuando iba todos los días a la oficina"/>
    <s v="Igual que cuando iba todos los días a la oficina"/>
    <s v="Menor que cuando iba todos los días a la oficina"/>
    <s v="Igual que cuando iba todos los días a la oficina"/>
    <s v="Menor que cuando iba todos los días a la oficina"/>
    <s v="Menor que cuando iba todos los días a la oficina"/>
    <s v="Igual que cuando iba todos los días a la oficina"/>
    <s v="Mucho mayor que cuando iba todos los días a la oficina"/>
    <s v="Iguales que cuando iba todos los días a la oficina"/>
    <s v="Mayor que cuando iba todos los días a la oficina"/>
    <s v="No hay diferencias culturales en mi equipo"/>
    <s v="Mayor que cuando iba todos los días a la oficina"/>
    <s v="Iguales que cuando iba todos los días a la oficina"/>
    <s v="No tengo que utilizar diferentes idiomas en mi trabajo"/>
    <s v="No trabajo con personas con distintos horarios"/>
    <s v="Igual que cuando iba todos los días a la oficina"/>
    <s v="Mayores que cuando iba todos los días a la oficina"/>
    <s v="Mucho mayor que cuando iba todos los días a la oficina"/>
    <s v="Igual que cuando iba todos los días a la oficina"/>
    <s v="Igual que cuando iba todos los días a la oficina"/>
    <s v="Iguales que cuando iba todos los días a la oficina"/>
    <s v="Igual que cuando iba todos los días a la oficina"/>
    <s v="Mayor que cuando iba todos los días a la oficina"/>
    <s v="Mayor que cuando iba todos los días a la oficina"/>
    <s v="Mucho mayor que cuando iba todos los días a la oficina"/>
    <s v="Igual que cuando iba todos los días a la oficina"/>
    <s v="Menor que cuando iba todos los días a la oficina"/>
    <s v="Mayor que cuando iba todos los días a la oficina"/>
    <s v="Mucho Mayor que cuando iba todos los días a la oficina"/>
    <s v="Igual que cuando iba todos los días a la oficina"/>
    <s v="Mayor que cuando iba todos los días a la oficina"/>
    <s v="Igual que cuando iba todos los días a la oficina"/>
    <s v="Menores que cuando iba todos los días a la oficina"/>
    <s v="Mayor que cuando iba todos los días a la oficina"/>
    <s v="Mucho Mayor que cuando iba todos los días a la oficina"/>
    <s v="Igual que cuando iba todos los días a la oficina"/>
    <s v="Menor que cuando iba todos los días a la oficina"/>
    <s v="Menor que cuando iba todos los días a la oficina"/>
    <s v="Igual que cuando iba todos los días a la oficina"/>
    <s v="Peor que cuando iba todos los días a la oficina"/>
    <s v="Igual que cuando iba todos los días a la oficina"/>
    <s v="Menor que cuando iba todos los días a la oficina"/>
    <s v="Igual que cuando iba todos los días a la oficina"/>
    <s v="Mucho Mayor que cuando iba todos los días a la oficina"/>
    <s v="Menor que cuando iba todos los días a la oficina"/>
    <s v="Iguales que cuando iba todos los días a la oficina"/>
    <s v="Mayor que cuando iba todos los días a la oficina"/>
    <s v="Mayor que cuando iba todos los días a la oficina"/>
    <m/>
    <s v="&lt;301 empleados"/>
    <n v="1"/>
  </r>
  <r>
    <s v="México"/>
    <s v="&lt;35 años"/>
    <s v="Femenino"/>
    <s v="Licenciatura"/>
    <s v="5-10 años"/>
    <s v="Ingeniero de software"/>
    <s v="Ingeniero de software"/>
    <s v="&gt;500 empleados."/>
    <s v="Empresa que subcontrata (outsourcing) los servicios de otra del mismo país"/>
    <s v="Nacional (múltiples sedes en el mismo país)"/>
    <s v="A veces"/>
    <s v="Alto"/>
    <s v="3-4 días"/>
    <s v="1-2 días"/>
    <s v="Híbrida casa (más días en casa que en la oficina)"/>
    <s v="Consensuada por las dos partes"/>
    <s v="En desacuerdo"/>
    <s v="Menor que cuando iba todos los días a la oficina"/>
    <s v="Menor que cuando iba todos los días a la oficina"/>
    <s v="Menor que cuando iba todos los días a la oficina"/>
    <s v="Diferentes que cuando iba todos los días a la oficina, ahora necesito menos horas para hacer lo mismo"/>
    <s v="Casi todas por videoconferencia"/>
    <s v="Menor que cuando eran en la oficina"/>
    <s v="Mayor que cuando iba todos los días a la oficina"/>
    <s v="Igual que cuando iba todos los días a la oficina"/>
    <s v="Igual que cuando iba todos los días a la oficina"/>
    <s v="Mucho Mayor que cuando iba todos los días a la oficina"/>
    <x v="1"/>
    <x v="1"/>
    <x v="0"/>
    <s v="Igual que cuando iba todos los días a la oficina"/>
    <x v="3"/>
    <s v="Igual que cuando iba todos los días a la oficina"/>
    <s v="Menos que cuando iba todos los días a la oficina"/>
    <s v="Menos que cuando iba todos los días a la oficina"/>
    <s v="Igual que cuando iba todos los días a la oficina"/>
    <s v="Más que cuando iba todos los días a la oficina"/>
    <s v="Igual que cuando iba todos los días a la oficina"/>
    <s v="Igual que cuando iba todos los días a la oficina"/>
    <s v="Mas que cuando iba todos los días a la oficina"/>
    <s v="Igual que cuando iba todos los días a la oficina"/>
    <s v="Iguales que cuando iba todos los días a la oficina"/>
    <s v="Igual que cuando iba todos los días a la oficina"/>
    <s v="Igual que cuando iba todos los días a la oficina"/>
    <s v="Menor que cuando iba todos los días a la oficina"/>
    <s v="Igual que cuando iba todos los días a la oficina"/>
    <s v="Igual que cuando iba todos los días a la oficina"/>
    <s v="Menor que cuando iba todos los días a la oficina"/>
    <s v="Mayor que cuando iba todos los días a la oficina"/>
    <s v="Mucho mayor que cuando iba todos los días a la oficina"/>
    <s v="Iguales que cuando iba todos los días a la oficina"/>
    <s v="Mayor que cuando iba todos los días a la oficina"/>
    <s v="Menores que cuando iba todos los días a la oficina"/>
    <s v="Igual que cuando iba todos los días a la oficina"/>
    <s v="Iguales que cuando iba todos los días a la oficina"/>
    <s v="Iguales que cuando iba todos los días a la oficina"/>
    <s v="Igual que cuando iba todos los días a la oficina"/>
    <s v="Mayor que cuando iba todos los días a la oficina"/>
    <s v="Mucho menores que cuando iba todos los días a la oficina"/>
    <s v="Mucho mayor que cuando iba todos los días a la oficina"/>
    <s v="Mucho menor que cuando iba todos los días a la oficina"/>
    <s v="Igual que cuando iba todos los días a la oficina"/>
    <s v="Iguales que cuando iba todos los días a la oficina"/>
    <s v="Mejor que cuando iba todos los días a la oficina"/>
    <s v="Mayor que cuando iba todos los días a la oficina"/>
    <s v="Mucho Mayor que cuando iba todos los días a la oficina"/>
    <s v="Mucho mayor que cuando iba todos los días a la oficina"/>
    <s v="Igual que cuando iba todos los días a la oficina"/>
    <s v="Igual que cuando iba todos los días a la oficina"/>
    <s v="Igual que cuando iba todos los días a la oficina"/>
    <s v="Mayor que cuando iba todos los días a la oficina"/>
    <s v="Igual que cuando iba todos los días a la oficina"/>
    <s v="Menor que cuando iba todos los días a la oficina"/>
    <s v="Igual que cuando iba todos los días a la oficina"/>
    <s v="Iguales que cuando iba todos los días a la oficina"/>
    <s v="Igual que cuando iba todos los días a la oficina"/>
    <s v="Mucho Mayor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Menor que cuando iba todos los días a la oficina"/>
    <s v="Igual que cuando iba todos los días a la oficina"/>
    <s v="Mayor que cuando iba todos los días a la oficina"/>
    <s v="Igual que cuando iba todos los días a la oficina"/>
    <s v="Menores que cuando iba todos los días a la oficina"/>
    <s v="Igual que cuando iba todos los días a la oficina"/>
    <s v="Mayor que cuando iba todos los días a la oficina"/>
    <s v="jannetita@gmail.com"/>
    <s v="301+ empleados"/>
    <n v="0"/>
  </r>
  <r>
    <s v="México"/>
    <s v="&lt;35 años"/>
    <s v="Masculino"/>
    <s v="Maestria"/>
    <s v="5-10 años"/>
    <s v="Project Manager Jr"/>
    <s v="Manager de IA"/>
    <s v="&gt;500 empleados."/>
    <s v="Empresa que desarrolla software a medida partiendo desde cero"/>
    <s v="Multinacional"/>
    <s v="Casi Nunca"/>
    <s v="Alto"/>
    <s v="3-4 días"/>
    <s v="1-2 días"/>
    <s v="Híbrida casa (más días en casa que en la oficina)"/>
    <s v="Consensuada por las dos partes"/>
    <s v="Totalmente en desacuerdo"/>
    <s v="Menor que cuando iba todos los días a la oficina"/>
    <s v="Menor que cuando iba todos los días a la oficina"/>
    <s v="Menor que cuando iba todos los días a la oficina"/>
    <s v="Diferentes que cuando iba todos los días a la oficina, ahora necesito menos horas para hacer lo mismo"/>
    <s v="Casi todas por videoconferencia"/>
    <s v="Mayor que cuando eran en la oficina"/>
    <s v="Mayor que cuando iba todos los días a la oficina"/>
    <s v="Mayor que cuando iba todos los días a la oficina"/>
    <s v="Menor que cuando iba todos los días a la oficina"/>
    <s v="Mayor que cuando iba todos los días a la oficina"/>
    <x v="4"/>
    <x v="3"/>
    <x v="1"/>
    <s v="Menor que cuando iba todos los días a la oficina"/>
    <x v="1"/>
    <s v="Más que cuando iba todos los días a la oficina"/>
    <s v="Igual que cuando iba todos los días a la oficina"/>
    <s v="Igual que cuando iba todos los días a la oficina"/>
    <s v="Igual que cuando iba todos los días a la oficina"/>
    <s v="Mucho más que cuando iba todos los días a la oficina"/>
    <s v="Mas que cuando iba todos los días a la oficina"/>
    <s v="Mucho más que cuando iba todos los días a la oficina"/>
    <s v="Igual que cuando iba todos los días a la oficina"/>
    <s v="Igual que cuando iba todos los días a la oficina"/>
    <s v="Mayores que cuando iba todos los días a la oficina"/>
    <s v="Mayor que cuando iba todos los días a la oficina"/>
    <s v="Mayor que cuando iba todos los días a la oficina"/>
    <s v="Mucho Mayor que cuando iba todos los días a la oficina"/>
    <s v="Igual que cuando iba todos los días a la oficina"/>
    <s v="Mucho Mayor que cuando iba todos los días a la oficina"/>
    <s v="Mayor que cuando iba todos los días a la oficina"/>
    <s v="Mucho mayor que cuando iba todos los días a la oficina"/>
    <s v="Mucho mayor que cuando iba todos los días a la oficina"/>
    <s v="Menores que cuando iba todos los días a la oficina"/>
    <s v="Mayor que cuando iba todos los días a la oficina"/>
    <s v="Iguales que cuando iba todos los días a la oficina"/>
    <s v="Igual que cuando iba todos los días a la oficina"/>
    <s v="Mayores que cuando iba todos los días a la oficina"/>
    <s v="Iguales que cuando iba todos los días a la oficina"/>
    <s v="Igual que cuando iba todos los días a la oficina"/>
    <s v="Menor que cuando iba todos los días a la oficina"/>
    <s v="Menores que cuando iba todos los días a la oficina"/>
    <s v="Mayor que cuando iba todos los días a la oficina"/>
    <s v="Mayor que cuando iba todos los días a la oficina"/>
    <s v="Más que cuando iba todos los días a la oficina"/>
    <s v="Mayores que cuando iba todos los días a la oficina"/>
    <s v="Igual que cuando iba todos los días a la oficina"/>
    <s v="Igual que cuando iba todos los días a la oficina"/>
    <s v="Mayor que cuando iba todos los días a la oficina"/>
    <s v="Mucho mayor que cuando iba todos los días a la oficina"/>
    <s v="Igual que cuando iba todos los días a la oficina"/>
    <s v="Menor que cuando iba todos los días a la oficina"/>
    <s v="Igual que cuando iba todos los días a la oficina"/>
    <s v="Menor que cuando iba todos los días a la oficina"/>
    <s v="Menor que cuando iba todos los días a la oficina"/>
    <s v="Mayor que cuando iba todos los días a la oficina"/>
    <s v="Igual que cuando iba todos los días a la oficina"/>
    <s v="Menores que cuando iba todos los días a la oficina"/>
    <s v="Mayor que cuando iba todos los días a la oficina"/>
    <s v="Mucho menor que cuando iba todos los días a la oficina"/>
    <s v="Menor que cuando iba todos los días a la oficina"/>
    <s v="Igual que cuando iba todos los días a la oficina"/>
    <s v="Igual que cuando iba todos los días a la oficina"/>
    <s v="Igual que cuando iba todos los días a la oficina"/>
    <s v="Peor que cuando iba todos los días a la oficina"/>
    <s v="Menor que cuando iba todos los días a la oficina"/>
    <s v="Menor que cuando iba todos los días a la oficina"/>
    <s v="Menor que cuando iba todos los días a la oficina"/>
    <s v="Mayor que cuando iba todos los días a la oficina"/>
    <s v="Igual que cuando iba todos los días a la oficina"/>
    <s v="Mayores que cuando iba todos los días a la oficina"/>
    <s v="Menor que cuando iba todos los días a la oficina"/>
    <s v="Igual que cuando iba todos los días a la oficina"/>
    <s v="gallo9nitsuga@gmail.com"/>
    <s v="301+ empleados"/>
    <n v="1"/>
  </r>
  <r>
    <s v="México"/>
    <s v="&lt;35 años"/>
    <s v="Femenino"/>
    <s v="Licenciatura"/>
    <s v="11-20 años"/>
    <s v="Senior QA Engineer"/>
    <s v="Lead SDET"/>
    <s v="&gt;500 empleados."/>
    <s v="Empresa que subcontrata (outsourcing) los servicios de otra empresa situada en otro país"/>
    <s v="Multinacional"/>
    <s v="Muy Frecuentemente"/>
    <s v="Alto"/>
    <s v="3-4 días"/>
    <s v="1-2 días"/>
    <s v="Híbrida casa (más días en casa que en la oficina)"/>
    <s v="Impuesta por la empresa"/>
    <s v="De acuerdo"/>
    <s v="Mayor que cuando iba todos los días a la oficina"/>
    <s v="Mucho Mayor que cuando iba todos los días a la oficina"/>
    <s v="Mucho Mayor que cuando iba todos los días a la oficina"/>
    <s v="Muy diferentes que cuando iba todos los días a la oficina, ahora necesito muchas menos horas para hacer lo mismo"/>
    <s v="Casi todas por videoconferencia"/>
    <s v="Igual que cuando eran en la oficina"/>
    <s v="Mayor que cuando iba todos los días a la oficina"/>
    <s v="Mayor que cuando iba todos los días a la oficina"/>
    <s v="Igual que cuando iba todos los días a la oficina"/>
    <s v="Mucho Mayor que cuando iba todos los días a la oficina"/>
    <x v="1"/>
    <x v="1"/>
    <x v="0"/>
    <s v="Igual que cuando iba todos los días a la oficina"/>
    <x v="1"/>
    <s v="Más que cuando iba todos los días a la oficina"/>
    <s v="Mucho más que cuando iba todos los días a la oficina"/>
    <s v="Más que cuando iba todos los días a la oficina"/>
    <s v="Igual que cuando iba todos los días a la oficina"/>
    <s v="Más que cuando iba todos los días a la oficina"/>
    <s v="Mas que cuando iba todos los días a la oficina"/>
    <s v="Mas que cuando iba todos los días a la oficina"/>
    <s v="Mas que cuando iba todos los días a la oficina"/>
    <s v="Igual que cuando iba todos los días a la oficina"/>
    <s v="Mayores que cuando iba todos los días a la oficina"/>
    <s v="Mayor que cuando iba todos los días a la oficina"/>
    <s v="Menor que cuando iba todos los días a la oficina"/>
    <s v="Mayor que cuando iba todos los días a la oficina"/>
    <s v="Mayor que cuando iba todos los días a la oficina"/>
    <s v="Mayor que cuando iba todos los días a la oficina"/>
    <s v="Mayor que cuando iba todos los días a la oficina"/>
    <s v="Mucho mayor que cuando iba todos los días a la oficina"/>
    <s v="Mucho mayor que cuando iba todos los días a la oficina"/>
    <s v="Iguales que cuando iba todos los días a la oficina"/>
    <s v="Mayor que cuando iba todos los días a la oficina"/>
    <s v="Mucho mayores que cuando iba todos los días a la oficina"/>
    <s v="Igual que cuando iba todos los días a la oficina"/>
    <s v="Mayores que cuando iba todos los días a la oficina"/>
    <s v="Iguales que cuando iba todos los días a la oficina"/>
    <s v="Más que cuando iba todos los días a la oficina"/>
    <s v="Mucho mayor que cuando iba todos los días a la oficina"/>
    <s v="Mayores que cuando iba todos los días a la oficina"/>
    <s v="Mayor que cuando iba todos los días a la oficina"/>
    <s v="Mayor que cuando iba todos los días a la oficina"/>
    <s v="Más que cuando iba todos los días a la oficina"/>
    <s v="Iguales que cuando iba todos los días a la oficina"/>
    <s v="Igual que cuando iba todos los días a la oficina"/>
    <s v="Mayor que cuando iba todos los días a la oficina"/>
    <s v="Mayor que cuando iba todos los días a la oficina"/>
    <s v="Mucho mayor que cuando iba todos los días a la oficina"/>
    <s v="Mucho Mayor que cuando iba todos los días a la oficina"/>
    <s v="Mucho Mayor que cuando iba todos los días a la oficina"/>
    <s v="Mucho Mayor que cuando iba todos los días a la oficina"/>
    <s v="Mucho Mayor que cuando iba todos los días a la oficina"/>
    <s v="Mucho Mayor que cuando iba todos los días a la oficina"/>
    <s v="Mayor que cuando iba todos los días a la oficina"/>
    <s v="Mas que cuando iba todos los días a la oficina"/>
    <s v="Menores que cuando iba todos los días a la oficina"/>
    <s v="Igual que cuando iba todos los días a la oficina"/>
    <s v="Mucho Mayor que cuando iba todos los días a la oficina"/>
    <s v="Mayor que cuando iba todos los días a la oficina"/>
    <s v="Menor que cuando iba todos los días a la oficina"/>
    <s v="Mucho Mayor que cuando iba todos los días a la oficina"/>
    <s v="Mucho Mayor que cuando iba todos los días a la oficina"/>
    <s v="Peor que cuando iba todos los días a la oficina"/>
    <s v="Mucho Mayor que cuando iba todos los días a la oficina"/>
    <s v="Mucho menor que cuando iba todos los días a la oficina"/>
    <s v="Menor que cuando iba todos los días a la oficina"/>
    <s v="Igual que cuando iba todos los días a la oficina"/>
    <s v="Mayor que cuando iba todos los días a la oficina"/>
    <s v="Mayores que cuando iba todos los días a la oficina"/>
    <s v="Mayor que cuando iba todos los días a la oficina"/>
    <s v="Mayor que cuando iba todos los días a la oficina"/>
    <m/>
    <s v="301+ empleados"/>
    <n v="1"/>
  </r>
  <r>
    <s v="México"/>
    <s v="&lt;35 años"/>
    <s v="Femenino"/>
    <s v="Licenciatura"/>
    <s v="11-20 años"/>
    <s v="Soporte administrativo"/>
    <s v="administrativo"/>
    <s v="&gt;500 empleados."/>
    <s v="Empresa que desarrolla software a medida partiendo desde cero"/>
    <s v="Multinacional"/>
    <s v="Frecuentemente"/>
    <s v="Alto"/>
    <s v="3-4 días"/>
    <s v="1-2 días"/>
    <s v="Híbrida casa (más días en casa que en la oficina)"/>
    <s v="Impuesta por la empresa"/>
    <s v="En desacuerdo"/>
    <s v="Igual que cuando iba todos los días a la oficina"/>
    <s v="Igual que cuando iba todos los días a la oficina"/>
    <s v="Igual que cuando iba todos los días a la oficina"/>
    <s v="Iguales que cuando iba todos los días a la oficina"/>
    <s v="La Mitad por videoconferencia y la mitad presencial"/>
    <s v="Mayor que cuando eran en la oficina"/>
    <s v="Mayor que cuando iba todos los días a la oficina"/>
    <s v="Mayor que cuando iba todos los días a la oficina"/>
    <s v="Mayor que cuando iba todos los días a la oficina"/>
    <s v="Igual que cuando iba todos los días a la oficina"/>
    <x v="2"/>
    <x v="0"/>
    <x v="2"/>
    <s v="Igual que cuando iba todos los días a la oficina"/>
    <x v="1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Mas que cuando iba todos los días a la oficina"/>
    <s v="Mayores que cuando iba todos los días a la oficina"/>
    <s v="Mayor que cuando iba todos los días a la oficina"/>
    <s v="Igual que cuando iba todos los días a la oficina"/>
    <s v="Mayor que cuando iba todos los días a la oficina"/>
    <s v="Mayor que cuando iba todos los días a la oficina"/>
    <s v="Igual que cuando iba todos los días a la oficina"/>
    <s v="Mayor que cuando iba todos los días a la oficina"/>
    <s v="Mayor que cuando iba todos los días a la oficina"/>
    <s v="Mayor que cuando iba todos los días a la oficina"/>
    <s v="Mayores que cuando iba todos los días a la oficina"/>
    <s v="Igual que cuando iba todos los días a la oficina"/>
    <s v="Iguales que cuando iba todos los días a la oficina"/>
    <s v="Igual que cuando iba todos los días a la oficina"/>
    <s v="Iguales que cuando iba todos los días a la oficina"/>
    <s v="Iguales que cuando iba todos los días a la oficina"/>
    <s v="Igual que cuando iba todos los días a la oficina"/>
    <s v="Igual que cuando iba todos los días a la oficina"/>
    <s v="Iguales que cuando iba todos los días a la oficina"/>
    <s v="Igual que cuando iba todos los días a la oficina"/>
    <s v="Igual que cuando iba todos los días a la oficina"/>
    <s v="Más que cuando iba todos los días a la oficina"/>
    <s v="Mayores que cuando iba todos los días a la oficina"/>
    <s v="Mejor que cuando iba todos los días a la oficina"/>
    <s v="Mayor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Mayor que cuando iba todos los días a la oficina"/>
    <s v="Menos que cuando iba todos los días a la oficina"/>
    <s v="Menores que cuando iba todos los días a la oficina"/>
    <s v="Mayor que cuando iba todos los días a la oficina"/>
    <s v="Mayor que cuando iba todos los días a la oficina"/>
    <s v="Igual que cuando iba todos los días a la oficina"/>
    <s v="Menor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es que cuando iba todos los días a la oficina"/>
    <s v="Igual que cuando iba todos los días a la oficina"/>
    <s v="Igual que cuando iba todos los días a la oficina"/>
    <m/>
    <s v="301+ empleados"/>
    <n v="0"/>
  </r>
  <r>
    <s v="México"/>
    <s v="&lt;35 años"/>
    <s v="Masculino"/>
    <s v="Licenciatura"/>
    <s v="&lt;5 años"/>
    <s v="Soporte primer nivel"/>
    <s v="Data Engineer"/>
    <s v="301-500 empleados"/>
    <s v="Empresa que subcontrata (outsourcing) los servicios de otra empresa situada en otro país"/>
    <s v="Multinacional"/>
    <s v="Nunca"/>
    <s v="Alto"/>
    <s v="3-4 días"/>
    <s v="1-2 días"/>
    <s v="Remota ( todos los días en casa)"/>
    <s v="Impuesta por la empresa"/>
    <s v="Totalmente en desacuerdo"/>
    <s v="Mayor que cuando iba todos los días a la oficina"/>
    <s v="Mayor que cuando iba todos los días a la oficina"/>
    <s v="Mayor que cuando iba todos los días a la oficina"/>
    <s v="Diferentes que cuando iba todos los días a la oficina, ahora necesito más horas para hacer lo mismo"/>
    <s v="La Mitad por videoconferencia y la mitad presencial"/>
    <s v="Menor que cuando eran en la oficina"/>
    <s v="Mayor que cuando iba todos los días a la oficina"/>
    <s v="Mucho Mayor que cuando iba todos los días a la oficina"/>
    <s v="Mucho Mayor que cuando iba todos los días a la oficina"/>
    <s v="Mucho Mayor que cuando iba todos los días a la oficina"/>
    <x v="1"/>
    <x v="1"/>
    <x v="2"/>
    <s v="Mucho mayor que cuando iba todos los días a la oficina"/>
    <x v="1"/>
    <s v="Mucho menos que cuando iba todos los días a la oficina"/>
    <s v="No trabajo con personas de distintas culturas"/>
    <s v="No trabajo con personas con un horario distinto al mío"/>
    <s v="No trabajo  con personas que se encuentran geográficamente distribuidas"/>
    <s v="Igual que cuando iba todos los días a la oficina"/>
    <s v="Mucho menos que cuando iba todos los días a la oficina"/>
    <s v="Mucho menos que cuando iba todos los días a la oficina"/>
    <s v="Mucho menos que cuando iba todos los días a la oficina"/>
    <s v="Mucho menos que cuando iba todos los días a la oficina"/>
    <s v="Mucho menores que cuando iba todos los días a la oficina"/>
    <s v="Mucho menor que cuando iba todos los días a la oficina"/>
    <s v="Mayor que cuando iba todos los días a la oficina"/>
    <s v="Menor que cuando iba todos los días a la oficina"/>
    <s v="Menor que cuando iba todos los días a la oficina"/>
    <s v="Menor que cuando iba todos los días a la oficina"/>
    <s v="Menor que cuando iba todos los días a la oficina"/>
    <s v="Menor que cuando iba todos los días a la oficina"/>
    <s v="Menor que cuando iba todos los días a la oficina"/>
    <s v="Menores que cuando iba todos los días a la oficina"/>
    <s v="Mayor que cuando iba todos los días a la oficina"/>
    <s v="No hay diferencias culturales en mi equipo"/>
    <s v="Mayor que cuando iba todos los días a la oficina"/>
    <s v="Mucho menores que cuando iba todos los días a la oficina"/>
    <s v="No tengo que utilizar diferentes idiomas en mi trabajo"/>
    <s v="No trabajo con personas con distintos horarios"/>
    <s v="Mucho mayor que cuando iba todos los días a la oficina"/>
    <s v="Mucho menores que cuando iba todos los días a la oficina"/>
    <s v="Mucho mayor que cuando iba todos los días a la oficina"/>
    <s v="Igual que cuando iba todos los días a la oficina"/>
    <s v="Menos que cuando iba todos los días a la oficina"/>
    <s v="Menores que cuando iba todos los días a la oficina"/>
    <s v="Igual que cuando iba todos los días a la oficina"/>
    <s v="Mucho Mayor que cuando iba todos los días a la oficina"/>
    <s v="Mucho Mayor que cuando iba todos los días a la oficina"/>
    <s v="Mucho mayor que cuando iba todos los días a la oficina"/>
    <s v="Mayor que cuando iba todos los días a la oficina"/>
    <s v="Mayor que cuando iba todos los días a la oficina"/>
    <s v="Igual que cuando iba todos los días a la oficina"/>
    <s v="Igual que cuando iba todos los días a la oficina"/>
    <s v="Mayor que cuando iba todos los días a la oficina"/>
    <s v="Igual que cuando iba todos los días a la oficina"/>
    <s v="Igual que cuando iba todos los días a la oficina"/>
    <s v="Iguales que cuando iba todos los días a la oficina"/>
    <s v="Mayor que cuando iba todos los días a la oficina"/>
    <s v="Mucho Mayor que cuando iba todos los días a la oficina"/>
    <s v="Igual que cuando iba todos los días a la oficina"/>
    <s v="Menor que cuando iba todos los días a la oficina"/>
    <s v="Igual que cuando iba todos los días a la oficina"/>
    <s v="Igual que cuando iba todos los días a la oficina"/>
    <s v="Mejor que cuando iba todos los días a la oficina"/>
    <s v="Igual que cuando iba todos los días a la oficina"/>
    <s v="Igual que cuando iba todos los días a la oficina"/>
    <s v="Igual que cuando iba todos los días a la oficina"/>
    <s v="Mucho Mayor que cuando iba todos los días a la oficina"/>
    <s v="Menor que cuando iba todos los días a la oficina"/>
    <s v="Iguales que cuando iba todos los días a la oficina"/>
    <s v="Igual que cuando iba todos los días a la oficina"/>
    <s v="Mucho mayor que cuando iba todos los días a la oficina"/>
    <s v="rmartinezpe@minsait.com"/>
    <s v="301+ empleados"/>
    <n v="0"/>
  </r>
  <r>
    <s v="México"/>
    <s v="&lt;35 años"/>
    <s v="Masculino"/>
    <s v="Licenciatura"/>
    <s v="11-20 años"/>
    <s v="Technical Lead"/>
    <s v="Engineering Manager"/>
    <s v="&gt;500 empleados."/>
    <s v="Empresa que subcontrata (outsourcing) los servicios de otra empresa situada en otro país"/>
    <s v="Multinacional"/>
    <s v="Muy Frecuentemente"/>
    <s v="Alto"/>
    <s v="3-4 días"/>
    <s v="1-2 días"/>
    <s v="Remota ( todos los días en casa)"/>
    <s v="Impuesta por la empresa"/>
    <s v="En desacuerdo"/>
    <s v="Igual que cuando iba todos los días a la oficina"/>
    <s v="Mayor que cuando iba todos los días a la oficina"/>
    <s v="Igual que cuando iba todos los días a la oficina"/>
    <s v="Diferentes que cuando iba todos los días a la oficina, ahora necesito menos horas para hacer lo mismo"/>
    <s v="Todas por videoconferencia"/>
    <s v="Igual que cuando eran en la oficina"/>
    <s v="Mayor que cuando iba todos los días a la oficina"/>
    <s v="Mayor que cuando iba todos los días a la oficina"/>
    <s v="Mayor que cuando iba todos los días a la oficina"/>
    <s v="Igual que cuando iba todos los días a la oficina"/>
    <x v="0"/>
    <x v="1"/>
    <x v="1"/>
    <s v="Igual que cuando iba todos los días a la oficina"/>
    <x v="2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es que cuando iba todos los días a la oficina"/>
    <s v="Igual que cuando iba todos los días a la oficina"/>
    <s v="Igual que cuando iba todos los días a la oficina"/>
    <s v="Menor que cuando iba todos los días a la oficina"/>
    <s v="Igual que cuando iba todos los días a la oficina"/>
    <s v="Igual que cuando iba todos los días a la oficina"/>
    <s v="Menor que cuando iba todos los días a la oficina"/>
    <s v="Igual que cuando iba todos los días a la oficina"/>
    <s v="Mayor que cuando iba todos los días a la oficina"/>
    <s v="Menores que cuando iba todos los días a la oficina"/>
    <s v="Igual que cuando iba todos los días a la oficina"/>
    <s v="Iguales que cuando iba todos los días a la oficina"/>
    <s v="Igual que cuando iba todos los días a la oficina"/>
    <s v="Iguales que cuando iba todos los días a la oficina"/>
    <s v="Iguales que cuando iba todos los días a la oficina"/>
    <s v="Igual que cuando iba todos los días a la oficina"/>
    <s v="Igual que cuando iba todos los días a la oficina"/>
    <s v="Iguales que cuando iba todos los días a la oficina"/>
    <s v="Igual que cuando iba todos los días a la oficina"/>
    <s v="Igual que cuando iba todos los días a la oficina"/>
    <s v="Igual que cuando iba todos los días a la oficina"/>
    <s v="Iguales que cuando iba todos los días a la oficina"/>
    <s v="Igual que cuando iba todos los días a la oficina"/>
    <s v="Igual que cuando iba todos los días a la oficina"/>
    <s v="Igual que cuando iba todos los días a la oficina"/>
    <s v="Mucho mayor que cuando iba todos los días a la oficina"/>
    <s v="Igual que cuando iba todos los días a la oficina"/>
    <s v="Igual que cuando iba todos los días a la oficina"/>
    <s v="Mayor que cuando iba todos los días a la oficina"/>
    <s v="Mayor que cuando iba todos los días a la oficina"/>
    <s v="Menor que cuando iba todos los días a la oficina"/>
    <s v="Igual que cuando iba todos los días a la oficina"/>
    <s v="Igual que cuando iba todos los días a la oficina"/>
    <s v="Iguales que cuando iba todos los días a la oficina"/>
    <s v="Igual que cuando iba todos los días a la oficina"/>
    <s v="Mucho Mayor que cuando iba todos los días a la oficina"/>
    <s v="Igual que cuando iba todos los días a la oficina"/>
    <s v="Menor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Menor que cuando iba todos los días a la oficina"/>
    <s v="Igual que cuando iba todos los días a la oficina"/>
    <s v="Igual que cuando iba todos los días a la oficina"/>
    <s v="Mucho menor que cuando iba todos los días a la oficina"/>
    <s v="Iguales que cuando iba todos los días a la oficina"/>
    <s v="Igual que cuando iba todos los días a la oficina"/>
    <s v="Igual que cuando iba todos los días a la oficina"/>
    <m/>
    <s v="301+ empleados"/>
    <n v="1"/>
  </r>
  <r>
    <s v="Argentina"/>
    <s v="36+ años"/>
    <s v="Masculino"/>
    <s v="Grado"/>
    <s v="5-10 años"/>
    <s v="Ingeniero de Software"/>
    <s v="Ingeniero de Software"/>
    <s v="&lt;50 empleados"/>
    <s v="Fábrica de Software"/>
    <s v="Local"/>
    <s v="Casi Nunca"/>
    <s v="Alto"/>
    <s v="4-5 días"/>
    <s v="1-2 días"/>
    <s v="Híbrida casa (más días en casa que en la oficina)"/>
    <s v="Consensuada por las dos partes"/>
    <s v="En desacuerdo"/>
    <s v="Mayor que cuando iba todos los días a la oficina"/>
    <s v="Igual que cuando iba todos los días a la oficina"/>
    <s v="Menor que cuando iba todos los días a la oficina"/>
    <s v="Diferentes que cuando iba todos los días a la oficina, ahora necesito menos horas para hacer lo mismo"/>
    <s v="Casi todas por videoconferencia"/>
    <s v="Menor que cuando eran en la oficina"/>
    <s v="Mayor que cuando iba todos los días a la oficina"/>
    <s v="Mayor que cuando iba todos los días a la oficina"/>
    <s v="Mayor que cuando iba todos los días a la oficina"/>
    <s v="Igual que cuando iba todos los días a la oficina"/>
    <x v="2"/>
    <x v="1"/>
    <x v="0"/>
    <s v="Mayor que cuando iba todos los días a la oficina"/>
    <x v="2"/>
    <s v="Menos que cuando iba todos los días a la oficina"/>
    <s v="No trabajo con personas de distintas culturas"/>
    <s v="No trabajo con personas con un horario distinto al mío"/>
    <s v="No trabajo  con personas que se encuentran geográficamente distribuidas"/>
    <s v="Igual que cuando iba todos los días a la oficina"/>
    <s v="Menos que cuando iba todos los días a la oficina"/>
    <s v="Mas que cuando iba todos los días a la oficina"/>
    <s v="Igual que cuando iba todos los días a la oficina"/>
    <s v="Igual que cuando iba todos los días a la oficina"/>
    <s v="Iguales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Menor que cuando iba todos los días a la oficina"/>
    <s v="Menor que cuando iba todos los días a la oficina"/>
    <s v="Menor que cuando iba todos los días a la oficina"/>
    <s v="Mayor que cuando iba todos los días a la oficina"/>
    <s v="Iguales que cuando iba todos los días a la oficina"/>
    <s v="Mayor que cuando iba todos los días a la oficina"/>
    <s v="No hay diferencias culturales en mi equipo"/>
    <s v="Mayor que cuando iba todos los días a la oficina"/>
    <s v="Menores que cuando iba todos los días a la oficina"/>
    <s v="No tengo que utilizar diferentes idiomas en mi trabajo"/>
    <s v="No trabajo con personas con distintos horarios"/>
    <s v="Igual que cuando iba todos los días a la oficina"/>
    <s v="Menores que cuando iba todos los días a la oficina"/>
    <s v="Mayor que cuando iba todos los días a la oficina"/>
    <s v="No tengo la información para contestar a la pregunta"/>
    <s v="Menos que cuando iba todos los días a la oficina"/>
    <s v="Menores que cuando iba todos los días a la oficina"/>
    <s v="Mejor que cuando iba todos los días a la oficina"/>
    <s v="Igual que cuando iba todos los días a la oficina"/>
    <s v="Igual que cuando iba todos los días a la oficina"/>
    <s v="Mayor que cuando iba todos los días a la oficina"/>
    <s v="Igual que cuando iba todos los días a la oficina"/>
    <s v="Igual que cuando iba todos los días a la oficina"/>
    <s v="Mayor que cuando iba todos los días a la oficina"/>
    <s v="Mayor que cuando iba todos los días a la oficina"/>
    <s v="Igual que cuando iba todos los días a la oficina"/>
    <s v="Igual que cuando iba todos los días a la oficina"/>
    <s v="Igual que cuando iba todos los días a la oficina"/>
    <s v="Menores que cuando iba todos los días a la oficina"/>
    <s v="Mayor que cuando iba todos los días a la oficina"/>
    <s v="Menor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Menor que cuando iba todos los días a la oficina"/>
    <s v="Igual que cuando iba todos los días a la oficina"/>
    <s v="Mayor que cuando iba todos los días a la oficina"/>
    <s v="Menor que cuando iba todos los días a la oficina"/>
    <s v="Menores que cuando iba todos los días a la oficina"/>
    <s v="Igual que cuando iba todos los días a la oficina"/>
    <s v="Menor que cuando iba todos los días a la oficina"/>
    <m/>
    <s v="&lt;301 empleados"/>
    <n v="0"/>
  </r>
  <r>
    <s v="Argentina"/>
    <s v="36+ años"/>
    <s v="Masculino"/>
    <s v="de grado"/>
    <s v="5-10 años"/>
    <s v="Ingeniero Devops / SRE"/>
    <s v="devops"/>
    <s v="151-300 empleados"/>
    <s v="Empresa que subcontrata (outsourcing) los servicios de otra empresa situada en otro país"/>
    <s v="Multinacional"/>
    <s v="Muy Frecuentemente"/>
    <s v="Alto"/>
    <s v="4-5 días"/>
    <s v="Ninguno"/>
    <s v="Remota ( todos los días en casa)"/>
    <s v="Consensuada por las dos partes"/>
    <s v="Totalmente de acuerdo"/>
    <s v="Igual que cuando iba todos los días a la oficina"/>
    <s v="Menor que cuando iba todos los días a la oficina"/>
    <s v="Menor que cuando iba todos los días a la oficina"/>
    <s v="Diferentes que cuando iba todos los días a la oficina, ahora necesito menos horas para hacer lo mismo"/>
    <s v="Todas por videoconferencia"/>
    <s v="Mucho menor que cuando eran en la oficina"/>
    <s v="Mucho Mayor que cuando iba todos los días a la oficina"/>
    <s v="No tengo la información para contestar a la pregunta"/>
    <s v="No tengo la información para contestar a la pregunta"/>
    <s v="Mucho Mayor que cuando iba todos los días a la oficina"/>
    <x v="1"/>
    <x v="0"/>
    <x v="0"/>
    <s v="Igual que cuando iba todos los días a la oficina"/>
    <x v="0"/>
    <s v="Igual que cuando iba todos los días a la oficina"/>
    <s v="Mucho menos que cuando iba todos los días a la oficina"/>
    <s v="Más que cuando iba todos los días a la oficina"/>
    <s v="Mucho menos que cuando iba todos los días a la oficina"/>
    <s v="Igual que cuando iba todos los días a la oficina"/>
    <s v="Mas que cuando iba todos los días a la oficina"/>
    <s v="Igual que cuando iba todos los días a la oficina"/>
    <s v="Igual que cuando iba todos los días a la oficina"/>
    <s v="Igual que cuando iba todos los días a la oficina"/>
    <s v="Iguales que cuando iba todos los días a la oficina"/>
    <s v="Igual que cuando iba todos los días a la oficina"/>
    <s v="Mayor que cuando iba todos los días a la oficina"/>
    <s v="Mucho menor que cuando iba todos los días a la oficina"/>
    <s v="Mucho Mayor que cuando iba todos los días a la oficina"/>
    <s v="Mucho menor que cuando iba todos los días a la oficina"/>
    <s v="Mucho menor que cuando iba todos los días a la oficina"/>
    <s v="Igual que cuando iba todos los días a la oficina"/>
    <s v="Mucho mayor que cuando iba todos los días a la oficina"/>
    <s v="Iguales que cuando iba todos los días a la oficina"/>
    <s v="Mucho mayor que cuando iba todos los días a la oficina"/>
    <s v="Mucho menores que cuando iba todos los días a la oficina"/>
    <s v="Mayor que cuando iba todos los días a la oficina"/>
    <s v="Iguales que cuando iba todos los días a la oficina"/>
    <s v="Mayores que cuando iba todos los días a la oficina"/>
    <s v="Más que cuando iba todos los días a la oficina"/>
    <s v="Igual que cuando iba todos los días a la oficina"/>
    <s v="Mucho menores que cuando iba todos los días a la oficina"/>
    <s v="Mucho mayor que cuando iba todos los días a la oficina"/>
    <s v="Igual que cuando iba todos los días a la oficina"/>
    <s v="Igual que cuando iba todos los días a la oficina"/>
    <s v="Iguales que cuando iba todos los días a la oficina"/>
    <s v="Mejor que cuando iba todos los días a la oficina"/>
    <s v="Mayor que cuando iba todos los días a la oficina"/>
    <s v="Mucho Mayor que cuando iba todos los días a la oficina"/>
    <s v="Mucho mayor que cuando iba todos los días a la oficina"/>
    <s v="Igual que cuando iba todos los días a la oficina"/>
    <s v="Igual que cuando iba todos los días a la oficina"/>
    <s v="Mucho Mayor que cuando iba todos los días a la oficina"/>
    <s v="Mucho Mayor que cuando iba todos los días a la oficina"/>
    <s v="Mucho Mayor que cuando iba todos los días a la oficina"/>
    <s v="Mucho menor que cuando iba todos los días a la oficina"/>
    <s v="Igual que cuando iba todos los días a la oficina"/>
    <s v="Mayores que cuando iba todos los días a la oficina"/>
    <s v="Igual que cuando iba todos los días a la oficina"/>
    <s v="Mucho Mayor que cuando iba todos los días a la oficina"/>
    <s v="Mayor que cuando iba todos los días a la oficina"/>
    <s v="Mucho menor que cuando iba todos los días a la oficina"/>
    <s v="Mucho Mayor que cuando iba todos los días a la oficina"/>
    <s v="Mucho menor que cuando iba todos los días a la oficina"/>
    <s v="Mejor que cuando iba todos los días a la oficina"/>
    <s v="Igual que cuando iba todos los días a la oficina"/>
    <s v="Menor que cuando iba todos los días a la oficina"/>
    <s v="Mucho Mayor que cuando iba todos los días a la oficina"/>
    <s v="Mucho Mayor que cuando iba todos los días a la oficina"/>
    <s v="Mucho menor que cuando iba todos los días a la oficina"/>
    <s v="Iguales que cuando iba todos los días a la oficina"/>
    <s v="Mucho menor que cuando iba todos los días a la oficina"/>
    <s v="Mucho mayor que cuando iba todos los días a la oficina"/>
    <m/>
    <s v="&lt;301 empleados"/>
    <n v="0"/>
  </r>
  <r>
    <s v="Argentina"/>
    <s v="36+ años"/>
    <s v="Femenino"/>
    <s v="Universitario"/>
    <s v="&lt;5 años"/>
    <s v="PM"/>
    <s v="BA"/>
    <s v="151-300 empleados"/>
    <s v="Empresa que subcontrata (outsourcing) los servicios de otra del mismo país"/>
    <s v="Nacional (múltiples sedes en el mismo país)"/>
    <s v="Frecuentemente"/>
    <s v="Alto"/>
    <s v="4-5 días"/>
    <s v="Ninguno"/>
    <s v="Híbrida casa (más días en casa que en la oficina)"/>
    <s v="Consensuada por las dos partes"/>
    <s v="No sé"/>
    <s v="Igual que cuando iba todos los días a la oficina"/>
    <s v="Igual que cuando iba todos los días a la oficina"/>
    <s v="Igual que cuando iba todos los días a la oficina"/>
    <s v="Muy diferentes que cuando iba todos los días a la oficina, ahora necesito muchas menos horas para hacer lo mismo"/>
    <s v="Todas por videoconferencia"/>
    <s v="Mayor que cuando eran en la oficina"/>
    <s v="Mayor que cuando iba todos los días a la oficina"/>
    <s v="Mayor que cuando iba todos los días a la oficina"/>
    <s v="No tengo la información para contestar a la pregunta"/>
    <s v="Mayor que cuando iba todos los días a la oficina"/>
    <x v="2"/>
    <x v="1"/>
    <x v="1"/>
    <s v="Igual que cuando iba todos los días a la oficina"/>
    <x v="3"/>
    <s v="No tengo la información para contestar a la pregunta"/>
    <s v="Igual que cuando iba todos los días a la oficina"/>
    <s v="Igual que cuando iba todos los días a la oficina"/>
    <s v="Mucho menos que cuando iba todos los días a la oficina"/>
    <s v="Igual que cuando iba todos los días a la oficina"/>
    <s v="Igual que cuando iba todos los días a la oficina"/>
    <s v="Igual que cuando iba todos los días a la oficina"/>
    <s v="Mas que cuando iba todos los días a la oficina"/>
    <s v="Menos que cuando iba todos los días a la oficina"/>
    <s v="Iguales que cuando iba todos los días a la oficina"/>
    <s v="Igual que cuando iba todos los días a la oficina"/>
    <s v="Igual que cuando iba todos los días a la oficina"/>
    <s v="Menor que cuando iba todos los días a la oficina"/>
    <s v="Menor que cuando iba todos los días a la oficina"/>
    <s v="Igual que cuando iba todos los días a la oficina"/>
    <s v="Igual que cuando iba todos los días a la oficina"/>
    <s v="Igual que cuando iba todos los días a la oficina"/>
    <s v="Mayor que cuando iba todos los días a la oficina"/>
    <s v="Menores que cuando iba todos los días a la oficina"/>
    <s v="Mayor que cuando iba todos los días a la oficina"/>
    <s v="Iguales que cuando iba todos los días a la oficina"/>
    <s v="Mayor que cuando iba todos los días a la oficina"/>
    <s v="Iguales que cuando iba todos los días a la oficina"/>
    <s v="Iguales que cuando iba todos los días a la oficina"/>
    <s v="No trabajo con personas con distintos horarios"/>
    <s v="Igual que cuando iba todos los días a la oficina"/>
    <s v="Menores que cuando iba todos los días a la oficina"/>
    <s v="Mayor que cuando iba todos los días a la oficina"/>
    <s v="No tengo la información para contestar a la pregunta"/>
    <s v="Igual que cuando iba todos los días a la oficina"/>
    <s v="Iguales que cuando iba todos los días a la oficina"/>
    <s v="Igual que cuando iba todos los días a la oficina"/>
    <s v="Menor que cuando iba todos los días a la oficina"/>
    <s v="Mayor que cuando iba todos los días a la oficina"/>
    <s v="Mayor que cuando iba todos los días a la oficina"/>
    <s v="Mayor que cuando iba todos los días a la oficina"/>
    <s v="Mayor que cuando iba todos los días a la oficina"/>
    <s v="Mayor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Mucho menores que cuando iba todos los días a la oficina"/>
    <s v="Igual que cuando iba todos los días a la oficina"/>
    <s v="Mayor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Mayor que cuando iba todos los días a la oficina"/>
    <s v="Menor que cuando iba todos los días a la oficina"/>
    <s v="Menores que cuando iba todos los días a la oficina"/>
    <s v="Igual que cuando iba todos los días a la oficina"/>
    <s v="Mayor que cuando iba todos los días a la oficina"/>
    <m/>
    <s v="&lt;301 empleados"/>
    <n v="0"/>
  </r>
  <r>
    <s v="Argentina"/>
    <s v="36+ años"/>
    <s v="Masculino"/>
    <s v="TERCIARIO"/>
    <s v="5-10 años"/>
    <s v="PROGRAMADOR"/>
    <s v="PROGRAMADOR"/>
    <s v="51-150 empleados"/>
    <s v="Empresa que desarrolla software a medida partiendo desde cero"/>
    <s v="Nacional (múltiples sedes en el mismo país)"/>
    <s v="Nunca"/>
    <s v="Alto"/>
    <s v="4-5 días"/>
    <s v="Ninguno"/>
    <s v="Remota ( todos los días en casa)"/>
    <s v="Impuesta por la empresa"/>
    <s v="De acuerdo"/>
    <s v="Menor que cuando iba todos los días a la oficina"/>
    <s v="Mucho menor que cuando iba todos los días a la oficina"/>
    <s v="Menor que cuando iba todos los días a la oficina"/>
    <s v="Iguales que cuando iba todos los días a la oficina"/>
    <s v="Todas por videoconferencia"/>
    <s v="Menor que cuando eran en la oficina"/>
    <s v="Mucho Mayor que cuando iba todos los días a la oficina"/>
    <s v="Mucho Mayor que cuando iba todos los días a la oficina"/>
    <s v="Mucho Mayor que cuando iba todos los días a la oficina"/>
    <s v="Mucho Mayor que cuando iba todos los días a la oficina"/>
    <x v="2"/>
    <x v="0"/>
    <x v="0"/>
    <s v="Igual que cuando iba todos los días a la oficina"/>
    <x v="2"/>
    <s v="Igual que cuando iba todos los días a la oficina"/>
    <s v="No trabajo con personas de distintas culturas"/>
    <s v="No trabajo con personas con un horario distinto al mío"/>
    <s v="Mucho menos que cuando iba todos los días a la oficina"/>
    <s v="Igual que cuando iba todos los días a la oficina"/>
    <s v="Mas que cuando iba todos los días a la oficina"/>
    <s v="Igual que cuando iba todos los días a la oficina"/>
    <s v="Menos que cuando iba todos los días a la oficina"/>
    <s v="Mas que cuando iba todos los días a la oficina"/>
    <s v="Mayores que cuando iba todos los días a la oficina"/>
    <s v="Mayor que cuando iba todos los días a la oficina"/>
    <s v="Mayor que cuando iba todos los días a la oficina"/>
    <s v="Igual que cuando iba todos los días a la oficina"/>
    <s v="Mucho Mayor que cuando iba todos los días a la oficina"/>
    <s v="Igual que cuando iba todos los días a la oficina"/>
    <s v="Menor que cuando iba todos los días a la oficina"/>
    <s v="Mayor que cuando iba todos los días a la oficina"/>
    <s v="Igual que cuando iba todos los días a la oficina"/>
    <s v="Menores que cuando iba todos los días a la oficina"/>
    <s v="Igual que cuando iba todos los días a la oficina"/>
    <s v="No hay diferencias culturales en mi equipo"/>
    <s v="Mucho mayor que cuando iba todos los días a la oficina"/>
    <s v="Iguales que cuando iba todos los días a la oficina"/>
    <s v="No tengo que utilizar diferentes idiomas en mi trabajo"/>
    <s v="No trabajo con personas con distintos horarios"/>
    <s v="Igual que cuando iba todos los días a la oficina"/>
    <s v="Mucho menores que cuando iba todos los días a la oficina"/>
    <s v="Mayor que cuando iba todos los días a la oficina"/>
    <s v="Mucho mayor que cuando iba todos los días a la oficina"/>
    <s v="Igual que cuando iba todos los días a la oficina"/>
    <s v="Iguales que cuando iba todos los días a la oficina"/>
    <s v="Mejor que cuando iba todos los días a la oficina"/>
    <s v="Mucho Mayor que cuando iba todos los días a la oficina"/>
    <s v="Mayor que cuando iba todos los días a la oficina"/>
    <s v="Mucho mayor que cuando iba todos los días a la oficina"/>
    <s v="Mayor que cuando iba todos los días a la oficina"/>
    <s v="Mayor que cuando iba todos los días a la oficina"/>
    <s v="Mucho Mayor que cuando iba todos los días a la oficina"/>
    <s v="Mucho Mayor que cuando iba todos los días a la oficina"/>
    <s v="Mucho Mayor que cuando iba todos los días a la oficina"/>
    <s v="Mayor que cuando iba todos los días a la oficina"/>
    <s v="Menos que cuando iba todos los días a la oficina"/>
    <s v="Mucho menores que cuando iba todos los días a la oficina"/>
    <s v="Mayor que cuando iba todos los días a la oficina"/>
    <s v="Menor que cuando iba todos los días a la oficina"/>
    <s v="Mucho menor que cuando iba todos los días a la oficina"/>
    <s v="Mucho menor que cuando iba todos los días a la oficina"/>
    <s v="Menor que cuando iba todos los días a la oficina"/>
    <s v="Igual que cuando iba todos los días a la oficina"/>
    <s v="Peor que cuando iba todos los días a la oficina"/>
    <s v="Menor que cuando iba todos los días a la oficina"/>
    <s v="Mucho menor que cuando iba todos los días a la oficina"/>
    <s v="Menor que cuando iba todos los días a la oficina"/>
    <s v="Mucho Mayor que cuando iba todos los días a la oficina"/>
    <s v="Mucho menor que cuando iba todos los días a la oficina"/>
    <s v="Menores que cuando iba todos los días a la oficina"/>
    <s v="Igual que cuando iba todos los días a la oficina"/>
    <s v="Mayor que cuando iba todos los días a la oficina"/>
    <s v="munozda87@hotmail.com"/>
    <s v="&lt;301 empleados"/>
    <n v="0"/>
  </r>
  <r>
    <s v="Argentina"/>
    <s v="36+ años"/>
    <s v="Masculino"/>
    <s v="Tecnicatura universitaria completa, lic incomp."/>
    <s v="11-20 años"/>
    <s v="Software Dev, Team leader"/>
    <s v="Software Dev, Team leader"/>
    <s v="51-150 empleados"/>
    <s v="Empresa que desarrolla software a medida partiendo desde cero"/>
    <s v="Local"/>
    <s v="Nunca"/>
    <s v="Alto"/>
    <s v="4-5 días"/>
    <s v="Ninguno"/>
    <s v="Remota ( todos los días en casa)"/>
    <s v="Consensuada por las dos partes"/>
    <s v="De acuerdo"/>
    <s v="Igual que cuando iba todos los días a la oficina"/>
    <s v="Igual que cuando iba todos los días a la oficina"/>
    <s v="Mucho menor que cuando iba todos los días a la oficina"/>
    <s v="Iguales que cuando iba todos los días a la oficina"/>
    <s v="Todas por videoconferencia"/>
    <s v="Igual que cuando eran en la oficina"/>
    <s v="Mucho Mayor que cuando iba todos los días a la oficina"/>
    <s v="Mayor que cuando iba todos los días a la oficina"/>
    <s v="Mayor que cuando iba todos los días a la oficina"/>
    <s v="Mucho Mayor que cuando iba todos los días a la oficina"/>
    <x v="1"/>
    <x v="0"/>
    <x v="0"/>
    <s v="Igual que cuando iba todos los días a la oficina"/>
    <x v="2"/>
    <s v="Igual que cuando iba todos los días a la oficina"/>
    <s v="Igual que cuando iba todos los días a la oficina"/>
    <s v="Igual que cuando iba todos los días a la oficina"/>
    <s v="Igual que cuando iba todos los días a la oficina"/>
    <s v="Más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Mayores que cuando iba todos los días a la oficina"/>
    <s v="Mayor que cuando iba todos los días a la oficina"/>
    <s v="Igual que cuando iba todos los días a la oficina"/>
    <s v="Igual que cuando iba todos los días a la oficina"/>
    <s v="Mayor que cuando iba todos los días a la oficina"/>
    <s v="Igual que cuando iba todos los días a la oficina"/>
    <s v="Igual que cuando iba todos los días a la oficina"/>
    <s v="Mayor que cuando iba todos los días a la oficina"/>
    <s v="Mayor que cuando iba todos los días a la oficina"/>
    <s v="Iguales que cuando iba todos los días a la oficina"/>
    <s v="Mayor que cuando iba todos los días a la oficina"/>
    <s v="Iguales que cuando iba todos los días a la oficina"/>
    <s v="Igual que cuando iba todos los días a la oficina"/>
    <s v="Iguales que cuando iba todos los días a la oficina"/>
    <s v="Iguales que cuando iba todos los días a la oficina"/>
    <s v="Igual que cuando iba todos los días a la oficina"/>
    <s v="Igual que cuando iba todos los días a la oficina"/>
    <s v="Menores que cuando iba todos los días a la oficina"/>
    <s v="Mayor que cuando iba todos los días a la oficina"/>
    <s v="Igual que cuando iba todos los días a la oficina"/>
    <s v="Igual que cuando iba todos los días a la oficina"/>
    <s v="Iguales que cuando iba todos los días a la oficina"/>
    <s v="Igual que cuando iba todos los días a la oficina"/>
    <s v="Mayor que cuando iba todos los días a la oficina"/>
    <s v="Mayor que cuando iba todos los días a la oficina"/>
    <s v="Mayor que cuando iba todos los días a la oficina"/>
    <s v="Igual que cuando iba todos los días a la oficina"/>
    <s v="Igual que cuando iba todos los días a la oficina"/>
    <s v="Igual que cuando iba todos los días a la oficina"/>
    <s v="Mayor que cuando iba todos los días a la oficina"/>
    <s v="Igual que cuando iba todos los días a la oficina"/>
    <s v="Igual que cuando iba todos los días a la oficina"/>
    <s v="Igual que cuando iba todos los días a la oficina"/>
    <s v="Iguales que cuando iba todos los días a la oficina"/>
    <s v="Mayor que cuando iba todos los días a la oficina"/>
    <s v="Mucho Mayor que cuando iba todos los días a la oficina"/>
    <s v="Igual que cuando iba todos los días a la oficina"/>
    <s v="Igual que cuando iba todos los días a la oficina"/>
    <s v="Menor que cuando iba todos los días a la oficina"/>
    <s v="Mayor que cuando iba todos los días a la oficina"/>
    <s v="Mejor que cuando iba todos los días a la oficina"/>
    <s v="Igual que cuando iba todos los días a la oficina"/>
    <s v="Menor que cuando iba todos los días a la oficina"/>
    <s v="Igual que cuando iba todos los días a la oficina"/>
    <s v="Mayor que cuando iba todos los días a la oficina"/>
    <s v="Menor que cuando iba todos los días a la oficina"/>
    <s v="Mayores que cuando iba todos los días a la oficina"/>
    <s v="Mayor que cuando iba todos los días a la oficina"/>
    <s v="Mayor que cuando iba todos los días a la oficina"/>
    <s v="jauregui79@gmail.com"/>
    <s v="&lt;301 empleados"/>
    <n v="0"/>
  </r>
  <r>
    <s v="Argentina"/>
    <s v="36+ años"/>
    <s v="Femenino"/>
    <s v="Universitario "/>
    <s v="5-10 años"/>
    <s v="Desarrollador de software "/>
    <s v="Programador de software"/>
    <s v="&gt;500 empleados."/>
    <s v="Fábrica de Software"/>
    <s v="Multinacional"/>
    <s v="A veces"/>
    <s v="Alto"/>
    <s v="4-5 días"/>
    <s v="Ninguno"/>
    <s v="Remota ( todos los días en casa)"/>
    <s v="Impuesta por la empresa"/>
    <s v="Totalmente de acuerdo"/>
    <s v="Menor que cuando iba todos los días a la oficina"/>
    <s v="Mucho menor que cuando iba todos los días a la oficina"/>
    <s v="Mucho menor que cuando iba todos los días a la oficina"/>
    <s v="Diferentes que cuando iba todos los días a la oficina, ahora necesito menos horas para hacer lo mismo"/>
    <s v="Todas por videoconferencia"/>
    <s v="Mucho menor que cuando eran en la oficina"/>
    <s v="Igual que cuando iba todos los días a la oficina"/>
    <s v="Menor que cuando iba todos los días a la oficina"/>
    <s v="Menor que cuando iba todos los días a la oficina"/>
    <s v="Igual que cuando iba todos los días a la oficina"/>
    <x v="2"/>
    <x v="4"/>
    <x v="1"/>
    <s v="Mucho menor que cuando iba todos los días a la oficina"/>
    <x v="2"/>
    <s v="Menos que cuando iba todos los días a la oficina"/>
    <s v="Más que cuando iba todos los días a la oficina"/>
    <s v="No trabajo con personas con un horario distinto al mío"/>
    <s v="Igual que cuando iba todos los días a la oficina"/>
    <s v="Más que cuando iba todos los días a la oficina"/>
    <s v="Mas que cuando iba todos los días a la oficina"/>
    <s v="Mas que cuando iba todos los días a la oficina"/>
    <s v="Mas que cuando iba todos los días a la oficina"/>
    <s v="Igual que cuando iba todos los días a la oficina"/>
    <s v="Mucho Mayores que cuando iba todos los días a la oficina"/>
    <s v="Mucho Mayor que cuando iba todos los días a la oficina"/>
    <s v="Igual que cuando iba todos los días a la oficina"/>
    <s v="Mucho menor que cuando iba todos los días a la oficina"/>
    <s v="Igual que cuando iba todos los días a la oficina"/>
    <s v="Mucho menor que cuando iba todos los días a la oficina"/>
    <s v="Igual que cuando iba todos los días a la oficina"/>
    <s v="Mayor que cuando iba todos los días a la oficina"/>
    <s v="Igual que cuando iba todos los días a la oficina"/>
    <s v="Menores que cuando iba todos los días a la oficina"/>
    <s v="Mayor que cuando iba todos los días a la oficina"/>
    <s v="Mucho menores que cuando iba todos los días a la oficina"/>
    <s v="Igual que cuando iba todos los días a la oficina"/>
    <s v="Mucho mayores que cuando iba todos los días a la oficina"/>
    <s v="No tengo que utilizar diferentes idiomas en mi trabajo"/>
    <s v="No trabajo con personas con distintos horarios"/>
    <s v="Mucho menor que cuando iba todos los días a la oficina"/>
    <s v="Mucho menores que cuando iba todos los días a la oficina"/>
    <s v="Mayor que cuando iba todos los días a la oficina"/>
    <s v="Menor que cuando iba todos los días a la oficina"/>
    <s v="Más que cuando iba todos los días a la oficina"/>
    <s v="Iguales que cuando iba todos los días a la oficina"/>
    <s v="Peor que cuando iba todos los días a la oficina"/>
    <s v="Igual que cuando iba todos los días a la oficina"/>
    <s v="Menor que cuando iba todos los días a la oficina"/>
    <s v="Mucho mayor que cuando iba todos los días a la oficina"/>
    <s v="Menor que cuando iba todos los días a la oficina"/>
    <s v="Menor que cuando iba todos los días a la oficina"/>
    <s v="Igual que cuando iba todos los días a la oficina"/>
    <s v="Mucho Mayor que cuando iba todos los días a la oficina"/>
    <s v="Mayor que cuando iba todos los días a la oficina"/>
    <s v="Mucho mayor que cuando iba todos los días a la oficina"/>
    <s v="Igual que cuando iba todos los días a la oficina"/>
    <s v="Menores que cuando iba todos los días a la oficina"/>
    <s v="Menor que cuando iba todos los días a la oficina"/>
    <s v="Mayor que cuando iba todos los días a la oficina"/>
    <s v="Menor que cuando iba todos los días a la oficina"/>
    <s v="Mucho menor que cuando iba todos los días a la oficina"/>
    <s v="Mucho menor que cuando iba todos los días a la oficina"/>
    <s v="Igual que cuando iba todos los días a la oficina"/>
    <s v="Peor que cuando iba todos los días a la oficina"/>
    <s v="Igual que cuando iba todos los días a la oficina"/>
    <s v="Mucho menor que cuando iba todos los días a la oficina"/>
    <s v="Mucho menor que cuando iba todos los días a la oficina"/>
    <s v="Mucho menor que cuando iba todos los días a la oficina"/>
    <s v="Mucho menor que cuando iba todos los días a la oficina"/>
    <s v="Mayores que cuando iba todos los días a la oficina"/>
    <s v="Igual que cuando iba todos los días a la oficina"/>
    <s v="Mayor que cuando iba todos los días a la oficina"/>
    <s v="natalia.huenchuman@gmail.com"/>
    <s v="301+ empleados"/>
    <n v="0"/>
  </r>
  <r>
    <s v="Argentina"/>
    <s v="36+ años"/>
    <s v="Masculino"/>
    <s v="Universitario "/>
    <s v="5-10 años"/>
    <s v="Desarrollador full stack"/>
    <s v="Desarrollador front end"/>
    <s v="&gt;500 empleados."/>
    <s v="Empresa que subcontrata (outsourcing) los servicios de otra empresa situada en otro país"/>
    <s v="Multinacional"/>
    <s v="Muy Frecuentemente"/>
    <s v="Alto"/>
    <s v="4-5 días"/>
    <s v="Ninguno"/>
    <s v="Remota ( todos los días en casa)"/>
    <s v="Consensuada por las dos partes"/>
    <s v="De acuerdo"/>
    <s v="Igual que cuando iba todos los días a la oficina"/>
    <s v="Menor que cuando iba todos los días a la oficina"/>
    <s v="Menor que cuando iba todos los días a la oficina"/>
    <s v="Diferentes que cuando iba todos los días a la oficina, ahora necesito menos horas para hacer lo mismo"/>
    <s v="Todas por videoconferencia"/>
    <s v="Menor que cuando eran en la oficina"/>
    <s v="Mucho Mayor que cuando iba todos los días a la oficina"/>
    <s v="No tengo la información para contestar a la pregunta"/>
    <s v="No tengo la información para contestar a la pregunta"/>
    <s v="Mayor que cuando iba todos los días a la oficina"/>
    <x v="0"/>
    <x v="2"/>
    <x v="1"/>
    <s v="Igual que cuando iba todos los días a la oficina"/>
    <x v="1"/>
    <s v="Igual que cuando iba todos los días a la oficina"/>
    <s v="Igual que cuando iba todos los días a la oficina"/>
    <s v="Igual que cuando iba todos los días a la oficina"/>
    <s v="Mucho menos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es que cuando iba todos los días a la oficina"/>
    <s v="Mayor que cuando iba todos los días a la oficina"/>
    <s v="Mayor que cuando iba todos los días a la oficina"/>
    <s v="Menor que cuando iba todos los días a la oficina"/>
    <s v="Mayor que cuando iba todos los días a la oficina"/>
    <s v="Igual que cuando iba todos los días a la oficina"/>
    <s v="Igual que cuando iba todos los días a la oficina"/>
    <s v="Mayor que cuando iba todos los días a la oficina"/>
    <s v="Mayor que cuando iba todos los días a la oficina"/>
    <s v="Menores que cuando iba todos los días a la oficina"/>
    <s v="Igual que cuando iba todos los días a la oficina"/>
    <s v="Menores que cuando iba todos los días a la oficina"/>
    <s v="Igual que cuando iba todos los días a la oficina"/>
    <s v="Iguales que cuando iba todos los días a la oficina"/>
    <s v="Iguales que cuando iba todos los días a la oficina"/>
    <s v="Igual que cuando iba todos los días a la oficina"/>
    <s v="Igual que cuando iba todos los días a la oficina"/>
    <s v="Mucho menores que cuando iba todos los días a la oficina"/>
    <s v="Mayor que cuando iba todos los días a la oficina"/>
    <s v="Igual que cuando iba todos los días a la oficina"/>
    <s v="Menos que cuando iba todos los días a la oficina"/>
    <s v="Iguales que cuando iba todos los días a la oficina"/>
    <s v="Mejor que cuando iba todos los días a la oficina"/>
    <s v="Igual que cuando iba todos los días a la oficina"/>
    <s v="Mayor que cuando iba todos los días a la oficina"/>
    <s v="Mayor que cuando iba todos los días a la oficina"/>
    <s v="Mayor que cuando iba todos los días a la oficina"/>
    <s v="Mayor que cuando iba todos los días a la oficina"/>
    <s v="Mayor que cuando iba todos los días a la oficina"/>
    <s v="Igual que cuando iba todos los días a la oficina"/>
    <s v="Igual que cuando iba todos los días a la oficina"/>
    <s v="Igual que cuando iba todos los días a la oficina"/>
    <s v="Menos que cuando iba todos los días a la oficina"/>
    <s v="Menores que cuando iba todos los días a la oficina"/>
    <s v="Igual que cuando iba todos los días a la oficina"/>
    <s v="Mayor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Menor que cuando iba todos los días a la oficina"/>
    <s v="Igual que cuando iba todos los días a la oficina"/>
    <s v="Mayor que cuando iba todos los días a la oficina"/>
    <s v="Mucho menor que cuando iba todos los días a la oficina"/>
    <s v="Iguales que cuando iba todos los días a la oficina"/>
    <s v="Igual que cuando iba todos los días a la oficina"/>
    <s v="Mayor que cuando iba todos los días a la oficina"/>
    <s v="nicodinolfo@gmail.com"/>
    <s v="301+ empleados"/>
    <n v="0"/>
  </r>
  <r>
    <s v="Argentina"/>
    <s v="&lt;35 años"/>
    <s v="Masculino"/>
    <s v="Universitario de Grado"/>
    <s v="21-30 años"/>
    <s v="Analista"/>
    <s v="Analista Técnico Funcional Senior"/>
    <s v="&gt;500 empleados."/>
    <s v="Empresa que desarrolla software a medida partiendo desde cero"/>
    <s v="Nacional (múltiples sedes en el mismo país)"/>
    <s v="A veces"/>
    <s v="Bajo"/>
    <s v="1-2 días"/>
    <s v="3-4 días"/>
    <s v="Híbrida casa (más días en casa que en la oficina)"/>
    <s v="Impuesta por la empresa"/>
    <s v="De acuerdo"/>
    <s v="Igual que cuando iba todos los días a la oficina"/>
    <s v="Mayor que cuando iba todos los días a la oficina"/>
    <s v="Igual que cuando iba todos los días a la oficina"/>
    <s v="Iguales que cuando iba todos los días a la oficina"/>
    <s v="Casi todas por videoconferencia"/>
    <s v="Menor que cuando eran en la oficina"/>
    <s v="Mayor que cuando iba todos los días a la oficina"/>
    <s v="Mayor que cuando iba todos los días a la oficina"/>
    <s v="Mucho Mayor que cuando iba todos los días a la oficina"/>
    <s v="Mayor que cuando iba todos los días a la oficina"/>
    <x v="2"/>
    <x v="2"/>
    <x v="0"/>
    <s v="Mayor que cuando iba todos los días a la oficina"/>
    <x v="2"/>
    <s v="Menos que cuando iba todos los días a la oficina"/>
    <s v="Mucho menos que cuando iba todos los días a la oficina"/>
    <s v="Menos que cuando iba todos los días a la oficina"/>
    <s v="Mucho menos que cuando iba todos los días a la oficina"/>
    <s v="Menos que cuando iba todos los días a la oficina"/>
    <s v="Menos que cuando iba todos los días a la oficina"/>
    <s v="Menos que cuando iba todos los días a la oficina"/>
    <s v="Menos que cuando iba todos los días a la oficina"/>
    <s v="Menos que cuando iba todos los días a la oficina"/>
    <s v="Iguales que cuando iba todos los días a la oficina"/>
    <s v="Igual que cuando iba todos los días a la oficina"/>
    <s v="Mayor que cuando iba todos los días a la oficina"/>
    <s v="Menor que cuando iba todos los días a la oficina"/>
    <s v="Mayor que cuando iba todos los días a la oficina"/>
    <s v="Menor que cuando iba todos los días a la oficina"/>
    <s v="Menor que cuando iba todos los días a la oficina"/>
    <s v="Igual que cuando iba todos los días a la oficina"/>
    <s v="Mayor que cuando iba todos los días a la oficina"/>
    <s v="Mayores que cuando iba todos los días a la oficina"/>
    <s v="Mayor que cuando iba todos los días a la oficina"/>
    <s v="Menores que cuando iba todos los días a la oficina"/>
    <s v="Mayor que cuando iba todos los días a la oficina"/>
    <s v="Menores que cuando iba todos los días a la oficina"/>
    <s v="Menores que cuando iba todos los días a la oficina"/>
    <s v="Menos que cuando iba todos los días a la oficina"/>
    <s v="Mayor que cuando iba todos los días a la oficina"/>
    <s v="Iguales que cuando iba todos los días a la oficina"/>
    <s v="Igual que cuando iba todos los días a la oficina"/>
    <s v="Mayor que cuando iba todos los días a la oficina"/>
    <s v="Igual que cuando iba todos los días a la oficina"/>
    <s v="Menores que cuando iba todos los días a la oficina"/>
    <s v="Igual que cuando iba todos los días a la oficina"/>
    <s v="Mayor que cuando iba todos los días a la oficina"/>
    <s v="Mayor que cuando iba todos los días a la oficina"/>
    <s v="Mayor que cuando iba todos los días a la oficina"/>
    <s v="Mayor que cuando iba todos los días a la oficina"/>
    <s v="Mayor que cuando iba todos los días a la oficina"/>
    <s v="Mayor que cuando iba todos los días a la oficina"/>
    <s v="Mayor que cuando iba todos los días a la oficina"/>
    <s v="Igual que cuando iba todos los días a la oficina"/>
    <s v="Menor que cuando iba todos los días a la oficina"/>
    <s v="Igual que cuando iba todos los días a la oficina"/>
    <s v="Mayores que cuando iba todos los días a la oficina"/>
    <s v="Mayor que cuando iba todos los días a la oficina"/>
    <s v="Mayor que cuando iba todos los días a la oficina"/>
    <s v="Mayor que cuando iba todos los días a la oficina"/>
    <s v="Menor que cuando iba todos los días a la oficina"/>
    <s v="Mayor que cuando iba todos los días a la oficina"/>
    <s v="Igual que cuando iba todos los días a la oficina"/>
    <s v="Mejor que cuando iba todos los días a la oficina"/>
    <s v="Mayor que cuando iba todos los días a la oficina"/>
    <s v="Mayor que cuando iba todos los días a la oficina"/>
    <s v="Mayor que cuando iba todos los días a la oficina"/>
    <s v="Mayor que cuando iba todos los días a la oficina"/>
    <s v="Menor que cuando iba todos los días a la oficina"/>
    <s v="Menores que cuando iba todos los días a la oficina"/>
    <s v="Mayor que cuando iba todos los días a la oficina"/>
    <s v="Mayor que cuando iba todos los días a la oficina"/>
    <s v="marcos.cruz@fi.uncoma.edu.ar"/>
    <s v="301+ empleados"/>
    <n v="0"/>
  </r>
  <r>
    <s v="Argentina"/>
    <s v="&lt;35 años"/>
    <s v="Femenino"/>
    <s v="Terciario"/>
    <s v="21-30 años"/>
    <s v="Analista funcional "/>
    <s v="Analista funcional-PO"/>
    <s v="&gt;500 empleados."/>
    <s v="Empresa que desarrolla software a medida partiendo desde cero"/>
    <s v="Nacional (múltiples sedes en el mismo país)"/>
    <s v="A veces"/>
    <s v="Bajo"/>
    <s v="1-2 días"/>
    <s v="3-4 días"/>
    <s v="Híbrida casa (más días en casa que en la oficina)"/>
    <s v="Impuesta por la empresa"/>
    <s v="De acuerdo"/>
    <s v="Igual que cuando iba todos los días a la oficina"/>
    <s v="Mucho menor que cuando iba todos los días a la oficina"/>
    <s v="Igual que cuando iba todos los días a la oficina"/>
    <s v="Diferentes que cuando iba todos los días a la oficina, ahora necesito menos horas para hacer lo mismo"/>
    <s v="Casi todas por videoconferencia"/>
    <s v="Mucho menor que cuando eran en la oficina"/>
    <s v="Mayor que cuando iba todos los días a la oficina"/>
    <s v="Mayor que cuando iba todos los días a la oficina"/>
    <s v="Igual que cuando iba todos los días a la oficina"/>
    <s v="Mayor que cuando iba todos los días a la oficina"/>
    <x v="2"/>
    <x v="2"/>
    <x v="1"/>
    <s v="Mayor que cuando iba todos los días a la oficina"/>
    <x v="1"/>
    <s v="Más que cuando iba todos los días a la oficina"/>
    <s v="Más que cuando iba todos los días a la oficina"/>
    <s v="No trabajo con personas con un horario distinto al mío"/>
    <s v="No trabajo  con personas que se encuentran geográficamente distribuidas"/>
    <s v="No tengo la información para contestar a la pregunta"/>
    <s v="Igual que cuando iba todos los días a la oficina"/>
    <s v="No tengo la información para contestar a la pregunta"/>
    <s v="Igual que cuando iba todos los días a la oficina"/>
    <s v="Igual que cuando iba todos los días a la oficina"/>
    <s v="Mayores que cuando iba todos los días a la oficina"/>
    <s v="Igual que cuando iba todos los días a la oficina"/>
    <s v="Menor que cuando iba todos los días a la oficina"/>
    <s v="Menor que cuando iba todos los días a la oficina"/>
    <s v="Igual que cuando iba todos los días a la oficina"/>
    <s v="Menor que cuando iba todos los días a la oficina"/>
    <s v="Menor que cuando iba todos los días a la oficina"/>
    <s v="Igual que cuando iba todos los días a la oficina"/>
    <s v="Mayor que cuando iba todos los días a la oficina"/>
    <s v="Iguales que cuando iba todos los días a la oficina"/>
    <s v="Igual que cuando iba todos los días a la oficina"/>
    <s v="No hay diferencias culturales en mi equipo"/>
    <s v="Mayor que cuando iba todos los días a la oficina"/>
    <s v="No tengo la información para contestar a la pregunta"/>
    <s v="No tengo que utilizar diferentes idiomas en mi trabajo"/>
    <s v="No trabajo con personas con distintos horarios"/>
    <s v="Igual que cuando iba todos los días a la oficina"/>
    <s v="Iguales que cuando iba todos los días a la oficina"/>
    <s v="Mayor que cuando iba todos los días a la oficina"/>
    <s v="Igual que cuando iba todos los días a la oficina"/>
    <s v="Menos que cuando iba todos los días a la oficina"/>
    <s v="Iguales que cuando iba todos los días a la oficina"/>
    <s v="Peor que cuando iba todos los días a la oficina"/>
    <s v="Menor que cuando iba todos los días a la oficina"/>
    <s v="Mayor que cuando iba todos los días a la oficina"/>
    <s v="Mayor que cuando iba todos los días a la oficina"/>
    <s v="Mayor que cuando iba todos los días a la oficina"/>
    <s v="Mayor que cuando iba todos los días a la oficina"/>
    <s v="Mayor que cuando iba todos los días a la oficina"/>
    <s v="Mayor que cuando iba todos los días a la oficina"/>
    <s v="Igual que cuando iba todos los días a la oficina"/>
    <s v="Menor que cuando iba todos los días a la oficina"/>
    <s v="Igual que cuando iba todos los días a la oficina"/>
    <s v="Menores que cuando iba todos los días a la oficina"/>
    <s v="Menor que cuando iba todos los días a la oficina"/>
    <s v="Mayor que cuando iba todos los días a la oficina"/>
    <s v="Menor que cuando iba todos los días a la oficina"/>
    <s v="Igual que cuando iba todos los días a la oficina"/>
    <s v="Igual que cuando iba todos los días a la oficina"/>
    <s v="Menor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Menores que cuando iba todos los días a la oficina"/>
    <s v="Igual que cuando iba todos los días a la oficina"/>
    <s v="Mayor que cuando iba todos los días a la oficina"/>
    <m/>
    <s v="301+ empleados"/>
    <n v="0"/>
  </r>
  <r>
    <s v="Argentina"/>
    <s v="&lt;35 años"/>
    <s v="Femenino"/>
    <s v="Universitario"/>
    <s v="11-20 años"/>
    <s v="Analista junior"/>
    <s v="Analista semi senior"/>
    <s v="&gt;500 empleados."/>
    <s v="Empresa que subcontrata (outsourcing) los servicios de otra empresa situada en otro país"/>
    <s v="Local"/>
    <s v="A veces"/>
    <s v="Bajo"/>
    <s v="1-2 días"/>
    <s v="3-4 días"/>
    <s v="Remota ( todos los días en casa)"/>
    <s v="Impuesta por la empresa"/>
    <s v="De acuerdo"/>
    <s v="Igual que cuando iba todos los días a la oficina"/>
    <s v="Menor que cuando iba todos los días a la oficina"/>
    <s v="Igual que cuando iba todos los días a la oficina"/>
    <s v="Diferentes que cuando iba todos los días a la oficina, ahora necesito menos horas para hacer lo mismo"/>
    <s v="Casi todas por videoconferencia"/>
    <s v="Mucho menor que cuando eran en la oficina"/>
    <s v="Igual que cuando iba todos los días a la oficina"/>
    <s v="Igual que cuando iba todos los días a la oficina"/>
    <s v="Igual que cuando iba todos los días a la oficina"/>
    <s v="Mucho Mayor que cuando iba todos los días a la oficina"/>
    <x v="1"/>
    <x v="2"/>
    <x v="0"/>
    <s v="Menor que cuando iba todos los días a la oficina"/>
    <x v="3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Menos que cuando iba todos los días a la oficina"/>
    <s v="Igual que cuando iba todos los días a la oficina"/>
    <s v="Igual que cuando iba todos los días a la oficina"/>
    <s v="Igual que cuando iba todos los días a la oficina"/>
    <s v="Mayores que cuando iba todos los días a la oficina"/>
    <s v="Igual que cuando iba todos los días a la oficina"/>
    <s v="Menor que cuando iba todos los días a la oficina"/>
    <s v="Menor que cuando iba todos los días a la oficina"/>
    <s v="Igual que cuando iba todos los días a la oficina"/>
    <s v="Igual que cuando iba todos los días a la oficina"/>
    <s v="Igual que cuando iba todos los días a la oficina"/>
    <s v="Mayor que cuando iba todos los días a la oficina"/>
    <s v="Mayor que cuando iba todos los días a la oficina"/>
    <s v="Iguales que cuando iba todos los días a la oficina"/>
    <s v="Mayor que cuando iba todos los días a la oficina"/>
    <s v="Iguales que cuando iba todos los días a la oficina"/>
    <s v="Mayor que cuando iba todos los días a la oficina"/>
    <s v="Iguales que cuando iba todos los días a la oficina"/>
    <s v="Iguales que cuando iba todos los días a la oficina"/>
    <s v="Igual que cuando iba todos los días a la oficina"/>
    <s v="Menor que cuando iba todos los días a la oficina"/>
    <s v="Mucho menores que cuando iba todos los días a la oficina"/>
    <s v="Mucho mayor que cuando iba todos los días a la oficina"/>
    <s v="Igual que cuando iba todos los días a la oficina"/>
    <s v="Igual que cuando iba todos los días a la oficina"/>
    <s v="Iguales que cuando iba todos los días a la oficina"/>
    <s v="Igual que cuando iba todos los días a la oficina"/>
    <s v="Mayor que cuando iba todos los días a la oficina"/>
    <s v="Mayor que cuando iba todos los días a la oficina"/>
    <s v="Mucho mayor que cuando iba todos los días a la oficina"/>
    <s v="Igual que cuando iba todos los días a la oficina"/>
    <s v="Igual que cuando iba todos los días a la oficina"/>
    <s v="Igual que cuando iba todos los días a la oficina"/>
    <s v="Mucho Mayor que cuando iba todos los días a la oficina"/>
    <s v="Igual que cuando iba todos los días a la oficina"/>
    <s v="Igual que cuando iba todos los días a la oficina"/>
    <s v="Igual que cuando iba todos los días a la oficina"/>
    <s v="Mucho menores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Mejor que cuando iba todos los días a la oficina"/>
    <s v="Mayor que cuando iba todos los días a la oficina"/>
    <s v="Menor que cuando iba todos los días a la oficina"/>
    <s v="Igual que cuando iba todos los días a la oficina"/>
    <s v="Igual que cuando iba todos los días a la oficina"/>
    <s v="Menor que cuando iba todos los días a la oficina"/>
    <s v="Menores que cuando iba todos los días a la oficina"/>
    <s v="Igual que cuando iba todos los días a la oficina"/>
    <s v="Igual que cuando iba todos los días a la oficina"/>
    <s v="nataliaedithroldan@gmail.com"/>
    <s v="301+ empleados"/>
    <n v="0"/>
  </r>
  <r>
    <s v="Argentina"/>
    <s v="&lt;35 años"/>
    <s v="Masculino"/>
    <s v="Universitario completo"/>
    <s v="21-30 años"/>
    <s v="Consultor de soluciones móviles y análisis de datos"/>
    <s v="Consultor de soluciones móviles y análisis de datos"/>
    <s v="&gt;500 empleados."/>
    <s v="Empresa que subcontrata (outsourcing) los servicios de otra empresa situada en otro país"/>
    <s v="Multinacional"/>
    <s v="Muy Frecuentemente"/>
    <s v="Bajo"/>
    <s v="1-2 días"/>
    <s v="3-4 días"/>
    <s v="Híbrida oficina (más días en la oficina que en casa)"/>
    <s v="Consensuada por las dos partes"/>
    <s v="De acuerdo"/>
    <s v="Igual que cuando iba todos los días a la oficina"/>
    <s v="Igual que cuando iba todos los días a la oficina"/>
    <s v="Igual que cuando iba todos los días a la oficina"/>
    <s v="Iguales que cuando iba todos los días a la oficina"/>
    <s v="Todas por videoconferencia"/>
    <s v="Menor que cuando eran en la oficina"/>
    <s v="Mayor que cuando iba todos los días a la oficina"/>
    <s v="Mayor que cuando iba todos los días a la oficina"/>
    <s v="Mayor que cuando iba todos los días a la oficina"/>
    <s v="Mayor que cuando iba todos los días a la oficina"/>
    <x v="0"/>
    <x v="0"/>
    <x v="2"/>
    <s v="Mayor que cuando iba todos los días a la oficina"/>
    <x v="1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Menos que cuando iba todos los días a la oficina"/>
    <s v="Menos que cuando iba todos los días a la oficina"/>
    <s v="Mayores que cuando iba todos los días a la oficina"/>
    <s v="Mayor que cuando iba todos los días a la oficina"/>
    <s v="Mayor que cuando iba todos los días a la oficina"/>
    <s v="Igual que cuando iba todos los días a la oficina"/>
    <s v="Mayor que cuando iba todos los días a la oficina"/>
    <s v="Menor que cuando iba todos los días a la oficina"/>
    <s v="Menor que cuando iba todos los días a la oficina"/>
    <s v="Igual que cuando iba todos los días a la oficina"/>
    <s v="Mayor que cuando iba todos los días a la oficina"/>
    <s v="Mayores que cuando iba todos los días a la oficina"/>
    <s v="Mayor que cuando iba todos los días a la oficina"/>
    <s v="Iguales que cuando iba todos los días a la oficina"/>
    <s v="Mayor que cuando iba todos los días a la oficina"/>
    <s v="Iguales que cuando iba todos los días a la oficina"/>
    <s v="Iguales que cuando iba todos los días a la oficina"/>
    <s v="Igual que cuando iba todos los días a la oficina"/>
    <s v="Mayor que cuando iba todos los días a la oficina"/>
    <s v="Menores que cuando iba todos los días a la oficina"/>
    <s v="Mayor que cuando iba todos los días a la oficina"/>
    <s v="Mayor que cuando iba todos los días a la oficina"/>
    <s v="Menos que cuando iba todos los días a la oficina"/>
    <s v="Menores que cuando iba todos los días a la oficina"/>
    <s v="Igual que cuando iba todos los días a la oficina"/>
    <s v="Mayor que cuando iba todos los días a la oficina"/>
    <s v="Mayor que cuando iba todos los días a la oficina"/>
    <s v="Mayor que cuando iba todos los días a la oficina"/>
    <s v="Igual que cuando iba todos los días a la oficina"/>
    <s v="Igual que cuando iba todos los días a la oficina"/>
    <s v="Mayor que cuando iba todos los días a la oficina"/>
    <s v="Mayor que cuando iba todos los días a la oficina"/>
    <s v="Mayor que cuando iba todos los días a la oficina"/>
    <s v="Menor que cuando iba todos los días a la oficina"/>
    <s v="Igual que cuando iba todos los días a la oficina"/>
    <s v="Iguales que cuando iba todos los días a la oficina"/>
    <s v="Mayor que cuando iba todos los días a la oficina"/>
    <s v="Mayor que cuando iba todos los días a la oficina"/>
    <s v="Mayor que cuando iba todos los días a la oficina"/>
    <s v="Menor que cuando iba todos los días a la oficina"/>
    <s v="Igual que cuando iba todos los días a la oficina"/>
    <s v="Igual que cuando iba todos los días a la oficina"/>
    <s v="Mejor que cuando iba todos los días a la oficina"/>
    <s v="Mayor que cuando iba todos los días a la oficina"/>
    <s v="Igual que cuando iba todos los días a la oficina"/>
    <s v="Igual que cuando iba todos los días a la oficina"/>
    <s v="Mayor que cuando iba todos los días a la oficina"/>
    <s v="Menor que cuando iba todos los días a la oficina"/>
    <s v="Menores que cuando iba todos los días a la oficina"/>
    <s v="Igual que cuando iba todos los días a la oficina"/>
    <s v="Mayor que cuando iba todos los días a la oficina"/>
    <m/>
    <s v="301+ empleados"/>
    <n v="0"/>
  </r>
  <r>
    <s v="Argentina"/>
    <s v="&lt;35 años"/>
    <s v="Femenino"/>
    <s v="Universitario"/>
    <s v="21-30 años"/>
    <s v="Desarrollador"/>
    <s v="Product Owner"/>
    <s v="&gt;500 empleados."/>
    <s v="Empresa que subcontrata (outsourcing) los servicios de otra empresa situada en otro país"/>
    <s v="Nacional (múltiples sedes en el mismo país)"/>
    <s v="Casi Nunca"/>
    <s v="Bajo"/>
    <s v="1-2 días"/>
    <s v="3-4 días"/>
    <s v="Híbrida casa (más días en casa que en la oficina)"/>
    <s v="Impuesta por la empresa"/>
    <s v="En desacuerdo"/>
    <s v="Mayor que cuando iba todos los días a la oficina"/>
    <s v="Mayor que cuando iba todos los días a la oficina"/>
    <s v="Igual que cuando iba todos los días a la oficina"/>
    <s v="Iguales que cuando iba todos los días a la oficina"/>
    <s v="La Mitad por videoconferencia y la mitad presencial"/>
    <s v="Mucho menor que cuando eran en la oficina"/>
    <s v="Mayor que cuando iba todos los días a la oficina"/>
    <s v="Mucho Mayor que cuando iba todos los días a la oficina"/>
    <s v="Mayor que cuando iba todos los días a la oficina"/>
    <s v="Mayor que cuando iba todos los días a la oficina"/>
    <x v="1"/>
    <x v="2"/>
    <x v="1"/>
    <s v="Mayor que cuando iba todos los días a la oficina"/>
    <x v="1"/>
    <s v="Menos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Mayores que cuando iba todos los días a la oficina"/>
    <s v="Igual que cuando iba todos los días a la oficina"/>
    <s v="Igual que cuando iba todos los días a la oficina"/>
    <s v="Menor que cuando iba todos los días a la oficina"/>
    <s v="Mayor que cuando iba todos los días a la oficina"/>
    <s v="Mucho menor que cuando iba todos los días a la oficina"/>
    <s v="Menor que cuando iba todos los días a la oficina"/>
    <s v="Igual que cuando iba todos los días a la oficina"/>
    <s v="Igual que cuando iba todos los días a la oficina"/>
    <s v="Iguales que cuando iba todos los días a la oficina"/>
    <s v="Igual que cuando iba todos los días a la oficina"/>
    <s v="Iguales que cuando iba todos los días a la oficina"/>
    <s v="Mucho mayor que cuando iba todos los días a la oficina"/>
    <s v="Iguales que cuando iba todos los días a la oficina"/>
    <s v="Iguales que cuando iba todos los días a la oficina"/>
    <s v="No trabajo con personas con distintos horarios"/>
    <s v="Igual que cuando iba todos los días a la oficina"/>
    <s v="Mucho menores que cuando iba todos los días a la oficina"/>
    <s v="Mucho mayor que cuando iba todos los días a la oficina"/>
    <s v="Igual que cuando iba todos los días a la oficina"/>
    <s v="Igual que cuando iba todos los días a la oficina"/>
    <s v="Iguales que cuando iba todos los días a la oficina"/>
    <s v="Igual que cuando iba todos los días a la oficina"/>
    <s v="Mayor que cuando iba todos los días a la oficina"/>
    <s v="Mucho Mayor que cuando iba todos los días a la oficina"/>
    <s v="Mucho mayor que cuando iba todos los días a la oficina"/>
    <s v="Igual que cuando iba todos los días a la oficina"/>
    <s v="Igual que cuando iba todos los días a la oficina"/>
    <s v="Mayor que cuando iba todos los días a la oficina"/>
    <s v="Mucho Mayor que cuando iba todos los días a la oficina"/>
    <s v="Mucho menor que cuando iba todos los días a la oficina"/>
    <s v="Igual que cuando iba todos los días a la oficina"/>
    <s v="Igual que cuando iba todos los días a la oficina"/>
    <s v="Mucho menores que cuando iba todos los días a la oficina"/>
    <s v="Igual que cuando iba todos los días a la oficina"/>
    <s v="Mayor que cuando iba todos los días a la oficina"/>
    <s v="Igual que cuando iba todos los días a la oficina"/>
    <s v="Mucho menor que cuando iba todos los días a la oficina"/>
    <s v="Igual que cuando iba todos los días a la oficina"/>
    <s v="Igual que cuando iba todos los días a la oficina"/>
    <s v="Mejor que cuando iba todos los días a la oficina"/>
    <s v="Igual que cuando iba todos los días a la oficina"/>
    <s v="Igual que cuando iba todos los días a la oficina"/>
    <s v="Mayor que cuando iba todos los días a la oficina"/>
    <s v="Mayor que cuando iba todos los días a la oficina"/>
    <s v="Mucho menor que cuando iba todos los días a la oficina"/>
    <s v="Menores que cuando iba todos los días a la oficina"/>
    <s v="Igual que cuando iba todos los días a la oficina"/>
    <s v="Mayor que cuando iba todos los días a la oficina"/>
    <s v="slucero26@gmail.com"/>
    <s v="301+ empleados"/>
    <n v="0"/>
  </r>
  <r>
    <s v="Argentina"/>
    <s v="&lt;35 años"/>
    <s v="Masculino"/>
    <s v="Universitario "/>
    <s v="&lt;5 años"/>
    <s v="Analista programador "/>
    <s v="Analista programador "/>
    <s v="&gt;500 empleados."/>
    <s v="Empresa que desarrolla software a medida partiendo desde cero"/>
    <s v="Local"/>
    <s v="Nunca"/>
    <s v="Bajo"/>
    <s v="1-2 días"/>
    <s v="3-4 días"/>
    <s v="Híbrida oficina (más días en la oficina que en casa)"/>
    <s v="Impuesta por la empresa"/>
    <s v="En desacuerdo"/>
    <s v="Mayor que cuando iba todos los días a la oficina"/>
    <s v="Igual que cuando iba todos los días a la oficina"/>
    <s v="Igual que cuando iba todos los días a la oficina"/>
    <s v="Diferentes que cuando iba todos los días a la oficina, ahora necesito menos horas para hacer lo mismo"/>
    <s v="La Mitad por videoconferencia y la mitad presencial"/>
    <s v="Menor que cuando eran en la oficina"/>
    <s v="Mayor que cuando iba todos los días a la oficina"/>
    <s v="Mayor que cuando iba todos los días a la oficina"/>
    <s v="Mayor que cuando iba todos los días a la oficina"/>
    <s v="Mayor que cuando iba todos los días a la oficina"/>
    <x v="1"/>
    <x v="1"/>
    <x v="0"/>
    <s v="Igual que cuando iba todos los días a la oficina"/>
    <x v="4"/>
    <s v="Más que cuando iba todos los días a la oficina"/>
    <s v="No trabajo con personas de distintas culturas"/>
    <s v="No trabajo con personas con un horario distinto al mío"/>
    <s v="No trabajo  con personas que se encuentran geográficamente distribuidas"/>
    <s v="Igual que cuando iba todos los días a la oficina"/>
    <s v="Igual que cuando iba todos los días a la oficina"/>
    <s v="Menos que cuando iba todos los días a la oficina"/>
    <s v="Igual que cuando iba todos los días a la oficina"/>
    <s v="Menos que cuando iba todos los días a la oficina"/>
    <s v="Mayores que cuando iba todos los días a la oficina"/>
    <s v="Mayor que cuando iba todos los días a la oficina"/>
    <s v="Igual que cuando iba todos los días a la oficina"/>
    <s v="Menor que cuando iba todos los días a la oficina"/>
    <s v="Mayor que cuando iba todos los días a la oficina"/>
    <s v="Igual que cuando iba todos los días a la oficina"/>
    <s v="Igual que cuando iba todos los días a la oficina"/>
    <s v="Igual que cuando iba todos los días a la oficina"/>
    <s v="Mayor que cuando iba todos los días a la oficina"/>
    <s v="Mayores que cuando iba todos los días a la oficina"/>
    <s v="Mayor que cuando iba todos los días a la oficina"/>
    <s v="No hay diferencias culturales en mi equipo"/>
    <s v="Mayor que cuando iba todos los días a la oficina"/>
    <s v="Menores que cuando iba todos los días a la oficina"/>
    <s v="No tengo que utilizar diferentes idiomas en mi trabajo"/>
    <s v="No trabajo con personas con distintos horarios"/>
    <s v="Igual que cuando iba todos los días a la oficina"/>
    <s v="Menores que cuando iba todos los días a la oficina"/>
    <s v="Mayor que cuando iba todos los días a la oficina"/>
    <s v="Igual que cuando iba todos los días a la oficina"/>
    <s v="Menos que cuando iba todos los días a la oficina"/>
    <s v="Menores que cuando iba todos los días a la oficina"/>
    <s v="Mejor que cuando iba todos los días a la oficina"/>
    <s v="Mayor que cuando iba todos los días a la oficina"/>
    <s v="Mayor que cuando iba todos los días a la oficina"/>
    <s v="Mayor que cuando iba todos los días a la oficina"/>
    <s v="Mayor que cuando iba todos los días a la oficina"/>
    <s v="Mayor que cuando iba todos los días a la oficina"/>
    <s v="Mayor que cuando iba todos los días a la oficina"/>
    <s v="Mayor que cuando iba todos los días a la oficina"/>
    <s v="Menor que cuando iba todos los días a la oficina"/>
    <s v="Igual que cuando iba todos los días a la oficina"/>
    <s v="Igual que cuando iba todos los días a la oficina"/>
    <s v="Iguales que cuando iba todos los días a la oficina"/>
    <s v="Mayor que cuando iba todos los días a la oficina"/>
    <s v="Mayor que cuando iba todos los días a la oficina"/>
    <s v="Igual que cuando iba todos los días a la oficina"/>
    <s v="Menor que cuando iba todos los días a la oficina"/>
    <s v="Mayor que cuando iba todos los días a la oficina"/>
    <s v="Igual que cuando iba todos los días a la oficina"/>
    <s v="Igual que cuando iba todos los días a la oficina"/>
    <s v="Mayor que cuando iba todos los días a la oficina"/>
    <s v="Menor que cuando iba todos los días a la oficina"/>
    <s v="Mayor que cuando iba todos los días a la oficina"/>
    <s v="Mayor que cuando iba todos los días a la oficina"/>
    <s v="Menor que cuando iba todos los días a la oficina"/>
    <s v="Menores que cuando iba todos los días a la oficina"/>
    <s v="Igual que cuando iba todos los días a la oficina"/>
    <s v="Mayor que cuando iba todos los días a la oficina"/>
    <m/>
    <s v="301+ empleados"/>
    <n v="0"/>
  </r>
  <r>
    <s v="Colombia"/>
    <s v="36+ años"/>
    <s v="Masculino"/>
    <s v="Pregrado"/>
    <s v="&lt;5 años"/>
    <s v="Application Support Specialist"/>
    <s v="Customer Support Specialist"/>
    <s v="301-500 empleados"/>
    <s v="Empresa que subcontrata (outsourcing) los servicios de otra empresa situada en otro país"/>
    <s v="Multinacional"/>
    <s v="Frecuentemente"/>
    <s v="Alto"/>
    <s v="4-5 días"/>
    <s v="1-2 días"/>
    <s v="Híbrida casa (más días en casa que en la oficina)"/>
    <s v="Impuesta por la empresa"/>
    <s v="En desacuerdo"/>
    <s v="Mayor que cuando iba todos los días a la oficina"/>
    <s v="Mucho menor que cuando iba todos los días a la oficina"/>
    <s v="Menor que cuando iba todos los días a la oficina"/>
    <s v="Muy diferentes que cuando iba todos los días a la oficina, ahora necesito muchas menos horas para hacer lo mismo"/>
    <s v="Casi todas por videoconferencia"/>
    <s v="Mucho menor que cuando eran en la oficina"/>
    <s v="Mucho Mayor que cuando iba todos los días a la oficina"/>
    <s v="Mucho Mayor que cuando iba todos los días a la oficina"/>
    <s v="Mucho Mayor que cuando iba todos los días a la oficina"/>
    <s v="Mayor que cuando iba todos los días a la oficina"/>
    <x v="0"/>
    <x v="0"/>
    <x v="0"/>
    <s v="Mayor que cuando iba todos los días a la oficina"/>
    <x v="5"/>
    <s v="Mucho más que cuando iba todos los días a la oficina"/>
    <s v="Menos que cuando iba todos los días a la oficina"/>
    <s v="Mucho menos que cuando iba todos los días a la oficina"/>
    <s v="Más que cuando iba todos los días a la oficina"/>
    <s v="Mucho más que cuando iba todos los días a la oficina"/>
    <s v="Igual que cuando iba todos los días a la oficina"/>
    <s v="Menos que cuando iba todos los días a la oficina"/>
    <s v="Mas que cuando iba todos los días a la oficina"/>
    <s v="Mas que cuando iba todos los días a la oficina"/>
    <s v="Mucho menores que cuando iba todos los días a la oficina"/>
    <s v="Igual que cuando iba todos los días a la oficina"/>
    <s v="Mayor que cuando iba todos los días a la oficina"/>
    <s v="Menor que cuando iba todos los días a la oficina"/>
    <s v="Igual que cuando iba todos los días a la oficina"/>
    <s v="Menor que cuando iba todos los días a la oficina"/>
    <s v="Igual que cuando iba todos los días a la oficina"/>
    <s v="Igual que cuando iba todos los días a la oficina"/>
    <s v="Mayor que cuando iba todos los días a la oficina"/>
    <s v="Menores que cuando iba todos los días a la oficina"/>
    <s v="Mayor que cuando iba todos los días a la oficina"/>
    <s v="Menores que cuando iba todos los días a la oficina"/>
    <s v="Mayor que cuando iba todos los días a la oficina"/>
    <s v="Menores que cuando iba todos los días a la oficina"/>
    <s v="Menores que cuando iba todos los días a la oficina"/>
    <s v="Mucho menos que cuando iba todos los días a la oficina"/>
    <s v="Mayor que cuando iba todos los días a la oficina"/>
    <s v="Iguales que cuando iba todos los días a la oficina"/>
    <s v="Mayor que cuando iba todos los días a la oficina"/>
    <s v="Mucho mayor que cuando iba todos los días a la oficina"/>
    <s v="Menos que cuando iba todos los días a la oficina"/>
    <s v="Iguales que cuando iba todos los días a la oficina"/>
    <s v="Mejor que cuando iba todos los días a la oficina"/>
    <s v="Mayor que cuando iba todos los días a la oficina"/>
    <s v="Mayor que cuando iba todos los días a la oficina"/>
    <s v="Mayor que cuando iba todos los días a la oficina"/>
    <s v="Mayor que cuando iba todos los días a la oficina"/>
    <s v="Mayor que cuando iba todos los días a la oficina"/>
    <s v="Mayor que cuando iba todos los días a la oficina"/>
    <s v="Mayor que cuando iba todos los días a la oficina"/>
    <s v="Mayor que cuando iba todos los días a la oficina"/>
    <s v="Menor que cuando iba todos los días a la oficina"/>
    <s v="Menos que cuando iba todos los días a la oficina"/>
    <s v="Menores que cuando iba todos los días a la oficina"/>
    <s v="Mayor que cuando iba todos los días a la oficina"/>
    <s v="Mayor que cuando iba todos los días a la oficina"/>
    <s v="Menor que cuando iba todos los días a la oficina"/>
    <s v="Menor que cuando iba todos los días a la oficina"/>
    <s v="Menor que cuando iba todos los días a la oficina"/>
    <s v="Menor que cuando iba todos los días a la oficina"/>
    <s v="Igual que cuando iba todos los días a la oficina"/>
    <s v="Igual que cuando iba todos los días a la oficina"/>
    <s v="Menor que cuando iba todos los días a la oficina"/>
    <s v="Menor que cuando iba todos los días a la oficina"/>
    <s v="Mucho Mayor que cuando iba todos los días a la oficina"/>
    <s v="Mucho menor que cuando iba todos los días a la oficina"/>
    <s v="Mayores que cuando iba todos los días a la oficina"/>
    <s v="Mucho menor que cuando iba todos los días a la oficina"/>
    <s v="Menor que cuando iba todos los días a la oficina"/>
    <s v="jf.garcia@uniandes.edu.co"/>
    <s v="301+ empleados"/>
    <n v="0"/>
  </r>
  <r>
    <s v="Colombia"/>
    <s v="36+ años"/>
    <s v="Masculino"/>
    <s v="Profesional"/>
    <s v="11-20 años"/>
    <s v="Arquitecto de Software"/>
    <s v="Arquitecto de Software"/>
    <s v="51-150 empleados"/>
    <s v="Fábrica de Software"/>
    <s v="Multinacional"/>
    <s v="Muy Frecuentemente"/>
    <s v="Alto"/>
    <s v="4-5 días"/>
    <s v="Ninguno"/>
    <s v="Remota ( todos los días en casa)"/>
    <s v="Consensuada por las dos partes"/>
    <s v="Totalmente de acuerdo"/>
    <s v="Igual que cuando iba todos los días a la oficina"/>
    <s v="Igual que cuando iba todos los días a la oficina"/>
    <s v="Mayor que cuando iba todos los días a la oficina"/>
    <s v="Muy diferentes que cuando iba todos los días a la oficina, ahora necesito muchas menos horas para hacer lo mismo"/>
    <s v="Todas por videoconferencia"/>
    <s v="Mucho menor que cuando eran en la oficina"/>
    <s v="Mucho Mayor que cuando iba todos los días a la oficina"/>
    <s v="Mucho Mayor que cuando iba todos los días a la oficina"/>
    <s v="Mayor que cuando iba todos los días a la oficina"/>
    <s v="Mucho Mayor que cuando iba todos los días a la oficina"/>
    <x v="0"/>
    <x v="1"/>
    <x v="2"/>
    <s v="Mayor que cuando iba todos los días a la oficina"/>
    <x v="2"/>
    <s v="Menos que cuando iba todos los días a la oficina"/>
    <s v="Menos que cuando iba todos los días a la oficina"/>
    <s v="No trabajo con personas con un horario distinto al mío"/>
    <s v="Mucho menos que cuando iba todos los días a la oficina"/>
    <s v="Mucho menos que cuando iba todos los días a la oficina"/>
    <s v="Igual que cuando iba todos los días a la oficina"/>
    <s v="Menos que cuando iba todos los días a la oficina"/>
    <s v="Mucho menos que cuando iba todos los días a la oficina"/>
    <s v="Mucho mas que cuando iba todos los días a la oficina"/>
    <s v="Mayores que cuando iba todos los días a la oficina"/>
    <s v="Igual que cuando iba todos los días a la oficina"/>
    <s v="Mayor que cuando iba todos los días a la oficina"/>
    <s v="Mucho menor que cuando iba todos los días a la oficina"/>
    <s v="Mucho Mayor que cuando iba todos los días a la oficina"/>
    <s v="Mucho menor que cuando iba todos los días a la oficina"/>
    <s v="Menor que cuando iba todos los días a la oficina"/>
    <s v="Igual que cuando iba todos los días a la oficina"/>
    <s v="Mucho mayor que cuando iba todos los días a la oficina"/>
    <s v="Mucho menores que cuando iba todos los días a la oficina"/>
    <s v="Mucho mayor que cuando iba todos los días a la oficina"/>
    <s v="Mucho menores que cuando iba todos los días a la oficina"/>
    <s v="Mayor que cuando iba todos los días a la oficina"/>
    <s v="Menores que cuando iba todos los días a la oficina"/>
    <s v="No tengo que utilizar diferentes idiomas en mi trabajo"/>
    <s v="No trabajo con personas con distintos horarios"/>
    <s v="Mayor que cuando iba todos los días a la oficina"/>
    <s v="Mucho menores que cuando iba todos los días a la oficina"/>
    <s v="Mucho mayor que cuando iba todos los días a la oficina"/>
    <s v="Mucho menor que cuando iba todos los días a la oficina"/>
    <s v="Mucho menos que cuando iba todos los días a la oficina"/>
    <s v="Mucho menores que cuando iba todos los días a la oficina"/>
    <s v="Mejor que cuando iba todos los días a la oficina"/>
    <s v="Mucho Mayor que cuando iba todos los días a la oficina"/>
    <s v="Mayor que cuando iba todos los días a la oficina"/>
    <s v="Mucho mayor que cuando iba todos los días a la oficina"/>
    <s v="Mucho Mayor que cuando iba todos los días a la oficina"/>
    <s v="Mucho Mayor que cuando iba todos los días a la oficina"/>
    <s v="Mucho Mayor que cuando iba todos los días a la oficina"/>
    <s v="Mucho Mayor que cuando iba todos los días a la oficina"/>
    <s v="Mucho Mayor que cuando iba todos los días a la oficina"/>
    <s v="Igual que cuando iba todos los días a la oficina"/>
    <s v="Mucho mas que cuando iba todos los días a la oficina"/>
    <s v="Mayores que cuando iba todos los días a la oficina"/>
    <s v="Mucho Mayor que cuando iba todos los días a la oficina"/>
    <s v="Mayor que cuando iba todos los días a la oficina"/>
    <s v="Menor que cuando iba todos los días a la oficina"/>
    <s v="Mucho menor que cuando iba todos los días a la oficina"/>
    <s v="Menor que cuando iba todos los días a la oficina"/>
    <s v="Mucho menor que cuando iba todos los días a la oficina"/>
    <s v="Mucho Mejor que cuando iba todos los días a la oficina"/>
    <s v="Mayor que cuando iba todos los días a la oficina"/>
    <s v="Menor que cuando iba todos los días a la oficina"/>
    <s v="Mayor que cuando iba todos los días a la oficina"/>
    <s v="Mucho Mayor que cuando iba todos los días a la oficina"/>
    <s v="Menor que cuando iba todos los días a la oficina"/>
    <s v="Menores que cuando iba todos los días a la oficina"/>
    <s v="Mayor que cuando iba todos los días a la oficina"/>
    <s v="Mucho mayor que cuando iba todos los días a la oficina"/>
    <s v="jguevara@assist.com.co"/>
    <s v="&lt;301 empleados"/>
    <n v="0"/>
  </r>
  <r>
    <s v="Colombia"/>
    <s v="36+ años"/>
    <s v="Masculino"/>
    <s v="Maestría "/>
    <s v="21-30 años"/>
    <s v="Arquitecto de software"/>
    <s v="Arquitecto de software"/>
    <s v="301-500 empleados"/>
    <s v="Empresa que subcontrata (outsourcing) los servicios de otra del mismo país"/>
    <s v="Nacional (múltiples sedes en el mismo país)"/>
    <s v="A veces"/>
    <s v="Alto"/>
    <s v="4-5 días"/>
    <s v="Ninguno"/>
    <s v="Híbrida casa (más días en casa que en la oficina)"/>
    <s v="Decidida por ti"/>
    <s v="En desacuerdo"/>
    <s v="Menor que cuando iba todos los días a la oficina"/>
    <s v="Menor que cuando iba todos los días a la oficina"/>
    <s v="Menor que cuando iba todos los días a la oficina"/>
    <s v="Diferentes que cuando iba todos los días a la oficina, ahora necesito menos horas para hacer lo mismo"/>
    <s v="Casi todas por videoconferencia"/>
    <s v="Igual que cuando eran en la oficina"/>
    <s v="Igual que cuando iba todos los días a la oficina"/>
    <s v="Igual que cuando iba todos los días a la oficina"/>
    <s v="Igual que cuando iba todos los días a la oficina"/>
    <s v="Menor que cuando iba todos los días a la oficina"/>
    <x v="1"/>
    <x v="1"/>
    <x v="0"/>
    <s v="Menor que cuando iba todos los días a la oficina"/>
    <x v="0"/>
    <s v="Más que cuando iba todos los días a la oficina"/>
    <s v="Mucho menos que cuando iba todos los días a la oficina"/>
    <s v="Más que cuando iba todos los días a la oficina"/>
    <s v="Igual que cuando iba todos los días a la oficina"/>
    <s v="Más que cuando iba todos los días a la oficina"/>
    <s v="Mas que cuando iba todos los días a la oficina"/>
    <s v="Mucho más que cuando iba todos los días a la oficina"/>
    <s v="Mas que cuando iba todos los días a la oficina"/>
    <s v="Mas que cuando iba todos los días a la oficina"/>
    <s v="Menores que cuando iba todos los días a la oficina"/>
    <s v="Mayor que cuando iba todos los días a la oficina"/>
    <s v="Menor que cuando iba todos los días a la oficina"/>
    <s v="Mayor que cuando iba todos los días a la oficina"/>
    <s v="Mayor que cuando iba todos los días a la oficina"/>
    <s v="Mayor que cuando iba todos los días a la oficina"/>
    <s v="Mayor que cuando iba todos los días a la oficina"/>
    <s v="Igual que cuando iba todos los días a la oficina"/>
    <s v="Mayor que cuando iba todos los días a la oficina"/>
    <s v="Mayores que cuando iba todos los días a la oficina"/>
    <s v="Igual que cuando iba todos los días a la oficina"/>
    <s v="Menores que cuando iba todos los días a la oficina"/>
    <s v="Igual que cuando iba todos los días a la oficina"/>
    <s v="Iguales que cuando iba todos los días a la oficina"/>
    <s v="Iguales que cuando iba todos los días a la oficina"/>
    <s v="Menos que cuando iba todos los días a la oficina"/>
    <s v="Igual que cuando iba todos los días a la oficina"/>
    <s v="Mayores que cuando iba todos los días a la oficina"/>
    <s v="Igual que cuando iba todos los días a la oficina"/>
    <s v="Mayor que cuando iba todos los días a la oficina"/>
    <s v="Más que cuando iba todos los días a la oficina"/>
    <s v="Mayores que cuando iba todos los días a la oficina"/>
    <s v="Igual que cuando iba todos los días a la oficina"/>
    <s v="Igual que cuando iba todos los días a la oficina"/>
    <s v="Menor que cuando iba todos los días a la oficina"/>
    <s v="Mayor que cuando iba todos los días a la oficina"/>
    <s v="Igual que cuando iba todos los días a la oficina"/>
    <s v="Igual que cuando iba todos los días a la oficina"/>
    <s v="Mayor que cuando iba todos los días a la oficina"/>
    <s v="Mayor que cuando iba todos los días a la oficina"/>
    <s v="Igual que cuando iba todos los días a la oficina"/>
    <s v="Igual que cuando iba todos los días a la oficina"/>
    <s v="Igual que cuando iba todos los días a la oficina"/>
    <s v="Menores que cuando iba todos los días a la oficina"/>
    <s v="Igual que cuando iba todos los días a la oficina"/>
    <s v="Mayor que cuando iba todos los días a la oficina"/>
    <s v="Menor que cuando iba todos los días a la oficina"/>
    <s v="Menor que cuando iba todos los días a la oficina"/>
    <s v="Igual que cuando iba todos los días a la oficina"/>
    <s v="Mayor que cuando iba todos los días a la oficina"/>
    <s v="Peor que cuando iba todos los días a la oficina"/>
    <s v="Igual que cuando iba todos los días a la oficina"/>
    <s v="Menor que cuando iba todos los días a la oficina"/>
    <s v="Igual que cuando iba todos los días a la oficina"/>
    <s v="Mayor que cuando iba todos los días a la oficina"/>
    <s v="Menor que cuando iba todos los días a la oficina"/>
    <s v="Iguales que cuando iba todos los días a la oficina"/>
    <s v="Menor que cuando iba todos los días a la oficina"/>
    <s v="Mayor que cuando iba todos los días a la oficina"/>
    <m/>
    <s v="301+ empleados"/>
    <n v="0"/>
  </r>
  <r>
    <s v="Colombia"/>
    <s v="36+ años"/>
    <s v="Masculino"/>
    <s v="Profesional"/>
    <s v="&lt;5 años"/>
    <s v="Consultor Preventa"/>
    <s v="Consultor Preventa"/>
    <s v="&gt;500 empleados."/>
    <s v="Empresa que subcontrata (outsourcing) los servicios de otra del mismo país"/>
    <s v="Multinacional"/>
    <s v="Casi Nunca"/>
    <s v="Alto"/>
    <s v="4-5 días"/>
    <s v="Ninguno"/>
    <s v="Remota ( todos los días en casa)"/>
    <s v="Impuesta por la empresa"/>
    <s v="Totalmente de acuerdo"/>
    <s v="Igual que cuando iba todos los días a la oficina"/>
    <s v="Igual que cuando iba todos los días a la oficina"/>
    <s v="Menor que cuando iba todos los días a la oficina"/>
    <s v="Iguales que cuando iba todos los días a la oficina"/>
    <s v="Casi todas por videoconferencia"/>
    <s v="Mucho Mayor que cuando eran en la oficina"/>
    <s v="Mayor que cuando iba todos los días a la oficina"/>
    <s v="Mucho Mayor que cuando iba todos los días a la oficina"/>
    <s v="Mayor que cuando iba todos los días a la oficina"/>
    <s v="Mayor que cuando iba todos los días a la oficina"/>
    <x v="2"/>
    <x v="1"/>
    <x v="0"/>
    <s v="Igual que cuando iba todos los días a la oficina"/>
    <x v="1"/>
    <s v="Igual que cuando iba todos los días a la oficina"/>
    <s v="No trabajo con personas de distintas culturas"/>
    <s v="No trabajo con personas con un horario distinto al mío"/>
    <s v="No trabajo  con personas que se encuentran geográficamente distribuidas"/>
    <s v="Igual que cuando iba todos los días a la oficina"/>
    <s v="Igual que cuando iba todos los días a la oficina"/>
    <s v="Mas que cuando iba todos los días a la oficina"/>
    <s v="Mas que cuando iba todos los días a la oficina"/>
    <s v="Mucho mas que cuando iba todos los días a la oficina"/>
    <s v="Iguales que cuando iba todos los días a la oficina"/>
    <s v="Igual que cuando iba todos los días a la oficina"/>
    <s v="Igual que cuando iba todos los días a la oficina"/>
    <s v="Menor que cuando iba todos los días a la oficina"/>
    <s v="Mayor que cuando iba todos los días a la oficina"/>
    <s v="Menor que cuando iba todos los días a la oficina"/>
    <s v="Menor que cuando iba todos los días a la oficina"/>
    <s v="Mayor que cuando iba todos los días a la oficina"/>
    <s v="Mucho mayor que cuando iba todos los días a la oficina"/>
    <s v="Iguales que cuando iba todos los días a la oficina"/>
    <s v="Mayor que cuando iba todos los días a la oficina"/>
    <s v="No hay diferencias culturales en mi equipo"/>
    <s v="Igual que cuando iba todos los días a la oficina"/>
    <s v="Iguales que cuando iba todos los días a la oficina"/>
    <s v="No tengo que utilizar diferentes idiomas en mi trabajo"/>
    <s v="No trabajo con personas con distintos horarios"/>
    <s v="Igual que cuando iba todos los días a la oficina"/>
    <s v="Mayores que cuando iba todos los días a la oficina"/>
    <s v="Mayor que cuando iba todos los días a la oficina"/>
    <s v="Igual que cuando iba todos los días a la oficina"/>
    <s v="Igual que cuando iba todos los días a la oficina"/>
    <s v="Iguales que cuando iba todos los días a la oficina"/>
    <s v="Igual que cuando iba todos los días a la oficina"/>
    <s v="Mucho Mayor que cuando iba todos los días a la oficina"/>
    <s v="Mucho Mayor que cuando iba todos los días a la oficina"/>
    <s v="Mucho mayor que cuando iba todos los días a la oficina"/>
    <s v="Mucho Mayor que cuando iba todos los días a la oficina"/>
    <s v="Igual que cuando iba todos los días a la oficina"/>
    <s v="Mayor que cuando iba todos los días a la oficina"/>
    <s v="Mayor que cuando iba todos los días a la oficina"/>
    <s v="Mayor que cuando iba todos los días a la oficina"/>
    <s v="Igual que cuando iba todos los días a la oficina"/>
    <s v="Igual que cuando iba todos los días a la oficina"/>
    <s v="Iguales que cuando iba todos los días a la oficina"/>
    <s v="Mayor que cuando iba todos los días a la oficina"/>
    <s v="Mucho Mayor que cuando iba todos los días a la oficina"/>
    <s v="Igual que cuando iba todos los días a la oficina"/>
    <s v="Menor que cuando iba todos los días a la oficina"/>
    <s v="Igual que cuando iba todos los días a la oficina"/>
    <s v="Mayor que cuando iba todos los días a la oficina"/>
    <s v="Igual que cuando iba todos los días a la oficina"/>
    <s v="Mayor que cuando iba todos los días a la oficina"/>
    <s v="Mucho menor que cuando iba todos los días a la oficina"/>
    <s v="Igual que cuando iba todos los días a la oficina"/>
    <s v="Mucho Mayor que cuando iba todos los días a la oficina"/>
    <s v="Menor que cuando iba todos los días a la oficina"/>
    <s v="Iguales que cuando iba todos los días a la oficina"/>
    <s v="Igual que cuando iba todos los días a la oficina"/>
    <s v="Mayor que cuando iba todos los días a la oficina"/>
    <m/>
    <s v="301+ empleados"/>
    <n v="0"/>
  </r>
  <r>
    <s v="Colombia"/>
    <s v="36+ años"/>
    <s v="Masculino"/>
    <s v="Pregrado"/>
    <s v="&lt;5 años"/>
    <s v="Coordinado de proyectos BIM"/>
    <s v="Cloud engineer"/>
    <s v="&lt;50 empleados"/>
    <s v="Fábrica de Software"/>
    <s v="Local"/>
    <s v="A veces"/>
    <s v="Alto"/>
    <s v="4-5 días"/>
    <s v="Ninguno"/>
    <s v="Remota ( todos los días en casa)"/>
    <s v="Impuesta por la empresa"/>
    <s v="En desacuerdo"/>
    <s v="Igual que cuando iba todos los días a la oficina"/>
    <s v="Menor que cuando iba todos los días a la oficina"/>
    <s v="Menor que cuando iba todos los días a la oficina"/>
    <s v="Muy diferentes que cuando iba todos los días a la oficina, ahora necesito muchas menos horas para hacer lo mismo"/>
    <s v="Todas por videoconferencia"/>
    <s v="Menor que cuando eran en la oficina"/>
    <s v="Mayor que cuando iba todos los días a la oficina"/>
    <s v="Mucho Mayor que cuando iba todos los días a la oficina"/>
    <s v="Igual que cuando iba todos los días a la oficina"/>
    <s v="Igual que cuando iba todos los días a la oficina"/>
    <x v="1"/>
    <x v="3"/>
    <x v="1"/>
    <s v="Igual que cuando iba todos los días a la oficina"/>
    <x v="2"/>
    <s v="Igual que cuando iba todos los días a la oficina"/>
    <s v="Igual que cuando iba todos los días a la oficina"/>
    <s v="Igual que cuando iba todos los días a la oficina"/>
    <s v="Igual que cuando iba todos los días a la oficina"/>
    <s v="Menos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es que cuando iba todos los días a la oficina"/>
    <s v="Igual que cuando iba todos los días a la oficina"/>
    <s v="Igual que cuando iba todos los días a la oficina"/>
    <s v="Menor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Mucho mayor que cuando iba todos los días a la oficina"/>
    <s v="Iguales que cuando iba todos los días a la oficina"/>
    <s v="Igual que cuando iba todos los días a la oficina"/>
    <s v="Iguales que cuando iba todos los días a la oficina"/>
    <s v="Igual que cuando iba todos los días a la oficina"/>
    <s v="Iguales que cuando iba todos los días a la oficina"/>
    <s v="Iguales que cuando iba todos los días a la oficina"/>
    <s v="Igual que cuando iba todos los días a la oficina"/>
    <s v="Igual que cuando iba todos los días a la oficina"/>
    <s v="Iguales que cuando iba todos los días a la oficina"/>
    <s v="Igual que cuando iba todos los días a la oficina"/>
    <s v="Igual que cuando iba todos los días a la oficina"/>
    <s v="Igual que cuando iba todos los días a la oficina"/>
    <s v="Iguales que cuando iba todos los días a la oficina"/>
    <s v="Igual que cuando iba todos los días a la oficina"/>
    <s v="Mayor que cuando iba todos los días a la oficina"/>
    <s v="Mayor que cuando iba todos los días a la oficina"/>
    <s v="Mucho mayor que cuando iba todos los días a la oficina"/>
    <s v="Igual que cuando iba todos los días a la oficina"/>
    <s v="Igual que cuando iba todos los días a la oficina"/>
    <s v="Mayor que cuando iba todos los días a la oficina"/>
    <s v="Mucho Mayor que cuando iba todos los días a la oficina"/>
    <s v="Mayor que cuando iba todos los días a la oficina"/>
    <s v="Igual que cuando iba todos los días a la oficina"/>
    <s v="Igual que cuando iba todos los días a la oficina"/>
    <s v="Iguales que cuando iba todos los días a la oficina"/>
    <s v="Igual que cuando iba todos los días a la oficina"/>
    <s v="Mucho Mayor que cuando iba todos los días a la oficina"/>
    <s v="Igual que cuando iba todos los días a la oficina"/>
    <s v="Menor que cuando iba todos los días a la oficina"/>
    <s v="Igual que cuando iba todos los días a la oficina"/>
    <s v="Mucho menor que cuando iba todos los días a la oficina"/>
    <s v="Igual que cuando iba todos los días a la oficina"/>
    <s v="Igual que cuando iba todos los días a la oficina"/>
    <s v="Mucho menor que cuando iba todos los días a la oficina"/>
    <s v="Igual que cuando iba todos los días a la oficina"/>
    <s v="Igual que cuando iba todos los días a la oficina"/>
    <s v="Menor que cuando iba todos los días a la oficina"/>
    <s v="Iguales que cuando iba todos los días a la oficina"/>
    <s v="Igual que cuando iba todos los días a la oficina"/>
    <s v="Mayor que cuando iba todos los días a la oficina"/>
    <m/>
    <s v="&lt;301 empleados"/>
    <n v="0"/>
  </r>
  <r>
    <s v="Colombia"/>
    <s v="36+ años"/>
    <s v="Femenino"/>
    <s v="POSTGRADOS"/>
    <s v="5-10 años"/>
    <s v="COORDINADOR MEDICO"/>
    <s v="COORDINADOR DE DATA CLINICAL ANALYTICS"/>
    <s v="&gt;500 empleados."/>
    <s v="Empresa que subcontrata (outsourcing) los servicios de otra del mismo país"/>
    <s v="Local"/>
    <s v="Casi Nunca"/>
    <s v="Alto"/>
    <s v="4-5 días"/>
    <s v="&gt;5 días"/>
    <s v="Presencial (todos los días en la oficina)"/>
    <s v="Impuesta por la empresa"/>
    <s v="En desacuerdo"/>
    <s v="Igual que cuando iba todos los días a la oficina"/>
    <s v="Igual que cuando iba todos los días a la oficina"/>
    <s v="Igual que cuando iba todos los días a la oficina"/>
    <s v="Iguales que cuando iba todos los días a la oficina"/>
    <s v="La Mitad por videoconferencia y la mitad presencial"/>
    <s v="Mucho Mayor que cuando eran en la oficina"/>
    <s v="Igual que cuando iba todos los días a la oficina"/>
    <s v="Igual que cuando iba todos los días a la oficina"/>
    <s v="Igual que cuando iba todos los días a la oficina"/>
    <s v="Igual que cuando iba todos los días a la oficina"/>
    <x v="1"/>
    <x v="2"/>
    <x v="1"/>
    <s v="Igual que cuando iba todos los días a la oficina"/>
    <x v="2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es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es que cuando iba todos los días a la oficina"/>
    <s v="Igual que cuando iba todos los días a la oficina"/>
    <s v="Iguales que cuando iba todos los días a la oficina"/>
    <s v="Igual que cuando iba todos los días a la oficina"/>
    <s v="Iguales que cuando iba todos los días a la oficina"/>
    <s v="Iguales que cuando iba todos los días a la oficina"/>
    <s v="Igual que cuando iba todos los días a la oficina"/>
    <s v="Igual que cuando iba todos los días a la oficina"/>
    <s v="Iguales que cuando iba todos los días a la oficina"/>
    <s v="Igual que cuando iba todos los días a la oficina"/>
    <s v="Igual que cuando iba todos los días a la oficina"/>
    <s v="Igual que cuando iba todos los días a la oficina"/>
    <s v="Iguales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es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es que cuando iba todos los días a la oficina"/>
    <s v="Igual que cuando iba todos los días a la oficina"/>
    <s v="Igual que cuando iba todos los días a la oficina"/>
    <m/>
    <s v="301+ empleados"/>
    <n v="1"/>
  </r>
  <r>
    <s v="Colombia"/>
    <s v="36+ años"/>
    <s v="Masculino"/>
    <s v="Profesional"/>
    <s v="&lt;5 años"/>
    <s v="Desarrollador"/>
    <s v="Ingeniero de desarrollo"/>
    <s v="&lt;50 empleados"/>
    <s v="Empresa que subcontrata (outsourcing) los servicios de otra del mismo país"/>
    <s v="Local"/>
    <s v="Nunca"/>
    <s v="Alto"/>
    <s v="4-5 días"/>
    <s v="Ninguno"/>
    <s v="Híbrida casa (más días en casa que en la oficina)"/>
    <s v="Consensuada por las dos partes"/>
    <s v="En desacuerdo"/>
    <s v="Menor que cuando iba todos los días a la oficina"/>
    <s v="Mucho menor que cuando iba todos los días a la oficina"/>
    <s v="Menor que cuando iba todos los días a la oficina"/>
    <s v="Muy diferentes que cuando iba todos los días a la oficina, ahora necesito muchas menos horas para hacer lo mismo"/>
    <s v="Casi todas por videoconferencia"/>
    <s v="Menor que cuando eran en la oficina"/>
    <s v="Igual que cuando iba todos los días a la oficina"/>
    <s v="Mayor que cuando iba todos los días a la oficina"/>
    <s v="Mayor que cuando iba todos los días a la oficina"/>
    <s v="Mayor que cuando iba todos los días a la oficina"/>
    <x v="4"/>
    <x v="3"/>
    <x v="1"/>
    <s v="Igual que cuando iba todos los días a la oficina"/>
    <x v="3"/>
    <s v="No tengo la información para contestar a la pregunta"/>
    <s v="No trabajo con personas de distintas culturas"/>
    <s v="No trabajo con personas con un horario distinto al mío"/>
    <s v="No trabajo  con personas que se encuentran geográficamente distribuidas"/>
    <s v="No tengo la información para contestar a la pregunta"/>
    <s v="Menos que cuando iba todos los días a la oficina"/>
    <s v="Mas que cuando iba todos los días a la oficina"/>
    <s v="Mas que cuando iba todos los días a la oficina"/>
    <s v="Mucho mas que cuando iba todos los días a la oficina"/>
    <s v="Iguales que cuando iba todos los días a la oficina"/>
    <s v="Igual que cuando iba todos los días a la oficina"/>
    <s v="Igual que cuando iba todos los días a la oficina"/>
    <s v="Menor que cuando iba todos los días a la oficina"/>
    <s v="Mayor que cuando iba todos los días a la oficina"/>
    <s v="Menor que cuando iba todos los días a la oficina"/>
    <s v="Igual que cuando iba todos los días a la oficina"/>
    <s v="Igual que cuando iba todos los días a la oficina"/>
    <s v="Mayor que cuando iba todos los días a la oficina"/>
    <s v="Mayores que cuando iba todos los días a la oficina"/>
    <s v="Mayor que cuando iba todos los días a la oficina"/>
    <s v="No hay diferencias culturales en mi equipo"/>
    <s v="Igual que cuando iba todos los días a la oficina"/>
    <s v="No tengo la información para contestar a la pregunta"/>
    <s v="No tengo que utilizar diferentes idiomas en mi trabajo"/>
    <s v="No trabajo con personas con distintos horarios"/>
    <s v="Igual que cuando iba todos los días a la oficina"/>
    <s v="Menores que cuando iba todos los días a la oficina"/>
    <s v="Mayor que cuando iba todos los días a la oficina"/>
    <s v="No tengo la información para contestar a la pregunta"/>
    <s v="No tengo la información para contestar a la pregunta"/>
    <s v="Mayores que cuando iba todos los días a la oficina"/>
    <s v="Igual que cuando iba todos los días a la oficina"/>
    <s v="Menor que cuando iba todos los días a la oficina"/>
    <s v="Menor que cuando iba todos los días a la oficina"/>
    <s v="Igual que cuando iba todos los días a la oficina"/>
    <s v="Menor que cuando iba todos los días a la oficina"/>
    <s v="Igual que cuando iba todos los días a la oficina"/>
    <s v="Mayor que cuando iba todos los días a la oficina"/>
    <s v="Igual que cuando iba todos los días a la oficina"/>
    <s v="Igual que cuando iba todos los días a la oficina"/>
    <s v="Menor que cuando iba todos los días a la oficina"/>
    <s v="Menos que cuando iba todos los días a la oficina"/>
    <s v="Mucho menores que cuando iba todos los días a la oficina"/>
    <s v="Igual que cuando iba todos los días a la oficina"/>
    <s v="Mayor que cuando iba todos los días a la oficina"/>
    <s v="Menor que cuando iba todos los días a la oficina"/>
    <s v="Igual que cuando iba todos los días a la oficina"/>
    <s v="Mayor que cuando iba todos los días a la oficina"/>
    <s v="Menor que cuando iba todos los días a la oficina"/>
    <s v="Igual que cuando iba todos los días a la oficina"/>
    <s v="Mayor que cuando iba todos los días a la oficina"/>
    <s v="Mucho menor que cuando iba todos los días a la oficina"/>
    <s v="Menor que cuando iba todos los días a la oficina"/>
    <s v="Mucho Mayor que cuando iba todos los días a la oficina"/>
    <s v="Menor que cuando iba todos los días a la oficina"/>
    <s v="Mucho Mayores que cuando iba todos los días a la oficina"/>
    <s v="Mucho menor que cuando iba todos los días a la oficina"/>
    <s v="Igual que cuando iba todos los días a la oficina"/>
    <s v="c.ramirezr2@uniandes.edu.co"/>
    <s v="&lt;301 empleados"/>
    <n v="0"/>
  </r>
  <r>
    <s v="Colombia"/>
    <s v="36+ años"/>
    <s v="Masculino"/>
    <s v="Maestría"/>
    <s v="5-10 años"/>
    <s v="Desarrollador de software"/>
    <s v="Arquitecto de soluciones"/>
    <s v="51-150 empleados"/>
    <s v="Empresa que desarrolla software a medida partiendo desde cero"/>
    <s v="Multinacional"/>
    <s v="Muy Frecuentemente"/>
    <s v="Alto"/>
    <s v="4-5 días"/>
    <s v="Ninguno"/>
    <s v="Remota ( todos los días en casa)"/>
    <s v="Consensuada por las dos partes"/>
    <s v="Totalmente en desacuerdo"/>
    <s v="Igual que cuando iba todos los días a la oficina"/>
    <s v="Menor que cuando iba todos los días a la oficina"/>
    <s v="Menor que cuando iba todos los días a la oficina"/>
    <s v="Diferentes que cuando iba todos los días a la oficina, ahora necesito menos horas para hacer lo mismo"/>
    <s v="Todas por videoconferencia"/>
    <s v="Mayor que cuando eran en la oficina"/>
    <s v="Mayor que cuando iba todos los días a la oficina"/>
    <s v="Mucho Mayor que cuando iba todos los días a la oficina"/>
    <s v="Igual que cuando iba todos los días a la oficina"/>
    <s v="Mayor que cuando iba todos los días a la oficina"/>
    <x v="2"/>
    <x v="1"/>
    <x v="1"/>
    <s v="Menor que cuando iba todos los días a la oficina"/>
    <x v="1"/>
    <s v="Más que cuando iba todos los días a la oficina"/>
    <s v="Más que cuando iba todos los días a la oficina"/>
    <s v="Más que cuando iba todos los días a la oficina"/>
    <s v="Más que cuando iba todos los días a la oficina"/>
    <s v="Mucho más que cuando iba todos los días a la oficina"/>
    <s v="Mas que cuando iba todos los días a la oficina"/>
    <s v="Mucho más que cuando iba todos los días a la oficina"/>
    <s v="Mas que cuando iba todos los días a la oficina"/>
    <s v="Mas que cuando iba todos los días a la oficina"/>
    <s v="Iguales que cuando iba todos los días a la oficina"/>
    <s v="Igual que cuando iba todos los días a la oficina"/>
    <s v="Menor que cuando iba todos los días a la oficina"/>
    <s v="Mayor que cuando iba todos los días a la oficina"/>
    <s v="Mayor que cuando iba todos los días a la oficina"/>
    <s v="Menor que cuando iba todos los días a la oficina"/>
    <s v="Menor que cuando iba todos los días a la oficina"/>
    <s v="Igual que cuando iba todos los días a la oficina"/>
    <s v="Mucho mayor que cuando iba todos los días a la oficina"/>
    <s v="Iguales que cuando iba todos los días a la oficina"/>
    <s v="Menor que cuando iba todos los días a la oficina"/>
    <s v="Mucho mayores que cuando iba todos los días a la oficina"/>
    <s v="Menor que cuando iba todos los días a la oficina"/>
    <s v="Mayores que cuando iba todos los días a la oficina"/>
    <s v="Iguales que cuando iba todos los días a la oficina"/>
    <s v="Más que cuando iba todos los días a la oficina"/>
    <s v="Menor que cuando iba todos los días a la oficina"/>
    <s v="Menores que cuando iba todos los días a la oficina"/>
    <s v="Mayor que cuando iba todos los días a la oficina"/>
    <s v="Menor que cuando iba todos los días a la oficina"/>
    <s v="Más que cuando iba todos los días a la oficina"/>
    <s v="Iguales que cuando iba todos los días a la oficina"/>
    <s v="Igual que cuando iba todos los días a la oficina"/>
    <s v="Mucho Mayor que cuando iba todos los días a la oficina"/>
    <s v="Mayor que cuando iba todos los días a la oficina"/>
    <s v="Mucho mayor que cuando iba todos los días a la oficina"/>
    <s v="Igual que cuando iba todos los días a la oficina"/>
    <s v="Igual que cuando iba todos los días a la oficina"/>
    <s v="Igual que cuando iba todos los días a la oficina"/>
    <s v="Mucho Mayor que cuando iba todos los días a la oficina"/>
    <s v="Menor que cuando iba todos los días a la oficina"/>
    <s v="Mayor que cuando iba todos los días a la oficina"/>
    <s v="Igual que cuando iba todos los días a la oficina"/>
    <s v="Menores que cuando iba todos los días a la oficina"/>
    <s v="Menor que cuando iba todos los días a la oficina"/>
    <s v="Mayor que cuando iba todos los días a la oficina"/>
    <s v="Menor que cuando iba todos los días a la oficina"/>
    <s v="Menor que cuando iba todos los días a la oficina"/>
    <s v="Igual que cuando iba todos los días a la oficina"/>
    <s v="Igual que cuando iba todos los días a la oficina"/>
    <s v="Peor que cuando iba todos los días a la oficina"/>
    <s v="Igual que cuando iba todos los días a la oficina"/>
    <s v="Mucho menor que cuando iba todos los días a la oficina"/>
    <s v="Menor que cuando iba todos los días a la oficina"/>
    <s v="Mucho Mayor que cuando iba todos los días a la oficina"/>
    <s v="Igual que cuando iba todos los días a la oficina"/>
    <s v="Iguales que cuando iba todos los días a la oficina"/>
    <s v="Igual que cuando iba todos los días a la oficina"/>
    <s v="Igual que cuando iba todos los días a la oficina"/>
    <s v="julio.castellanos@gravity9.com"/>
    <s v="&lt;301 empleados"/>
    <n v="0"/>
  </r>
  <r>
    <s v="Colombia"/>
    <s v="36+ años"/>
    <s v="Masculino"/>
    <s v="Profesional"/>
    <s v="11-20 años"/>
    <s v="Desarrollador de software"/>
    <s v="Desarrollador de software"/>
    <s v="&gt;500 empleados."/>
    <s v="Fábrica de Software"/>
    <s v="Multinacional"/>
    <s v="A veces"/>
    <s v="Alto"/>
    <s v="4-5 días"/>
    <s v="Ninguno"/>
    <s v="Remota ( todos los días en casa)"/>
    <s v="Consensuada por las dos partes"/>
    <s v="No sé"/>
    <s v="Igual que cuando iba todos los días a la oficina"/>
    <s v="Mayor que cuando iba todos los días a la oficina"/>
    <s v="Menor que cuando iba todos los días a la oficina"/>
    <s v="Diferentes que cuando iba todos los días a la oficina, ahora necesito menos horas para hacer lo mismo"/>
    <s v="Todas por videoconferencia"/>
    <s v="Menor que cuando eran en la oficina"/>
    <s v="Mucho Mayor que cuando iba todos los días a la oficina"/>
    <s v="Mayor que cuando iba todos los días a la oficina"/>
    <s v="Igual que cuando iba todos los días a la oficina"/>
    <s v="Igual que cuando iba todos los días a la oficina"/>
    <x v="2"/>
    <x v="0"/>
    <x v="1"/>
    <s v="Igual que cuando iba todos los días a la oficina"/>
    <x v="2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Menos que cuando iba todos los días a la oficina"/>
    <s v="Igual que cuando iba todos los días a la oficina"/>
    <s v="Igual que cuando iba todos los días a la oficina"/>
    <s v="Igual que cuando iba todos los días a la oficina"/>
    <s v="Iguales que cuando iba todos los días a la oficina"/>
    <s v="Igual que cuando iba todos los días a la oficina"/>
    <s v="Igual que cuando iba todos los días a la oficina"/>
    <s v="Mucho menor que cuando iba todos los días a la oficina"/>
    <s v="Menor que cuando iba todos los días a la oficina"/>
    <s v="Menor que cuando iba todos los días a la oficina"/>
    <s v="Menor que cuando iba todos los días a la oficina"/>
    <s v="Menor que cuando iba todos los días a la oficina"/>
    <s v="Mayor que cuando iba todos los días a la oficina"/>
    <s v="Mayores que cuando iba todos los días a la oficina"/>
    <s v="Mayor que cuando iba todos los días a la oficina"/>
    <s v="Iguales que cuando iba todos los días a la oficina"/>
    <s v="Mayor que cuando iba todos los días a la oficina"/>
    <s v="Menores que cuando iba todos los días a la oficina"/>
    <s v="Iguales que cuando iba todos los días a la oficina"/>
    <s v="Igual que cuando iba todos los días a la oficina"/>
    <s v="Igual que cuando iba todos los días a la oficina"/>
    <s v="Menores que cuando iba todos los días a la oficina"/>
    <s v="Mayor que cuando iba todos los días a la oficina"/>
    <s v="Igual que cuando iba todos los días a la oficina"/>
    <s v="Igual que cuando iba todos los días a la oficina"/>
    <s v="Iguales que cuando iba todos los días a la oficina"/>
    <s v="Igual que cuando iba todos los días a la oficina"/>
    <s v="Mayor que cuando iba todos los días a la oficina"/>
    <s v="Mucho Mayor que cuando iba todos los días a la oficina"/>
    <s v="Mucho mayor que cuando iba todos los días a la oficina"/>
    <s v="Igual que cuando iba todos los días a la oficina"/>
    <s v="Igual que cuando iba todos los días a la oficina"/>
    <s v="Igual que cuando iba todos los días a la oficina"/>
    <s v="Mayor que cuando iba todos los días a la oficina"/>
    <s v="Mayor que cuando iba todos los días a la oficina"/>
    <s v="Igual que cuando iba todos los días a la oficina"/>
    <s v="Igual que cuando iba todos los días a la oficina"/>
    <s v="Iguales que cuando iba todos los días a la oficina"/>
    <s v="Mayor que cuando iba todos los días a la oficina"/>
    <s v="Mayor que cuando iba todos los días a la oficina"/>
    <s v="Igual que cuando iba todos los días a la oficina"/>
    <s v="Menor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Mayor que cuando iba todos los días a la oficina"/>
    <s v="Mayor que cuando iba todos los días a la oficina"/>
    <s v="Igual que cuando iba todos los días a la oficina"/>
    <s v="Iguales que cuando iba todos los días a la oficina"/>
    <s v="Igual que cuando iba todos los días a la oficina"/>
    <s v="Mayor que cuando iba todos los días a la oficina"/>
    <m/>
    <s v="301+ empleados"/>
    <n v="0"/>
  </r>
  <r>
    <s v="Colombia"/>
    <s v="36+ años"/>
    <s v="Masculino"/>
    <s v="Profesional"/>
    <s v="11-20 años"/>
    <s v="Desarrollador de Software"/>
    <s v="Software Engineer"/>
    <s v="301-500 empleados"/>
    <s v="Fábrica de Software"/>
    <s v="Multinacional"/>
    <s v="A veces"/>
    <s v="Alto"/>
    <s v="4-5 días"/>
    <s v="Ninguno"/>
    <s v="Remota ( todos los días en casa)"/>
    <s v="Impuesta por la empresa"/>
    <s v="En desacuerdo"/>
    <s v="Igual que cuando iba todos los días a la oficina"/>
    <s v="Igual que cuando iba todos los días a la oficina"/>
    <s v="Igual que cuando iba todos los días a la oficina"/>
    <s v="Iguales que cuando iba todos los días a la oficina"/>
    <s v="Todas por videoconferencia"/>
    <s v="Mucho menor que cuando eran en la oficina"/>
    <s v="Mayor que cuando iba todos los días a la oficina"/>
    <s v="Igual que cuando iba todos los días a la oficina"/>
    <s v="Mayor que cuando iba todos los días a la oficina"/>
    <s v="Menor que cuando iba todos los días a la oficina"/>
    <x v="0"/>
    <x v="1"/>
    <x v="3"/>
    <s v="Igual que cuando iba todos los días a la oficina"/>
    <x v="1"/>
    <s v="Igual que cuando iba todos los días a la oficina"/>
    <s v="No trabajo con personas de distintas culturas"/>
    <s v="Igual que cuando iba todos los días a la oficina"/>
    <s v="Igual que cuando iba todos los días a la oficina"/>
    <s v="Igual que cuando iba todos los días a la oficina"/>
    <s v="Igual que cuando iba todos los días a la oficina"/>
    <s v="Menos que cuando iba todos los días a la oficina"/>
    <s v="Igual que cuando iba todos los días a la oficina"/>
    <s v="Igual que cuando iba todos los días a la oficina"/>
    <s v="Iguales que cuando iba todos los días a la oficina"/>
    <s v="Igual que cuando iba todos los días a la oficina"/>
    <s v="Menor que cuando iba todos los días a la oficina"/>
    <s v="Menor que cuando iba todos los días a la oficina"/>
    <s v="Menor que cuando iba todos los días a la oficina"/>
    <s v="Mayor que cuando iba todos los días a la oficina"/>
    <s v="Igual que cuando iba todos los días a la oficina"/>
    <s v="Igual que cuando iba todos los días a la oficina"/>
    <s v="Mucho mayor que cuando iba todos los días a la oficina"/>
    <s v="Iguales que cuando iba todos los días a la oficina"/>
    <s v="Igual que cuando iba todos los días a la oficina"/>
    <s v="Iguales que cuando iba todos los días a la oficina"/>
    <s v="Igual que cuando iba todos los días a la oficina"/>
    <s v="Iguales que cuando iba todos los días a la oficina"/>
    <s v="No tengo que utilizar diferentes idiomas en mi trabajo"/>
    <s v="Igual que cuando iba todos los días a la oficina"/>
    <s v="Menor que cuando iba todos los días a la oficina"/>
    <s v="Mayores que cuando iba todos los días a la oficina"/>
    <s v="Menor que cuando iba todos los días a la oficina"/>
    <s v="Igual que cuando iba todos los días a la oficina"/>
    <s v="Igual que cuando iba todos los días a la oficina"/>
    <s v="Iguales que cuando iba todos los días a la oficina"/>
    <s v="Igual que cuando iba todos los días a la oficina"/>
    <s v="Mayor que cuando iba todos los días a la oficina"/>
    <s v="Menor que cuando iba todos los días a la oficina"/>
    <s v="Mucho mayor que cuando iba todos los días a la oficina"/>
    <s v="Mucho Mayor que cuando iba todos los días a la oficina"/>
    <s v="Igual que cuando iba todos los días a la oficina"/>
    <s v="Mucho Mayor que cuando iba todos los días a la oficina"/>
    <s v="Mucho Mayor que cuando iba todos los días a la oficina"/>
    <s v="Igual que cuando iba todos los días a la oficina"/>
    <s v="Igual que cuando iba todos los días a la oficina"/>
    <s v="Igual que cuando iba todos los días a la oficina"/>
    <s v="Menores que cuando iba todos los días a la oficina"/>
    <s v="Igual que cuando iba todos los días a la oficina"/>
    <s v="Mucho Mayor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Mucho Mejor que cuando iba todos los días a la oficina"/>
    <s v="Mayor que cuando iba todos los días a la oficina"/>
    <s v="Menor que cuando iba todos los días a la oficina"/>
    <s v="Igual que cuando iba todos los días a la oficina"/>
    <s v="Mayor que cuando iba todos los días a la oficina"/>
    <s v="Mucho menor que cuando iba todos los días a la oficina"/>
    <s v="Iguales que cuando iba todos los días a la oficina"/>
    <s v="Igual que cuando iba todos los días a la oficina"/>
    <s v="Igual que cuando iba todos los días a la oficina"/>
    <s v="helvertw@gmail.com"/>
    <s v="301+ empleados"/>
    <n v="0"/>
  </r>
  <r>
    <s v="Colombia"/>
    <s v="36+ años"/>
    <s v="Masculino"/>
    <s v="Maestría"/>
    <s v="11-20 años"/>
    <s v="Desarrollador de Software"/>
    <s v="Arquitecto de soluciones"/>
    <s v="&gt;500 empleados."/>
    <s v="Fábrica de Software"/>
    <s v="Multinacional"/>
    <s v="Muy Frecuentemente"/>
    <s v="Alto"/>
    <s v="4-5 días"/>
    <s v="Ninguno"/>
    <s v="Híbrida casa (más días en casa que en la oficina)"/>
    <s v="Impuesta por la empresa"/>
    <s v="De acuerdo"/>
    <s v="Mucho mayor que cuando iba todos los días a la oficina"/>
    <s v="Mucho Mayor que cuando iba todos los días a la oficina"/>
    <s v="Mayor que cuando iba todos los días a la oficina"/>
    <s v="Diferentes que cuando iba todos los días a la oficina, ahora necesito menos horas para hacer lo mismo"/>
    <s v="Todas por videoconferencia"/>
    <s v="Igual que cuando eran en la oficina"/>
    <s v="Mucho Mayor que cuando iba todos los días a la oficina"/>
    <s v="Mucho Mayor que cuando iba todos los días a la oficina"/>
    <s v="Mucho Mayor que cuando iba todos los días a la oficina"/>
    <s v="Mucho Mayor que cuando iba todos los días a la oficina"/>
    <x v="0"/>
    <x v="0"/>
    <x v="2"/>
    <s v="Mucho mayor que cuando iba todos los días a la oficina"/>
    <x v="2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Mayores que cuando iba todos los días a la oficina"/>
    <s v="Igual que cuando iba todos los días a la oficina"/>
    <s v="Menor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Mayor que cuando iba todos los días a la oficina"/>
    <s v="Iguales que cuando iba todos los días a la oficina"/>
    <s v="Igual que cuando iba todos los días a la oficina"/>
    <s v="Iguales que cuando iba todos los días a la oficina"/>
    <s v="Igual que cuando iba todos los días a la oficina"/>
    <s v="Iguales que cuando iba todos los días a la oficina"/>
    <s v="Iguales que cuando iba todos los días a la oficina"/>
    <s v="Igual que cuando iba todos los días a la oficina"/>
    <s v="Mayor que cuando iba todos los días a la oficina"/>
    <s v="Menores que cuando iba todos los días a la oficina"/>
    <s v="Mayor que cuando iba todos los días a la oficina"/>
    <s v="Mayor que cuando iba todos los días a la oficina"/>
    <s v="Igual que cuando iba todos los días a la oficina"/>
    <s v="Iguales que cuando iba todos los días a la oficina"/>
    <s v="Igual que cuando iba todos los días a la oficina"/>
    <s v="Mucho Mayor que cuando iba todos los días a la oficina"/>
    <s v="Mucho Mayor que cuando iba todos los días a la oficina"/>
    <s v="Mucho mayor que cuando iba todos los días a la oficina"/>
    <s v="Mayor que cuando iba todos los días a la oficina"/>
    <s v="Mayor que cuando iba todos los días a la oficina"/>
    <s v="Mucho Mayor que cuando iba todos los días a la oficina"/>
    <s v="Mucho Mayor que cuando iba todos los días a la oficina"/>
    <s v="Mucho Mayor que cuando iba todos los días a la oficina"/>
    <s v="Igual que cuando iba todos los días a la oficina"/>
    <s v="Mucho mas que cuando iba todos los días a la oficina"/>
    <s v="Mucho Mayores que cuando iba todos los días a la oficina"/>
    <s v="Mucho Mayor que cuando iba todos los días a la oficina"/>
    <s v="Mucho Mayor que cuando iba todos los días a la oficina"/>
    <s v="Mucho Mayor que cuando iba todos los días a la oficina"/>
    <s v="Menor que cuando iba todos los días a la oficina"/>
    <s v="Mucho Mayor que cuando iba todos los días a la oficina"/>
    <s v="Igual que cuando iba todos los días a la oficina"/>
    <s v="Mejor que cuando iba todos los días a la oficina"/>
    <s v="Mayor que cuando iba todos los días a la oficina"/>
    <s v="Igual que cuando iba todos los días a la oficina"/>
    <s v="Igual que cuando iba todos los días a la oficina"/>
    <s v="Mucho Mayor que cuando iba todos los días a la oficina"/>
    <s v="Menor que cuando iba todos los días a la oficina"/>
    <s v="Mayores que cuando iba todos los días a la oficina"/>
    <s v="Mucho Mayor que cuando iba todos los días a la oficina"/>
    <s v="Mucho mayor que cuando iba todos los días a la oficina"/>
    <m/>
    <s v="301+ empleados"/>
    <n v="0"/>
  </r>
  <r>
    <s v="Colombia"/>
    <s v="36+ años"/>
    <s v="Masculino"/>
    <s v="Maestría"/>
    <s v="11-20 años"/>
    <s v="Desarrollador Experto"/>
    <s v="Desarrollador Experto"/>
    <s v="&gt;500 empleados."/>
    <s v="Fábrica de Software"/>
    <s v="Multinacional"/>
    <s v="Muy Frecuentemente"/>
    <s v="Alto"/>
    <s v="4-5 días"/>
    <s v="Ninguno"/>
    <s v="Remota ( todos los días en casa)"/>
    <s v="Consensuada por las dos partes"/>
    <s v="Totalmente de acuerdo"/>
    <s v="Menor que cuando iba todos los días a la oficina"/>
    <s v="Menor que cuando iba todos los días a la oficina"/>
    <s v="Menor que cuando iba todos los días a la oficina"/>
    <s v="Iguales que cuando iba todos los días a la oficina"/>
    <s v="Todas por videoconferencia"/>
    <s v="Menor que cuando eran en la oficina"/>
    <s v="Mucho Mayor que cuando iba todos los días a la oficina"/>
    <s v="Mucho Mayor que cuando iba todos los días a la oficina"/>
    <s v="Mayor que cuando iba todos los días a la oficina"/>
    <s v="Mayor que cuando iba todos los días a la oficina"/>
    <x v="0"/>
    <x v="0"/>
    <x v="2"/>
    <s v="Igual que cuando iba todos los días a la oficina"/>
    <x v="4"/>
    <s v="Menos que cuando iba todos los días a la oficina"/>
    <s v="Menos que cuando iba todos los días a la oficina"/>
    <s v="Menos que cuando iba todos los días a la oficina"/>
    <s v="Menos que cuando iba todos los días a la oficina"/>
    <s v="Menos que cuando iba todos los días a la oficina"/>
    <s v="Menos que cuando iba todos los días a la oficina"/>
    <s v="Igual que cuando iba todos los días a la oficina"/>
    <s v="Menos que cuando iba todos los días a la oficina"/>
    <s v="Menos que cuando iba todos los días a la oficina"/>
    <s v="Mayores que cuando iba todos los días a la oficina"/>
    <s v="Mayor que cuando iba todos los días a la oficina"/>
    <s v="Mayor que cuando iba todos los días a la oficina"/>
    <s v="Mucho menor que cuando iba todos los días a la oficina"/>
    <s v="Mucho Mayor que cuando iba todos los días a la oficina"/>
    <s v="Menor que cuando iba todos los días a la oficina"/>
    <s v="Menor que cuando iba todos los días a la oficina"/>
    <s v="Menor que cuando iba todos los días a la oficina"/>
    <s v="Mucho mayor que cuando iba todos los días a la oficina"/>
    <s v="Mucho menores que cuando iba todos los días a la oficina"/>
    <s v="Mucho mayor que cuando iba todos los días a la oficina"/>
    <s v="Menores que cuando iba todos los días a la oficina"/>
    <s v="Mucho mayor que cuando iba todos los días a la oficina"/>
    <s v="Menores que cuando iba todos los días a la oficina"/>
    <s v="Menores que cuando iba todos los días a la oficina"/>
    <s v="No trabajo con personas con distintos horarios"/>
    <s v="Mayor que cuando iba todos los días a la oficina"/>
    <s v="Mucho menores que cuando iba todos los días a la oficina"/>
    <s v="Mucho mayor que cuando iba todos los días a la oficina"/>
    <s v="Menor que cuando iba todos los días a la oficina"/>
    <s v="Menos que cuando iba todos los días a la oficina"/>
    <s v="Menores que cuando iba todos los días a la oficina"/>
    <s v="Igual que cuando iba todos los días a la oficina"/>
    <s v="Mucho Mayor que cuando iba todos los días a la oficina"/>
    <s v="Mucho Mayor que cuando iba todos los días a la oficina"/>
    <s v="Mucho mayor que cuando iba todos los días a la oficina"/>
    <s v="Mucho Mayor que cuando iba todos los días a la oficina"/>
    <s v="Mucho Mayor que cuando iba todos los días a la oficina"/>
    <s v="Mucho Mayor que cuando iba todos los días a la oficina"/>
    <s v="Mucho Mayor que cuando iba todos los días a la oficina"/>
    <s v="Mucho Mayor que cuando iba todos los días a la oficina"/>
    <s v="Menor que cuando iba todos los días a la oficina"/>
    <s v="Mas que cuando iba todos los días a la oficina"/>
    <s v="Mayores que cuando iba todos los días a la oficina"/>
    <s v="Mucho Mayor que cuando iba todos los días a la oficina"/>
    <s v="Mucho Mayor que cuando iba todos los días a la oficina"/>
    <s v="Mayor que cuando iba todos los días a la oficina"/>
    <s v="Mucho menor que cuando iba todos los días a la oficina"/>
    <s v="Mucho Mayor que cuando iba todos los días a la oficina"/>
    <s v="Menor que cuando iba todos los días a la oficina"/>
    <s v="Mucho Mejor que cuando iba todos los días a la oficina"/>
    <s v="Mayor que cuando iba todos los días a la oficina"/>
    <s v="Menor que cuando iba todos los días a la oficina"/>
    <s v="Mayor que cuando iba todos los días a la oficina"/>
    <s v="Mayor que cuando iba todos los días a la oficina"/>
    <s v="Menor que cuando iba todos los días a la oficina"/>
    <s v="Menores que cuando iba todos los días a la oficina"/>
    <s v="Mucho Mayor que cuando iba todos los días a la oficina"/>
    <s v="Mucho mayor que cuando iba todos los días a la oficina"/>
    <s v="jm.garciad1@uniandes.edu.co"/>
    <s v="301+ empleados"/>
    <n v="0"/>
  </r>
  <r>
    <s v="Colombia"/>
    <s v="36+ años"/>
    <s v="Femenino"/>
    <s v="Postgrado"/>
    <s v="11-20 años"/>
    <s v="En una empresa anterior era Arquitecta SAS"/>
    <s v="Arquitecta Cloud"/>
    <s v="51-150 empleados"/>
    <s v="Empresa que desarrolla software a medida partiendo desde cero"/>
    <s v="Multinacional"/>
    <s v="Frecuentemente"/>
    <s v="Alto"/>
    <s v="4-5 días"/>
    <s v="Ninguno"/>
    <s v="Remota ( todos los días en casa)"/>
    <s v="Consensuada por las dos partes"/>
    <s v="De acuerdo"/>
    <s v="Igual que cuando iba todos los días a la oficina"/>
    <s v="Igual que cuando iba todos los días a la oficina"/>
    <s v="Mayor que cuando iba todos los días a la oficina"/>
    <s v="Diferentes que cuando iba todos los días a la oficina, ahora necesito menos horas para hacer lo mismo"/>
    <s v="Todas por videoconferencia"/>
    <s v="Mucho menor que cuando eran en la oficina"/>
    <s v="Mayor que cuando iba todos los días a la oficina"/>
    <s v="Igual que cuando iba todos los días a la oficina"/>
    <s v="Igual que cuando iba todos los días a la oficina"/>
    <s v="Mayor que cuando iba todos los días a la oficina"/>
    <x v="0"/>
    <x v="2"/>
    <x v="0"/>
    <s v="Mayor que cuando iba todos los días a la oficina"/>
    <x v="2"/>
    <s v="Igual que cuando iba todos los días a la oficina"/>
    <s v="Mucho menos que cuando iba todos los días a la oficina"/>
    <s v="Menos que cuando iba todos los días a la oficina"/>
    <s v="Mucho menos que cuando iba todos los días a la oficina"/>
    <s v="Igual que cuando iba todos los días a la oficina"/>
    <s v="Menos que cuando iba todos los días a la oficina"/>
    <s v="Mas que cuando iba todos los días a la oficina"/>
    <s v="Igual que cuando iba todos los días a la oficina"/>
    <s v="Mas que cuando iba todos los días a la oficina"/>
    <s v="Mayores que cuando iba todos los días a la oficina"/>
    <s v="Mayor que cuando iba todos los días a la oficina"/>
    <s v="Igual que cuando iba todos los días a la oficina"/>
    <s v="Mucho menor que cuando iba todos los días a la oficina"/>
    <s v="Mucho Mayor que cuando iba todos los días a la oficina"/>
    <s v="Mucho menor que cuando iba todos los días a la oficina"/>
    <s v="Mucho menor que cuando iba todos los días a la oficina"/>
    <s v="Igual que cuando iba todos los días a la oficina"/>
    <s v="Mucho mayor que cuando iba todos los días a la oficina"/>
    <s v="Iguales que cuando iba todos los días a la oficina"/>
    <s v="Mayor que cuando iba todos los días a la oficina"/>
    <s v="Iguales que cuando iba todos los días a la oficina"/>
    <s v="Igual que cuando iba todos los días a la oficina"/>
    <s v="Iguales que cuando iba todos los días a la oficina"/>
    <s v="Iguales que cuando iba todos los días a la oficina"/>
    <s v="Igual que cuando iba todos los días a la oficina"/>
    <s v="Igual que cuando iba todos los días a la oficina"/>
    <s v="Mucho menores que cuando iba todos los días a la oficina"/>
    <s v="Mucho mayor que cuando iba todos los días a la oficina"/>
    <s v="Igual que cuando iba todos los días a la oficina"/>
    <s v="Menos que cuando iba todos los días a la oficina"/>
    <s v="Iguales que cuando iba todos los días a la oficina"/>
    <s v="Mejor que cuando iba todos los días a la oficina"/>
    <s v="Mucho Mayor que cuando iba todos los días a la oficina"/>
    <s v="Mucho Mayor que cuando iba todos los días a la oficina"/>
    <s v="Mucho mayor que cuando iba todos los días a la oficina"/>
    <s v="Mucho Mayor que cuando iba todos los días a la oficina"/>
    <s v="Igual que cuando iba todos los días a la oficina"/>
    <s v="Mucho Mayor que cuando iba todos los días a la oficina"/>
    <s v="Mucho Mayor que cuando iba todos los días a la oficina"/>
    <s v="Mucho Mayor que cuando iba todos los días a la oficina"/>
    <s v="Igual que cuando iba todos los días a la oficina"/>
    <s v="Igual que cuando iba todos los días a la oficina"/>
    <s v="Mayores que cuando iba todos los días a la oficina"/>
    <s v="Igual que cuando iba todos los días a la oficina"/>
    <s v="Mucho Mayor que cuando iba todos los días a la oficina"/>
    <s v="Mayor que cuando iba todos los días a la oficina"/>
    <s v="Menor que cuando iba todos los días a la oficina"/>
    <s v="Mayor que cuando iba todos los días a la oficina"/>
    <s v="Menor que cuando iba todos los días a la oficina"/>
    <s v="Mucho Mejor que cuando iba todos los días a la oficina"/>
    <s v="Igual que cuando iba todos los días a la oficina"/>
    <s v="Mucho menor que cuando iba todos los días a la oficina"/>
    <s v="Igual que cuando iba todos los días a la oficina"/>
    <s v="Mucho Mayor que cuando iba todos los días a la oficina"/>
    <s v="Menor que cuando iba todos los días a la oficina"/>
    <s v="Iguales que cuando iba todos los días a la oficina"/>
    <s v="Igual que cuando iba todos los días a la oficina"/>
    <s v="Mayor que cuando iba todos los días a la oficina"/>
    <s v="iyepes0120@gmail.com"/>
    <s v="&lt;301 empleados"/>
    <n v="0"/>
  </r>
  <r>
    <s v="Colombia"/>
    <s v="36+ años"/>
    <s v="Masculino"/>
    <s v="Phd"/>
    <s v="11-20 años"/>
    <s v="Gerente de TI"/>
    <s v="Ceo"/>
    <s v="51-150 empleados"/>
    <s v="Fábrica de Software"/>
    <s v="Nacional (múltiples sedes en el mismo país)"/>
    <s v="A veces"/>
    <s v="Alto"/>
    <s v="4-5 días"/>
    <s v="1-2 días"/>
    <s v="Híbrida oficina (más días en la oficina que en casa)"/>
    <s v="Decidida por ti"/>
    <s v="De acuerdo"/>
    <s v="Igual que cuando iba todos los días a la oficina"/>
    <s v="Igual que cuando iba todos los días a la oficina"/>
    <s v="Igual que cuando iba todos los días a la oficina"/>
    <s v="Diferentes que cuando iba todos los días a la oficina, ahora necesito menos horas para hacer lo mismo"/>
    <s v="Casi todas por videoconferencia"/>
    <s v="Igual que cuando eran en la oficina"/>
    <s v="Mucho Mayor que cuando iba todos los días a la oficina"/>
    <s v="Mucho Mayor que cuando iba todos los días a la oficina"/>
    <s v="Mucho Mayor que cuando iba todos los días a la oficina"/>
    <s v="Igual que cuando iba todos los días a la oficina"/>
    <x v="1"/>
    <x v="0"/>
    <x v="2"/>
    <s v="Igual que cuando iba todos los días a la oficina"/>
    <x v="5"/>
    <s v="Mucho menos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Menos que cuando iba todos los días a la oficina"/>
    <s v="Mas que cuando iba todos los días a la oficina"/>
    <s v="Igual que cuando iba todos los días a la oficina"/>
    <s v="Igual que cuando iba todos los días a la oficina"/>
    <s v="Iguales que cuando iba todos los días a la oficina"/>
    <s v="Igual que cuando iba todos los días a la oficina"/>
    <s v="Igual que cuando iba todos los días a la oficina"/>
    <s v="Menor que cuando iba todos los días a la oficina"/>
    <s v="Igual que cuando iba todos los días a la oficina"/>
    <s v="Igual que cuando iba todos los días a la oficina"/>
    <s v="Menor que cuando iba todos los días a la oficina"/>
    <s v="Igual que cuando iba todos los días a la oficina"/>
    <s v="Mucho mayor que cuando iba todos los días a la oficina"/>
    <s v="Iguales que cuando iba todos los días a la oficina"/>
    <s v="Mucho mayor que cuando iba todos los días a la oficina"/>
    <s v="Mayores que cuando iba todos los días a la oficina"/>
    <s v="Mayor que cuando iba todos los días a la oficina"/>
    <s v="Mayores que cuando iba todos los días a la oficina"/>
    <s v="Iguales que cuando iba todos los días a la oficina"/>
    <s v="Igual que cuando iba todos los días a la oficina"/>
    <s v="Igual que cuando iba todos los días a la oficina"/>
    <s v="Mayores que cuando iba todos los días a la oficina"/>
    <s v="Mucho mayor que cuando iba todos los días a la oficina"/>
    <s v="Igual que cuando iba todos los días a la oficina"/>
    <s v="Igual que cuando iba todos los días a la oficina"/>
    <s v="Iguales que cuando iba todos los días a la oficina"/>
    <s v="Mejor que cuando iba todos los días a la oficina"/>
    <s v="Mucho Mayor que cuando iba todos los días a la oficina"/>
    <s v="Mayor que cuando iba todos los días a la oficina"/>
    <s v="Mayor que cuando iba todos los días a la oficina"/>
    <s v="Mayor que cuando iba todos los días a la oficina"/>
    <s v="Mayor que cuando iba todos los días a la oficina"/>
    <s v="Igual que cuando iba todos los días a la oficina"/>
    <s v="Mayor que cuando iba todos los días a la oficina"/>
    <s v="Mayor que cuando iba todos los días a la oficina"/>
    <s v="Igual que cuando iba todos los días a la oficina"/>
    <s v="Mas que cuando iba todos los días a la oficina"/>
    <s v="Mayores que cuando iba todos los días a la oficina"/>
    <s v="Mayor que cuando iba todos los días a la oficina"/>
    <s v="Mayor que cuando iba todos los días a la oficina"/>
    <s v="Igual que cuando iba todos los días a la oficina"/>
    <s v="Igual que cuando iba todos los días a la oficina"/>
    <s v="Menor que cuando iba todos los días a la oficina"/>
    <s v="Igual que cuando iba todos los días a la oficina"/>
    <s v="Mejor que cuando iba todos los días a la oficina"/>
    <s v="Igual que cuando iba todos los días a la oficina"/>
    <s v="Menor que cuando iba todos los días a la oficina"/>
    <s v="Igual que cuando iba todos los días a la oficina"/>
    <s v="Mucho Mayor que cuando iba todos los días a la oficina"/>
    <s v="Menor que cuando iba todos los días a la oficina"/>
    <s v="Menores que cuando iba todos los días a la oficina"/>
    <s v="Mayor que cuando iba todos los días a la oficina"/>
    <s v="Mucho mayor que cuando iba todos los días a la oficina"/>
    <m/>
    <s v="&lt;301 empleados"/>
    <n v="1"/>
  </r>
  <r>
    <s v="Colombia"/>
    <s v="36+ años"/>
    <s v="Femenino"/>
    <s v="Maestria"/>
    <s v="5-10 años"/>
    <s v="Ingeniera de desarrollo de software Senior"/>
    <s v="Coordinadora Equipo de Desarrollo de Software"/>
    <s v="301-500 empleados"/>
    <s v="Empresa que desarrolla software a medida partiendo desde cero"/>
    <s v="Local"/>
    <s v="A veces"/>
    <s v="Alto"/>
    <s v="4-5 días"/>
    <s v="Ninguno"/>
    <s v="Remota ( todos los días en casa)"/>
    <s v="Consensuada por las dos partes"/>
    <s v="Totalmente en desacuerdo"/>
    <s v="Igual que cuando iba todos los días a la oficina"/>
    <s v="Igual que cuando iba todos los días a la oficina"/>
    <s v="Igual que cuando iba todos los días a la oficina"/>
    <s v="Muy diferentes que cuando iba todos los días a la oficina, ahora necesito muchas menos horas para hacer lo mismo"/>
    <s v="Casi todas por videoconferencia"/>
    <s v="Menor que cuando eran en la oficina"/>
    <s v="Mayor que cuando iba todos los días a la oficina"/>
    <s v="Mucho Mayor que cuando iba todos los días a la oficina"/>
    <s v="Mayor que cuando iba todos los días a la oficina"/>
    <s v="Mayor que cuando iba todos los días a la oficina"/>
    <x v="2"/>
    <x v="1"/>
    <x v="1"/>
    <s v="Mayor que cuando iba todos los días a la oficina"/>
    <x v="2"/>
    <s v="Igual que cuando iba todos los días a la oficina"/>
    <s v="Igual que cuando iba todos los días a la oficina"/>
    <s v="No trabajo con personas con un horario distinto al mío"/>
    <s v="Mucho menos que cuando iba todos los días a la oficina"/>
    <s v="Más que cuando iba todos los días a la oficina"/>
    <s v="Igual que cuando iba todos los días a la oficina"/>
    <s v="Mas que cuando iba todos los días a la oficina"/>
    <s v="Igual que cuando iba todos los días a la oficina"/>
    <s v="Igual que cuando iba todos los días a la oficina"/>
    <s v="Mayores que cuando iba todos los días a la oficina"/>
    <s v="Mayor que cuando iba todos los días a la oficina"/>
    <s v="Igual que cuando iba todos los días a la oficina"/>
    <s v="Mayor que cuando iba todos los días a la oficina"/>
    <s v="Igual que cuando iba todos los días a la oficina"/>
    <s v="Igual que cuando iba todos los días a la oficina"/>
    <s v="Mayor que cuando iba todos los días a la oficina"/>
    <s v="Menor que cuando iba todos los días a la oficina"/>
    <s v="Mayor que cuando iba todos los días a la oficina"/>
    <s v="Menores que cuando iba todos los días a la oficina"/>
    <s v="Mucho mayor que cuando iba todos los días a la oficina"/>
    <s v="Menores que cuando iba todos los días a la oficina"/>
    <s v="Mucho mayor que cuando iba todos los días a la oficina"/>
    <s v="Iguales que cuando iba todos los días a la oficina"/>
    <s v="Iguales que cuando iba todos los días a la oficina"/>
    <s v="No trabajo con personas con distintos horarios"/>
    <s v="Igual que cuando iba todos los días a la oficina"/>
    <s v="Menores que cuando iba todos los días a la oficina"/>
    <s v="Mayor que cuando iba todos los días a la oficina"/>
    <s v="Igual que cuando iba todos los días a la oficina"/>
    <s v="Igual que cuando iba todos los días a la oficina"/>
    <s v="Iguales que cuando iba todos los días a la oficina"/>
    <s v="Mejor que cuando iba todos los días a la oficina"/>
    <s v="Mucho Mayor que cuando iba todos los días a la oficina"/>
    <s v="Mucho Mayor que cuando iba todos los días a la oficina"/>
    <s v="Mucho mayor que cuando iba todos los días a la oficina"/>
    <s v="Igual que cuando iba todos los días a la oficina"/>
    <s v="Mayor que cuando iba todos los días a la oficina"/>
    <s v="Igual que cuando iba todos los días a la oficina"/>
    <s v="Mucho Mayor que cuando iba todos los días a la oficina"/>
    <s v="Mucho Mayor que cuando iba todos los días a la oficina"/>
    <s v="Igual que cuando iba todos los días a la oficina"/>
    <s v="Igual que cuando iba todos los días a la oficina"/>
    <s v="Iguales que cuando iba todos los días a la oficina"/>
    <s v="Mayor que cuando iba todos los días a la oficina"/>
    <s v="Menor que cuando iba todos los días a la oficina"/>
    <s v="Igual que cuando iba todos los días a la oficina"/>
    <s v="Menor que cuando iba todos los días a la oficina"/>
    <s v="Mayor que cuando iba todos los días a la oficina"/>
    <s v="Igual que cuando iba todos los días a la oficina"/>
    <s v="Mejor que cuando iba todos los días a la oficina"/>
    <s v="Igual que cuando iba todos los días a la oficina"/>
    <s v="Menor que cuando iba todos los días a la oficina"/>
    <s v="Mayor que cuando iba todos los días a la oficina"/>
    <s v="Mayor que cuando iba todos los días a la oficina"/>
    <s v="Menor que cuando iba todos los días a la oficina"/>
    <s v="Iguales que cuando iba todos los días a la oficina"/>
    <s v="Igual que cuando iba todos los días a la oficina"/>
    <s v="Mayor que cuando iba todos los días a la oficina"/>
    <s v="cv.hernandez10@uniandes.edu.co"/>
    <s v="301+ empleados"/>
    <n v="1"/>
  </r>
  <r>
    <s v="Colombia"/>
    <s v="36+ años"/>
    <s v="Masculino"/>
    <s v="Postgrado"/>
    <s v="11-20 años"/>
    <s v="Ingeniero de desarrollo de software"/>
    <s v="Director de desarrollo de soluciones"/>
    <s v="151-300 empleados"/>
    <s v="Empresa que desarrolla software a medida partiendo desde cero"/>
    <s v="Local"/>
    <s v="Casi Nunca"/>
    <s v="Alto"/>
    <s v="4-5 días"/>
    <s v="Ninguno"/>
    <s v="Remota ( todos los días en casa)"/>
    <s v="Consensuada por las dos partes"/>
    <s v="De acuerdo"/>
    <s v="Mayor que cuando iba todos los días a la oficina"/>
    <s v="Igual que cuando iba todos los días a la oficina"/>
    <s v="Igual que cuando iba todos los días a la oficina"/>
    <s v="Iguales que cuando iba todos los días a la oficina"/>
    <s v="Todas por videoconferencia"/>
    <s v="Mucho menor que cuando eran en la oficina"/>
    <s v="Mucho Mayor que cuando iba todos los días a la oficina"/>
    <s v="Mucho Mayor que cuando iba todos los días a la oficina"/>
    <s v="Mayor que cuando iba todos los días a la oficina"/>
    <s v="Mayor que cuando iba todos los días a la oficina"/>
    <x v="0"/>
    <x v="1"/>
    <x v="0"/>
    <s v="Mucho mayor que cuando iba todos los días a la oficina"/>
    <x v="4"/>
    <s v="Menos que cuando iba todos los días a la oficina"/>
    <s v="Igual que cuando iba todos los días a la oficina"/>
    <s v="No trabajo con personas con un horario distinto al mío"/>
    <s v="Igual que cuando iba todos los días a la oficina"/>
    <s v="Menos que cuando iba todos los días a la oficina"/>
    <s v="Mucho menos que cuando iba todos los días a la oficina"/>
    <s v="Igual que cuando iba todos los días a la oficina"/>
    <s v="Igual que cuando iba todos los días a la oficina"/>
    <s v="Igual que cuando iba todos los días a la oficina"/>
    <s v="Mayores que cuando iba todos los días a la oficina"/>
    <s v="Mayor que cuando iba todos los días a la oficina"/>
    <s v="Mayor que cuando iba todos los días a la oficina"/>
    <s v="Mucho menor que cuando iba todos los días a la oficina"/>
    <s v="Igual que cuando iba todos los días a la oficina"/>
    <s v="Mucho menor que cuando iba todos los días a la oficina"/>
    <s v="Mucho menor que cuando iba todos los días a la oficina"/>
    <s v="Igual que cuando iba todos los días a la oficina"/>
    <s v="Mucho mayor que cuando iba todos los días a la oficina"/>
    <s v="Iguales que cuando iba todos los días a la oficina"/>
    <s v="Mucho mayor que cuando iba todos los días a la oficina"/>
    <s v="Iguales que cuando iba todos los días a la oficina"/>
    <s v="Mayor que cuando iba todos los días a la oficina"/>
    <s v="Iguales que cuando iba todos los días a la oficina"/>
    <s v="No tengo que utilizar diferentes idiomas en mi trabajo"/>
    <s v="No trabajo con personas con distintos horarios"/>
    <s v="Igual que cuando iba todos los días a la oficina"/>
    <s v="Mucho menores que cuando iba todos los días a la oficina"/>
    <s v="Mucho mayor que cuando iba todos los días a la oficina"/>
    <s v="Igual que cuando iba todos los días a la oficina"/>
    <s v="Menos que cuando iba todos los días a la oficina"/>
    <s v="Menores que cuando iba todos los días a la oficina"/>
    <s v="Mucho mejor que cuando iba todos los días a la oficina"/>
    <s v="Mucho Mayor que cuando iba todos los días a la oficina"/>
    <s v="Mucho Mayor que cuando iba todos los días a la oficina"/>
    <s v="Mucho mayor que cuando iba todos los días a la oficina"/>
    <s v="Igual que cuando iba todos los días a la oficina"/>
    <s v="Igual que cuando iba todos los días a la oficina"/>
    <s v="Mayor que cuando iba todos los días a la oficina"/>
    <s v="Mucho Mayor que cuando iba todos los días a la oficina"/>
    <s v="Mucho menor que cuando iba todos los días a la oficina"/>
    <s v="Mayor que cuando iba todos los días a la oficina"/>
    <s v="Igual que cuando iba todos los días a la oficina"/>
    <s v="Iguales que cuando iba todos los días a la oficina"/>
    <s v="Mayor que cuando iba todos los días a la oficina"/>
    <s v="Mucho Mayor que cuando iba todos los días a la oficina"/>
    <s v="Igual que cuando iba todos los días a la oficina"/>
    <s v="Menor que cuando iba todos los días a la oficina"/>
    <s v="Mayor que cuando iba todos los días a la oficina"/>
    <s v="Menor que cuando iba todos los días a la oficina"/>
    <s v="Mucho Mejor que cuando iba todos los días a la oficina"/>
    <s v="Igual que cuando iba todos los días a la oficina"/>
    <s v="Igual que cuando iba todos los días a la oficina"/>
    <s v="Mayor que cuando iba todos los días a la oficina"/>
    <s v="Mayor que cuando iba todos los días a la oficina"/>
    <s v="Mucho menor que cuando iba todos los días a la oficina"/>
    <s v="Menores que cuando iba todos los días a la oficina"/>
    <s v="Mayor que cuando iba todos los días a la oficina"/>
    <s v="Mayor que cuando iba todos los días a la oficina"/>
    <s v="john.osorioc@outlook.com"/>
    <s v="&lt;301 empleados"/>
    <n v="1"/>
  </r>
  <r>
    <s v="Colombia"/>
    <s v="36+ años"/>
    <s v="Masculino"/>
    <s v="Maestria"/>
    <s v="21-30 años"/>
    <s v="Ingeniero de TI"/>
    <s v="Arquitecto TI"/>
    <s v="&gt;500 empleados."/>
    <s v="Empresa que subcontrata (outsourcing) los servicios de otra del mismo país"/>
    <s v="Local"/>
    <s v="Casi Nunca"/>
    <s v="Alto"/>
    <s v="4-5 días"/>
    <s v="Ninguno"/>
    <s v="Híbrida oficina (más días en la oficina que en casa)"/>
    <s v="Impuesta por la empresa"/>
    <s v="En desacuerdo"/>
    <s v="Menor que cuando iba todos los días a la oficina"/>
    <s v="Menor que cuando iba todos los días a la oficina"/>
    <s v="Menor que cuando iba todos los días a la oficina"/>
    <s v="Diferentes que cuando iba todos los días a la oficina, ahora necesito más horas para hacer lo mismo"/>
    <s v="Casi todas por videoconferencia"/>
    <s v="Menor que cuando eran en la oficina"/>
    <s v="Mucho menor que cuando iba todos los días a la oficina"/>
    <s v="Menor que cuando iba todos los días a la oficina"/>
    <s v="Menor que cuando iba todos los días a la oficina"/>
    <s v="Igual que cuando iba todos los días a la oficina"/>
    <x v="4"/>
    <x v="2"/>
    <x v="0"/>
    <s v="Menor que cuando iba todos los días a la oficina"/>
    <x v="1"/>
    <s v="Más que cuando iba todos los días a la oficina"/>
    <s v="Más que cuando iba todos los días a la oficina"/>
    <s v="Igual que cuando iba todos los días a la oficina"/>
    <s v="Igual que cuando iba todos los días a la oficina"/>
    <s v="Igual que cuando iba todos los días a la oficina"/>
    <s v="Mas que cuando iba todos los días a la oficina"/>
    <s v="Mas que cuando iba todos los días a la oficina"/>
    <s v="Mas que cuando iba todos los días a la oficina"/>
    <s v="Igual que cuando iba todos los días a la oficina"/>
    <s v="Iguales que cuando iba todos los días a la oficina"/>
    <s v="Mayor que cuando iba todos los días a la oficina"/>
    <s v="Menor que cuando iba todos los días a la oficina"/>
    <s v="Menor que cuando iba todos los días a la oficina"/>
    <s v="Menor que cuando iba todos los días a la oficina"/>
    <s v="Mayor que cuando iba todos los días a la oficina"/>
    <s v="Mayor que cuando iba todos los días a la oficina"/>
    <s v="Igual que cuando iba todos los días a la oficina"/>
    <s v="Menor que cuando iba todos los días a la oficina"/>
    <s v="Iguales que cuando iba todos los días a la oficina"/>
    <s v="Igual que cuando iba todos los días a la oficina"/>
    <s v="Iguales que cuando iba todos los días a la oficina"/>
    <s v="Mayor que cuando iba todos los días a la oficina"/>
    <s v="Mayores que cuando iba todos los días a la oficina"/>
    <s v="Iguales que cuando iba todos los días a la oficina"/>
    <s v="Igual que cuando iba todos los días a la oficina"/>
    <s v="Menor que cuando iba todos los días a la oficina"/>
    <s v="Mayores que cuando iba todos los días a la oficina"/>
    <s v="Mayor que cuando iba todos los días a la oficina"/>
    <s v="Mayor que cuando iba todos los días a la oficina"/>
    <s v="Más que cuando iba todos los días a la oficina"/>
    <s v="Mayores que cuando iba todos los días a la oficina"/>
    <s v="Igual que cuando iba todos los días a la oficina"/>
    <s v="Menor que cuando iba todos los días a la oficina"/>
    <s v="Igual que cuando iba todos los días a la oficina"/>
    <s v="Mayor que cuando iba todos los días a la oficina"/>
    <s v="Menor que cuando iba todos los días a la oficina"/>
    <s v="Menor que cuando iba todos los días a la oficina"/>
    <s v="Igual que cuando iba todos los días a la oficina"/>
    <s v="Mayor que cuando iba todos los días a la oficina"/>
    <s v="Igual que cuando iba todos los días a la oficina"/>
    <s v="Menor que cuando iba todos los días a la oficina"/>
    <s v="Menos que cuando iba todos los días a la oficina"/>
    <s v="Menores que cuando iba todos los días a la oficina"/>
    <s v="Igual que cuando iba todos los días a la oficina"/>
    <s v="Menor que cuando iba todos los días a la oficina"/>
    <s v="Menor que cuando iba todos los días a la oficina"/>
    <s v="Mayor que cuando iba todos los días a la oficina"/>
    <s v="Menor que cuando iba todos los días a la oficina"/>
    <s v="Igual que cuando iba todos los días a la oficina"/>
    <s v="Mejor que cuando iba todos los días a la oficina"/>
    <s v="Menor que cuando iba todos los días a la oficina"/>
    <s v="Menor que cuando iba todos los días a la oficina"/>
    <s v="Menor que cuando iba todos los días a la oficina"/>
    <s v="Mayor que cuando iba todos los días a la oficina"/>
    <s v="Menor que cuando iba todos los días a la oficina"/>
    <s v="Mayores que cuando iba todos los días a la oficina"/>
    <s v="Menor que cuando iba todos los días a la oficina"/>
    <s v="Igual que cuando iba todos los días a la oficina"/>
    <m/>
    <s v="301+ empleados"/>
    <n v="0"/>
  </r>
  <r>
    <s v="Colombia"/>
    <s v="36+ años"/>
    <s v="Masculino"/>
    <s v="Magister"/>
    <s v="5-10 años"/>
    <s v="Ingeniero Junior"/>
    <s v="Software Engineer 2"/>
    <s v="301-500 empleados"/>
    <s v="Fábrica de Software"/>
    <s v="Multinacional"/>
    <s v="Frecuentemente"/>
    <s v="Alto"/>
    <s v="4-5 días"/>
    <s v="Ninguno"/>
    <s v="Remota ( todos los días en casa)"/>
    <s v="Consensuada por las dos partes"/>
    <s v="De acuerdo"/>
    <s v="Mayor que cuando iba todos los días a la oficina"/>
    <s v="Mucho Mayor que cuando iba todos los días a la oficina"/>
    <s v="Mayor que cuando iba todos los días a la oficina"/>
    <s v="Diferentes que cuando iba todos los días a la oficina, ahora necesito menos horas para hacer lo mismo"/>
    <s v="Casi todas por videoconferencia"/>
    <s v="Mucho menor que cuando eran en la oficina"/>
    <s v="Mayor que cuando iba todos los días a la oficina"/>
    <s v="Mucho Mayor que cuando iba todos los días a la oficina"/>
    <s v="Mucho Mayor que cuando iba todos los días a la oficina"/>
    <s v="Igual que cuando iba todos los días a la oficina"/>
    <x v="0"/>
    <x v="0"/>
    <x v="2"/>
    <s v="Mucho mayor que cuando iba todos los días a la oficina"/>
    <x v="2"/>
    <s v="Igual que cuando iba todos los días a la oficina"/>
    <s v="Igual que cuando iba todos los días a la oficina"/>
    <s v="Menos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Mayores que cuando iba todos los días a la oficina"/>
    <s v="Mucho Mayor que cuando iba todos los días a la oficina"/>
    <s v="Mucho Mayor que cuando iba todos los días a la oficina"/>
    <s v="Mucho menor que cuando iba todos los días a la oficina"/>
    <s v="Mucho Mayor que cuando iba todos los días a la oficina"/>
    <s v="Igual que cuando iba todos los días a la oficina"/>
    <s v="Igual que cuando iba todos los días a la oficina"/>
    <s v="Igual que cuando iba todos los días a la oficina"/>
    <s v="Mucho mayor que cuando iba todos los días a la oficina"/>
    <s v="Mucho menores que cuando iba todos los días a la oficina"/>
    <s v="Igual que cuando iba todos los días a la oficina"/>
    <s v="Iguales que cuando iba todos los días a la oficina"/>
    <s v="Mayor que cuando iba todos los días a la oficina"/>
    <s v="Iguales que cuando iba todos los días a la oficina"/>
    <s v="Iguales que cuando iba todos los días a la oficina"/>
    <s v="Igual que cuando iba todos los días a la oficina"/>
    <s v="Igual que cuando iba todos los días a la oficina"/>
    <s v="Iguales que cuando iba todos los días a la oficina"/>
    <s v="Mucho mayor que cuando iba todos los días a la oficina"/>
    <s v="Igual que cuando iba todos los días a la oficina"/>
    <s v="Igual que cuando iba todos los días a la oficina"/>
    <s v="Iguales que cuando iba todos los días a la oficina"/>
    <s v="Mucho mejor que cuando iba todos los días a la oficina"/>
    <s v="Mucho Mayor que cuando iba todos los días a la oficina"/>
    <s v="Mayor que cuando iba todos los días a la oficina"/>
    <s v="Mucho mayor que cuando iba todos los días a la oficina"/>
    <s v="Mucho Mayor que cuando iba todos los días a la oficina"/>
    <s v="Mucho Mayor que cuando iba todos los días a la oficina"/>
    <s v="Mayor que cuando iba todos los días a la oficina"/>
    <s v="Mucho Mayor que cuando iba todos los días a la oficina"/>
    <s v="Mayor que cuando iba todos los días a la oficina"/>
    <s v="Igual que cuando iba todos los días a la oficina"/>
    <s v="Igual que cuando iba todos los días a la oficina"/>
    <s v="Iguales que cuando iba todos los días a la oficina"/>
    <s v="Mayor que cuando iba todos los días a la oficina"/>
    <s v="Mucho Mayor que cuando iba todos los días a la oficina"/>
    <s v="Igual que cuando iba todos los días a la oficina"/>
    <s v="Mucho menor que cuando iba todos los días a la oficina"/>
    <s v="Igual que cuando iba todos los días a la oficina"/>
    <s v="Igual que cuando iba todos los días a la oficina"/>
    <s v="Mejor que cuando iba todos los días a la oficina"/>
    <s v="Igual que cuando iba todos los días a la oficina"/>
    <s v="Igual que cuando iba todos los días a la oficina"/>
    <s v="Igual que cuando iba todos los días a la oficina"/>
    <s v="Mucho Mayor que cuando iba todos los días a la oficina"/>
    <s v="Menor que cuando iba todos los días a la oficina"/>
    <s v="Iguales que cuando iba todos los días a la oficina"/>
    <s v="Igual que cuando iba todos los días a la oficina"/>
    <s v="Igual que cuando iba todos los días a la oficina"/>
    <s v="d.chala@uniandes.edu.co"/>
    <s v="301+ empleados"/>
    <n v="0"/>
  </r>
  <r>
    <s v="Colombia"/>
    <s v="36+ años"/>
    <s v="Masculino"/>
    <s v="Maestría"/>
    <s v="&lt;5 años"/>
    <s v="Ingeniero UX"/>
    <s v="Desarrollador de Software"/>
    <s v="&gt;500 empleados."/>
    <s v="Empresa que desarrolla software a medida partiendo desde cero"/>
    <s v="Local"/>
    <s v="Casi Nunca"/>
    <s v="Alto"/>
    <s v="4-5 días"/>
    <s v="Ninguno"/>
    <s v="Remota ( todos los días en casa)"/>
    <s v="Consensuada por las dos partes"/>
    <s v="Totalmente de acuerdo"/>
    <s v="Igual que cuando iba todos los días a la oficina"/>
    <s v="Igual que cuando iba todos los días a la oficina"/>
    <s v="Igual que cuando iba todos los días a la oficina"/>
    <s v="Iguales que cuando iba todos los días a la oficina"/>
    <s v="Todas por videoconferencia"/>
    <s v="Mucho menor que cuando eran en la oficina"/>
    <s v="Mayor que cuando iba todos los días a la oficina"/>
    <s v="Mucho Mayor que cuando iba todos los días a la oficina"/>
    <s v="Mucho Mayor que cuando iba todos los días a la oficina"/>
    <s v="Mayor que cuando iba todos los días a la oficina"/>
    <x v="2"/>
    <x v="1"/>
    <x v="0"/>
    <s v="Mayor que cuando iba todos los días a la oficina"/>
    <x v="2"/>
    <s v="No tengo la información para contestar a la pregunta"/>
    <s v="No trabajo con personas de distintas culturas"/>
    <s v="No trabajo con personas con un horario distinto al mío"/>
    <s v="No trabajo  con personas que se encuentran geográficamente distribuidas"/>
    <s v="No tengo la información para contestar a la pregunta"/>
    <s v="Mas que cuando iba todos los días a la oficina"/>
    <s v="Igual que cuando iba todos los días a la oficina"/>
    <s v="Mas que cuando iba todos los días a la oficina"/>
    <s v="Igual que cuando iba todos los días a la oficina"/>
    <s v="Mucho Mayores que cuando iba todos los días a la oficina"/>
    <s v="Mucho Mayor que cuando iba todos los días a la oficina"/>
    <s v="Mucho Mayor que cuando iba todos los días a la oficina"/>
    <s v="Mucho menor que cuando iba todos los días a la oficina"/>
    <s v="Mucho Mayor que cuando iba todos los días a la oficina"/>
    <s v="No tengo la información para contestar a la pregunta"/>
    <s v="Mucho menor que cuando iba todos los días a la oficina"/>
    <s v="Mucho mayor que cuando iba todos los días a la oficina"/>
    <s v="Mucho mayor que cuando iba todos los días a la oficina"/>
    <s v="Mucho menores que cuando iba todos los días a la oficina"/>
    <s v="Mayor que cuando iba todos los días a la oficina"/>
    <s v="No hay diferencias culturales en mi equipo"/>
    <s v="Mucho mayor que cuando iba todos los días a la oficina"/>
    <s v="Menores que cuando iba todos los días a la oficina"/>
    <s v="No tengo que utilizar diferentes idiomas en mi trabajo"/>
    <s v="No trabajo con personas con distintos horarios"/>
    <s v="Igual que cuando iba todos los días a la oficina"/>
    <s v="Mucho menores que cuando iba todos los días a la oficina"/>
    <s v="Mucho mayor que cuando iba todos los días a la oficina"/>
    <s v="Mucho menor que cuando iba todos los días a la oficina"/>
    <s v="Mucho menos que cuando iba todos los días a la oficina"/>
    <s v="Mayores que cuando iba todos los días a la oficina"/>
    <s v="Igual que cuando iba todos los días a la oficina"/>
    <s v="Mucho Mayor que cuando iba todos los días a la oficina"/>
    <s v="Mucho Mayor que cuando iba todos los días a la oficina"/>
    <s v="Mucho mayor que cuando iba todos los días a la oficina"/>
    <s v="Mucho Mayor que cuando iba todos los días a la oficina"/>
    <s v="Mucho Mayor que cuando iba todos los días a la oficina"/>
    <s v="Mucho Mayor que cuando iba todos los días a la oficina"/>
    <s v="Mucho Mayor que cuando iba todos los días a la oficina"/>
    <s v="Mucho Mayor que cuando iba todos los días a la oficina"/>
    <s v="Mucho mayor que cuando iba todos los días a la oficina"/>
    <s v="Igual que cuando iba todos los días a la oficina"/>
    <s v="Iguales que cuando iba todos los días a la oficina"/>
    <s v="Mayor que cuando iba todos los días a la oficina"/>
    <s v="Mucho Mayor que cuando iba todos los días a la oficina"/>
    <s v="Mucho Mayor que cuando iba todos los días a la oficina"/>
    <s v="Mucho menor que cuando iba todos los días a la oficina"/>
    <s v="Mucho Mayor que cuando iba todos los días a la oficina"/>
    <s v="Mucho Mayor que cuando iba todos los días a la oficina"/>
    <s v="Mucho Mejor que cuando iba todos los días a la oficina"/>
    <s v="Mayor que cuando iba todos los días a la oficina"/>
    <s v="Menor que cuando iba todos los días a la oficina"/>
    <s v="Mucho Mayor que cuando iba todos los días a la oficina"/>
    <s v="Mucho Mayor que cuando iba todos los días a la oficina"/>
    <s v="Igual que cuando iba todos los días a la oficina"/>
    <s v="Mayores que cuando iba todos los días a la oficina"/>
    <s v="Igual que cuando iba todos los días a la oficina"/>
    <s v="Mucho mayor que cuando iba todos los días a la oficina"/>
    <s v="d.martinez1@uniandes.edu.co"/>
    <s v="301+ empleados"/>
    <n v="0"/>
  </r>
  <r>
    <s v="Colombia"/>
    <s v="36+ años"/>
    <s v="Masculino"/>
    <s v="Maestría"/>
    <s v="11-20 años"/>
    <s v="Instructor"/>
    <s v="Gerente de Innovación y Tecnología"/>
    <s v="&gt;500 empleados."/>
    <s v="Empresa que desarrolla software a medida partiendo desde cero"/>
    <s v="Multinacional"/>
    <s v="Casi Nunca"/>
    <s v="Alto"/>
    <s v="4-5 días"/>
    <s v="1-2 días"/>
    <s v="Remota ( todos los días en casa)"/>
    <s v="Decidida por ti"/>
    <s v="De acuerdo"/>
    <s v="Mayor que cuando iba todos los días a la oficina"/>
    <s v="Igual que cuando iba todos los días a la oficina"/>
    <s v="Igual que cuando iba todos los días a la oficina"/>
    <s v="Diferentes que cuando iba todos los días a la oficina, ahora necesito menos horas para hacer lo mismo"/>
    <s v="La Mitad por videoconferencia y la mitad presencial"/>
    <s v="Mucho menor que cuando eran en la oficina"/>
    <s v="Mayor que cuando iba todos los días a la oficina"/>
    <s v="Mucho Mayor que cuando iba todos los días a la oficina"/>
    <s v="Mayor que cuando iba todos los días a la oficina"/>
    <s v="Mayor que cuando iba todos los días a la oficina"/>
    <x v="2"/>
    <x v="1"/>
    <x v="0"/>
    <s v="Mayor que cuando iba todos los días a la oficina"/>
    <x v="0"/>
    <s v="Mucho más que cuando iba todos los días a la oficina"/>
    <s v="Igual que cuando iba todos los días a la oficina"/>
    <s v="Igual que cuando iba todos los días a la oficina"/>
    <s v="No trabajo  con personas que se encuentran geográficamente distribuidas"/>
    <s v="Mucho más que cuando iba todos los días a la oficina"/>
    <s v="Menos que cuando iba todos los días a la oficina"/>
    <s v="Menos que cuando iba todos los días a la oficina"/>
    <s v="Menos que cuando iba todos los días a la oficina"/>
    <s v="Menos que cuando iba todos los días a la oficina"/>
    <s v="Mayores que cuando iba todos los días a la oficina"/>
    <s v="Mayor que cuando iba todos los días a la oficina"/>
    <s v="Mayor que cuando iba todos los días a la oficina"/>
    <s v="Menor que cuando iba todos los días a la oficina"/>
    <s v="Mucho Mayor que cuando iba todos los días a la oficina"/>
    <s v="Mucho Mayor que cuando iba todos los días a la oficina"/>
    <s v="Mucho menor que cuando iba todos los días a la oficina"/>
    <s v="Mucho menor que cuando iba todos los días a la oficina"/>
    <s v="Mucho mayor que cuando iba todos los días a la oficina"/>
    <s v="Iguales que cuando iba todos los días a la oficina"/>
    <s v="Mayor que cuando iba todos los días a la oficina"/>
    <s v="No hay diferencias culturales en mi equipo"/>
    <s v="Mucho mayor que cuando iba todos los días a la oficina"/>
    <s v="Menores que cuando iba todos los días a la oficina"/>
    <s v="No tengo que utilizar diferentes idiomas en mi trabajo"/>
    <s v="No trabajo con personas con distintos horarios"/>
    <s v="Igual que cuando iba todos los días a la oficina"/>
    <s v="Menores que cuando iba todos los días a la oficina"/>
    <s v="Menor que cuando iba todos los días a la oficina"/>
    <s v="Menor que cuando iba todos los días a la oficina"/>
    <s v="Menos que cuando iba todos los días a la oficina"/>
    <s v="Menores que cuando iba todos los días a la oficina"/>
    <s v="Mucho mejor que cuando iba todos los días a la oficina"/>
    <s v="Mucho Mayor que cuando iba todos los días a la oficina"/>
    <s v="Mayor que cuando iba todos los días a la oficina"/>
    <s v="Mayor que cuando iba todos los días a la oficina"/>
    <s v="Mucho Mayor que cuando iba todos los días a la oficina"/>
    <s v="Mucho Mayor que cuando iba todos los días a la oficina"/>
    <s v="Mucho Mayor que cuando iba todos los días a la oficina"/>
    <s v="Mucho Mayor que cuando iba todos los días a la oficina"/>
    <s v="Mucho Mayor que cuando iba todos los días a la oficina"/>
    <s v="Mucho mayor que cuando iba todos los días a la oficina"/>
    <s v="Mucho mas que cuando iba todos los días a la oficina"/>
    <s v="Mayores que cuando iba todos los días a la oficina"/>
    <s v="Mayor que cuando iba todos los días a la oficina"/>
    <s v="Mucho Mayor que cuando iba todos los días a la oficina"/>
    <s v="Mayor que cuando iba todos los días a la oficina"/>
    <s v="Mayor que cuando iba todos los días a la oficina"/>
    <s v="Mayor que cuando iba todos los días a la oficina"/>
    <s v="Mayor que cuando iba todos los días a la oficina"/>
    <s v="Mejor que cuando iba todos los días a la oficina"/>
    <s v="Mayor que cuando iba todos los días a la oficina"/>
    <s v="Mayor que cuando iba todos los días a la oficina"/>
    <s v="Mayor que cuando iba todos los días a la oficina"/>
    <s v="Mayor que cuando iba todos los días a la oficina"/>
    <s v="Mayor que cuando iba todos los días a la oficina"/>
    <s v="Menores que cuando iba todos los días a la oficina"/>
    <s v="Mucho Mayor que cuando iba todos los días a la oficina"/>
    <s v="Mucho mayor que cuando iba todos los días a la oficina"/>
    <s v="arielqs@gmail.com"/>
    <s v="301+ empleados"/>
    <n v="1"/>
  </r>
  <r>
    <s v="Colombia"/>
    <s v="36+ años"/>
    <s v="Masculino"/>
    <s v="Master"/>
    <s v="&lt;5 años"/>
    <s v="Lider de Proyectos"/>
    <s v="Scrum Master"/>
    <s v="151-300 empleados"/>
    <s v="Empresa que desarrolla software a medida partiendo desde cero"/>
    <s v="Multinacional"/>
    <s v="Muy Frecuentemente"/>
    <s v="Alto"/>
    <s v="4-5 días"/>
    <s v="1-2 días"/>
    <s v="Híbrida oficina (más días en la oficina que en casa)"/>
    <s v="Impuesta por la empresa"/>
    <s v="En desacuerdo"/>
    <s v="Mucho menor que cuando iba todos los días a la oficina"/>
    <s v="Igual que cuando iba todos los días a la oficina"/>
    <s v="Menor que cuando iba todos los días a la oficina"/>
    <s v="Diferentes que cuando iba todos los días a la oficina, ahora necesito más horas para hacer lo mismo"/>
    <s v="Todas por videoconferencia"/>
    <s v="Menor que cuando eran en la oficina"/>
    <s v="Mucho menor que cuando iba todos los días a la oficina"/>
    <s v="Menor que cuando iba todos los días a la oficina"/>
    <s v="Menor que cuando iba todos los días a la oficina"/>
    <s v="Menor que cuando iba todos los días a la oficina"/>
    <x v="1"/>
    <x v="2"/>
    <x v="1"/>
    <s v="Mayor que cuando iba todos los días a la oficina"/>
    <x v="4"/>
    <s v="Mucho más que cuando iba todos los días a la oficina"/>
    <s v="Igual que cuando iba todos los días a la oficina"/>
    <s v="Igual que cuando iba todos los días a la oficina"/>
    <s v="Igual que cuando iba todos los días a la oficina"/>
    <s v="Más que cuando iba todos los días a la oficina"/>
    <s v="Mas que cuando iba todos los días a la oficina"/>
    <s v="Mucho más que cuando iba todos los días a la oficina"/>
    <s v="Mas que cuando iba todos los días a la oficina"/>
    <s v="Igual que cuando iba todos los días a la oficina"/>
    <s v="Iguales que cuando iba todos los días a la oficina"/>
    <s v="Igual que cuando iba todos los días a la oficina"/>
    <s v="Igual que cuando iba todos los días a la oficina"/>
    <s v="Mayor que cuando iba todos los días a la oficina"/>
    <s v="Menor que cuando iba todos los días a la oficina"/>
    <s v="Igual que cuando iba todos los días a la oficina"/>
    <s v="Mucho Mayor que cuando iba todos los días a la oficina"/>
    <s v="Igual que cuando iba todos los días a la oficina"/>
    <s v="Mucho mayor que cuando iba todos los días a la oficina"/>
    <s v="Iguales que cuando iba todos los días a la oficina"/>
    <s v="Mayor que cuando iba todos los días a la oficina"/>
    <s v="Iguales que cuando iba todos los días a la oficina"/>
    <s v="Mayor que cuando iba todos los días a la oficina"/>
    <s v="Mucho mayores que cuando iba todos los días a la oficina"/>
    <s v="Iguales que cuando iba todos los días a la oficina"/>
    <s v="Igual que cuando iba todos los días a la oficina"/>
    <s v="Menor que cuando iba todos los días a la oficina"/>
    <s v="Mayores que cuando iba todos los días a la oficina"/>
    <s v="Mucho menor que cuando iba todos los días a la oficina"/>
    <s v="Mayor que cuando iba todos los días a la oficina"/>
    <s v="Más que cuando iba todos los días a la oficina"/>
    <s v="Mayores que cuando iba todos los días a la oficina"/>
    <s v="Peor que cuando iba todos los días a la oficina"/>
    <s v="Igual que cuando iba todos los días a la oficina"/>
    <s v="Mucho menor que cuando iba todos los días a la oficina"/>
    <s v="Mucho mayor que cuando iba todos los días a la oficina"/>
    <s v="Mayor que cuando iba todos los días a la oficina"/>
    <s v="Mayor que cuando iba todos los días a la oficina"/>
    <s v="Igual que cuando iba todos los días a la oficina"/>
    <s v="Menor que cuando iba todos los días a la oficina"/>
    <s v="Menor que cuando iba todos los días a la oficina"/>
    <s v="Igual que cuando iba todos los días a la oficina"/>
    <s v="Igual que cuando iba todos los días a la oficina"/>
    <s v="Mucho Mayores que cuando iba todos los días a la oficina"/>
    <s v="Mucho menor que cuando iba todos los días a la oficina"/>
    <s v="Mucho Mayor que cuando iba todos los días a la oficina"/>
    <s v="Igual que cuando iba todos los días a la oficina"/>
    <s v="Mayor que cuando iba todos los días a la oficina"/>
    <s v="Mucho menor que cuando iba todos los días a la oficina"/>
    <s v="Mucho Mayor que cuando iba todos los días a la oficina"/>
    <s v="Igual que cuando iba todos los días a la oficina"/>
    <s v="Mucho menor que cuando iba todos los días a la oficina"/>
    <s v="Menor que cuando iba todos los días a la oficina"/>
    <s v="Mucho menor que cuando iba todos los días a la oficina"/>
    <s v="Mucho Mayor que cuando iba todos los días a la oficina"/>
    <s v="Mayor que cuando iba todos los días a la oficina"/>
    <s v="Mayores que cuando iba todos los días a la oficina"/>
    <s v="Menor que cuando iba todos los días a la oficina"/>
    <s v="Igual que cuando iba todos los días a la oficina"/>
    <s v="evargas@sproutloud.com"/>
    <s v="&lt;301 empleados"/>
    <n v="0"/>
  </r>
  <r>
    <s v="Colombia"/>
    <s v="36+ años"/>
    <s v="Masculino"/>
    <s v="Cursando Maestria"/>
    <s v="5-10 años"/>
    <s v="No he trabajado de forma precial al 100%, he trabajado hibrido en terpel (4 meses) como agile project manager y en Sumer (2 meses) como product Manager"/>
    <s v="Product Manager"/>
    <s v="301-500 empleados"/>
    <s v="Empresa que desarrolla software a medida partiendo desde cero"/>
    <s v="Multinacional"/>
    <s v="Frecuentemente"/>
    <s v="Alto"/>
    <s v="4-5 días"/>
    <s v="Ninguno"/>
    <s v="Remota ( todos los días en casa)"/>
    <s v="Impuesta por la empresa"/>
    <s v="No sé"/>
    <s v="Igual que cuando iba todos los días a la oficina"/>
    <s v="Igual que cuando iba todos los días a la oficina"/>
    <s v="Igual que cuando iba todos los días a la oficina"/>
    <s v="Diferentes que cuando iba todos los días a la oficina, ahora necesito menos horas para hacer lo mismo"/>
    <s v="Todas por videoconferencia"/>
    <s v="Igual que cuando eran en la oficina"/>
    <s v="Mucho Mayor que cuando iba todos los días a la oficina"/>
    <s v="Mucho Mayor que cuando iba todos los días a la oficina"/>
    <s v="Mucho Mayor que cuando iba todos los días a la oficina"/>
    <s v="Mucho Mayor que cuando iba todos los días a la oficina"/>
    <x v="2"/>
    <x v="2"/>
    <x v="2"/>
    <s v="Mucho mayor que cuando iba todos los días a la oficina"/>
    <x v="3"/>
    <s v="No tengo la información para contestar a la pregunta"/>
    <s v="Mucho menos que cuando iba todos los días a la oficina"/>
    <s v="Mucho menos que cuando iba todos los días a la oficina"/>
    <s v="Mucho menos que cuando iba todos los días a la oficina"/>
    <s v="Mucho menos que cuando iba todos los días a la oficina"/>
    <s v="Mucho menos que cuando iba todos los días a la oficina"/>
    <s v="Igual que cuando iba todos los días a la oficina"/>
    <s v="Mucho menos que cuando iba todos los días a la oficina"/>
    <s v="Mucho menos que cuando iba todos los días a la oficina"/>
    <s v="Mucho Mayores que cuando iba todos los días a la oficina"/>
    <s v="Mucho Mayor que cuando iba todos los días a la oficina"/>
    <s v="Mucho Mayor que cuando iba todos los días a la oficina"/>
    <s v="Mucho menor que cuando iba todos los días a la oficina"/>
    <s v="Mucho Mayor que cuando iba todos los días a la oficina"/>
    <s v="Mucho menor que cuando iba todos los días a la oficina"/>
    <s v="Mucho menor que cuando iba todos los días a la oficina"/>
    <s v="Mucho menor que cuando iba todos los días a la oficina"/>
    <s v="Mucho mayor que cuando iba todos los días a la oficina"/>
    <s v="Mucho menores que cuando iba todos los días a la oficina"/>
    <s v="Mucho mayor que cuando iba todos los días a la oficina"/>
    <s v="No hay diferencias culturales en mi equipo"/>
    <s v="Mucho mayor que cuando iba todos los días a la oficina"/>
    <s v="Mucho mayores que cuando iba todos los días a la oficina"/>
    <s v="No tengo que utilizar diferentes idiomas en mi trabajo"/>
    <s v="Menos que cuando iba todos los días a la oficina"/>
    <s v="Mucho mayor que cuando iba todos los días a la oficina"/>
    <s v="Menores que cuando iba todos los días a la oficina"/>
    <s v="Mucho mayor que cuando iba todos los días a la oficina"/>
    <s v="Igual que cuando iba todos los días a la oficina"/>
    <s v="Mucho menos que cuando iba todos los días a la oficina"/>
    <s v="Mucho menores que cuando iba todos los días a la oficina"/>
    <s v="Mucho mejor que cuando iba todos los días a la oficina"/>
    <s v="Mucho Mayor que cuando iba todos los días a la oficina"/>
    <s v="Mucho Mayor que cuando iba todos los días a la oficina"/>
    <s v="Mucho mayor que cuando iba todos los días a la oficina"/>
    <s v="Mucho Mayor que cuando iba todos los días a la oficina"/>
    <s v="Mucho Mayor que cuando iba todos los días a la oficina"/>
    <s v="Mucho Mayor que cuando iba todos los días a la oficina"/>
    <s v="Mucho Mayor que cuando iba todos los días a la oficina"/>
    <s v="Mucho menor que cuando iba todos los días a la oficina"/>
    <s v="Menor que cuando iba todos los días a la oficina"/>
    <s v="Igual que cuando iba todos los días a la oficina"/>
    <s v="Mucho Mayores que cuando iba todos los días a la oficina"/>
    <s v="Mucho Mayor que cuando iba todos los días a la oficina"/>
    <s v="Mucho Mayor que cuando iba todos los días a la oficina"/>
    <s v="Mucho Mayor que cuando iba todos los días a la oficina"/>
    <s v="Mucho menor que cuando iba todos los días a la oficina"/>
    <s v="Igual que cuando iba todos los días a la oficina"/>
    <s v="Igual que cuando iba todos los días a la oficina"/>
    <s v="Mucho Mejor que cuando iba todos los días a la oficina"/>
    <s v="Mucho Mayor que cuando iba todos los días a la oficina"/>
    <s v="Igual que cuando iba todos los días a la oficina"/>
    <s v="Igual que cuando iba todos los días a la oficina"/>
    <s v="Mucho Mayor que cuando iba todos los días a la oficina"/>
    <s v="Igual que cuando iba todos los días a la oficina"/>
    <s v="Menores que cuando iba todos los días a la oficina"/>
    <s v="Mucho Mayor que cuando iba todos los días a la oficina"/>
    <s v="Mucho mayor que cuando iba todos los días a la oficina"/>
    <m/>
    <s v="301+ empleados"/>
    <n v="1"/>
  </r>
  <r>
    <s v="Colombia"/>
    <s v="36+ años"/>
    <s v="Masculino"/>
    <s v="Pregrado"/>
    <s v="5-10 años"/>
    <s v="Prácticante"/>
    <s v="Ingeniero de Software"/>
    <s v="&gt;500 empleados."/>
    <s v="Fábrica de Software"/>
    <s v="Multinacional"/>
    <s v="Frecuentemente"/>
    <s v="Alto"/>
    <s v="4-5 días"/>
    <s v="Ninguno"/>
    <s v="Remota ( todos los días en casa)"/>
    <s v="Consensuada por las dos partes"/>
    <s v="En desacuerdo"/>
    <s v="Mayor que cuando iba todos los días a la oficina"/>
    <s v="Igual que cuando iba todos los días a la oficina"/>
    <s v="Igual que cuando iba todos los días a la oficina"/>
    <s v="Iguales que cuando iba todos los días a la oficina"/>
    <s v="Casi todas por videoconferencia"/>
    <s v="Mucho menor que cuando eran en la oficina"/>
    <s v="Mayor que cuando iba todos los días a la oficina"/>
    <s v="Mayor que cuando iba todos los días a la oficina"/>
    <s v="Mayor que cuando iba todos los días a la oficina"/>
    <s v="Mayor que cuando iba todos los días a la oficina"/>
    <x v="1"/>
    <x v="1"/>
    <x v="0"/>
    <s v="Igual que cuando iba todos los días a la oficina"/>
    <x v="2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es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es que cuando iba todos los días a la oficina"/>
    <s v="Igual que cuando iba todos los días a la oficina"/>
    <s v="Iguales que cuando iba todos los días a la oficina"/>
    <s v="Igual que cuando iba todos los días a la oficina"/>
    <s v="Iguales que cuando iba todos los días a la oficina"/>
    <s v="Iguales que cuando iba todos los días a la oficina"/>
    <s v="Igual que cuando iba todos los días a la oficina"/>
    <s v="Igual que cuando iba todos los días a la oficina"/>
    <s v="Iguales que cuando iba todos los días a la oficina"/>
    <s v="Igual que cuando iba todos los días a la oficina"/>
    <s v="Igual que cuando iba todos los días a la oficina"/>
    <s v="Igual que cuando iba todos los días a la oficina"/>
    <s v="Iguales que cuando iba todos los días a la oficina"/>
    <s v="Igual que cuando iba todos los días a la oficina"/>
    <s v="Mayor que cuando iba todos los días a la oficina"/>
    <s v="Mayor que cuando iba todos los días a la oficina"/>
    <s v="Mayor que cuando iba todos los días a la oficina"/>
    <s v="Igual que cuando iba todos los días a la oficina"/>
    <s v="Igual que cuando iba todos los días a la oficina"/>
    <s v="Mayor que cuando iba todos los días a la oficina"/>
    <s v="Mucho Mayor que cuando iba todos los días a la oficina"/>
    <s v="Igual que cuando iba todos los días a la oficina"/>
    <s v="Igual que cuando iba todos los días a la oficina"/>
    <s v="Igual que cuando iba todos los días a la oficina"/>
    <s v="Iguales que cuando iba todos los días a la oficina"/>
    <s v="Igual que cuando iba todos los días a la oficina"/>
    <s v="Mayor que cuando iba todos los días a la oficina"/>
    <s v="Igual que cuando iba todos los días a la oficina"/>
    <s v="Menor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Menor que cuando iba todos los días a la oficina"/>
    <s v="Igual que cuando iba todos los días a la oficina"/>
    <s v="Igual que cuando iba todos los días a la oficina"/>
    <s v="Igual que cuando iba todos los días a la oficina"/>
    <s v="Iguales que cuando iba todos los días a la oficina"/>
    <s v="Igual que cuando iba todos los días a la oficina"/>
    <s v="Igual que cuando iba todos los días a la oficina"/>
    <m/>
    <s v="301+ empleados"/>
    <n v="0"/>
  </r>
  <r>
    <s v="Colombia"/>
    <s v="36+ años"/>
    <s v="Masculino"/>
    <s v="Maestria"/>
    <s v="11-20 años"/>
    <s v="Senior Software Engineer"/>
    <s v="Senior Software Engineer"/>
    <s v="&gt;500 empleados."/>
    <s v="Fábrica de Software"/>
    <s v="Multinacional"/>
    <s v="Muy Frecuentemente"/>
    <s v="Alto"/>
    <s v="4-5 días"/>
    <s v="Ninguno"/>
    <s v="Remota ( todos los días en casa)"/>
    <s v="Consensuada por las dos partes"/>
    <s v="Totalmente de acuerdo"/>
    <s v="Igual que cuando iba todos los días a la oficina"/>
    <s v="Igual que cuando iba todos los días a la oficina"/>
    <s v="Mayor que cuando iba todos los días a la oficina"/>
    <s v="Iguales que cuando iba todos los días a la oficina"/>
    <s v="Todas por videoconferencia"/>
    <s v="Mucho menor que cuando eran en la oficina"/>
    <s v="Mucho Mayor que cuando iba todos los días a la oficina"/>
    <s v="Mayor que cuando iba todos los días a la oficina"/>
    <s v="Mayor que cuando iba todos los días a la oficina"/>
    <s v="Mayor que cuando iba todos los días a la oficina"/>
    <x v="2"/>
    <x v="2"/>
    <x v="0"/>
    <s v="Igual que cuando iba todos los días a la oficina"/>
    <x v="2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es que cuando iba todos los días a la oficina"/>
    <s v="Igual que cuando iba todos los días a la oficina"/>
    <s v="Igual que cuando iba todos los días a la oficina"/>
    <s v="Mucho menor que cuando iba todos los días a la oficina"/>
    <s v="Mayor que cuando iba todos los días a la oficina"/>
    <s v="Mucho menor que cuando iba todos los días a la oficina"/>
    <s v="Mucho menor que cuando iba todos los días a la oficina"/>
    <s v="Igual que cuando iba todos los días a la oficina"/>
    <s v="Igual que cuando iba todos los días a la oficina"/>
    <s v="Iguales que cuando iba todos los días a la oficina"/>
    <s v="Mayor que cuando iba todos los días a la oficina"/>
    <s v="No hay diferencias culturales en mi equipo"/>
    <s v="Mucho mayor que cuando iba todos los días a la oficina"/>
    <s v="Mucho menores que cuando iba todos los días a la oficina"/>
    <s v="Mucho menores que cuando iba todos los días a la oficina"/>
    <s v="No trabajo con personas con distintos horarios"/>
    <s v="Igual que cuando iba todos los días a la oficina"/>
    <s v="Mucho menores que cuando iba todos los días a la oficina"/>
    <s v="Igual que cuando iba todos los días a la oficina"/>
    <s v="Igual que cuando iba todos los días a la oficina"/>
    <s v="Mucho menos que cuando iba todos los días a la oficina"/>
    <s v="Iguales que cuando iba todos los días a la oficina"/>
    <s v="Igual que cuando iba todos los días a la oficina"/>
    <s v="Mucho Mayor que cuando iba todos los días a la oficina"/>
    <s v="Mucho Mayor que cuando iba todos los días a la oficina"/>
    <s v="Mucho mayor que cuando iba todos los días a la oficina"/>
    <s v="Mucho Mayor que cuando iba todos los días a la oficina"/>
    <s v="Mucho Mayor que cuando iba todos los días a la oficina"/>
    <s v="Mucho Mayor que cuando iba todos los días a la oficina"/>
    <s v="Mucho Mayor que cuando iba todos los días a la oficina"/>
    <s v="Mucho Mayor que cuando iba todos los días a la oficina"/>
    <s v="Igual que cuando iba todos los días a la oficina"/>
    <s v="Igual que cuando iba todos los días a la oficina"/>
    <s v="Iguales que cuando iba todos los días a la oficina"/>
    <s v="Mayor que cuando iba todos los días a la oficina"/>
    <s v="Mucho Mayor que cuando iba todos los días a la oficina"/>
    <s v="Igual que cuando iba todos los días a la oficina"/>
    <s v="Igual que cuando iba todos los días a la oficina"/>
    <s v="Igual que cuando iba todos los días a la oficina"/>
    <s v="Mayor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Mucho menor que cuando iba todos los días a la oficina"/>
    <s v="Iguales que cuando iba todos los días a la oficina"/>
    <s v="Mucho Mayor que cuando iba todos los días a la oficina"/>
    <s v="Mucho mayor que cuando iba todos los días a la oficina"/>
    <s v="ballesteroswilliam@gmail.com"/>
    <s v="301+ empleados"/>
    <n v="0"/>
  </r>
  <r>
    <s v="Colombia"/>
    <s v="36+ años"/>
    <s v="Masculino"/>
    <s v="Maestria"/>
    <s v="5-10 años"/>
    <s v="Software developer"/>
    <s v="Software developer"/>
    <s v="&gt;500 empleados."/>
    <s v="Empresa que desarrolla software a medida partiendo desde cero"/>
    <s v="Multinacional"/>
    <s v="Muy Frecuentemente"/>
    <s v="Alto"/>
    <s v="4-5 días"/>
    <s v="Ninguno"/>
    <s v="Híbrida casa (más días en casa que en la oficina)"/>
    <s v="Consensuada por las dos partes"/>
    <s v="De acuerdo"/>
    <s v="Mayor que cuando iba todos los días a la oficina"/>
    <s v="Mayor que cuando iba todos los días a la oficina"/>
    <s v="Mayor que cuando iba todos los días a la oficina"/>
    <s v="Iguales que cuando iba todos los días a la oficina"/>
    <s v="Todas por videoconferencia"/>
    <s v="Menor que cuando eran en la oficina"/>
    <s v="Mucho Mayor que cuando iba todos los días a la oficina"/>
    <s v="Mayor que cuando iba todos los días a la oficina"/>
    <s v="Igual que cuando iba todos los días a la oficina"/>
    <s v="Mayor que cuando iba todos los días a la oficina"/>
    <x v="1"/>
    <x v="1"/>
    <x v="0"/>
    <s v="Igual que cuando iba todos los días a la oficina"/>
    <x v="1"/>
    <s v="Igual que cuando iba todos los días a la oficina"/>
    <s v="Mucho menos que cuando iba todos los días a la oficina"/>
    <s v="Mucho menos que cuando iba todos los días a la oficina"/>
    <s v="Mucho menos que cuando iba todos los días a la oficina"/>
    <s v="Igual que cuando iba todos los días a la oficina"/>
    <s v="Igual que cuando iba todos los días a la oficina"/>
    <s v="Mucho más que cuando iba todos los días a la oficina"/>
    <s v="Mas que cuando iba todos los días a la oficina"/>
    <s v="Igual que cuando iba todos los días a la oficina"/>
    <s v="Menores que cuando iba todos los días a la oficina"/>
    <s v="Igual que cuando iba todos los días a la oficina"/>
    <s v="Mayor que cuando iba todos los días a la oficina"/>
    <s v="Mucho menor que cuando iba todos los días a la oficina"/>
    <s v="Igual que cuando iba todos los días a la oficina"/>
    <s v="Menor que cuando iba todos los días a la oficina"/>
    <s v="Mucho menor que cuando iba todos los días a la oficina"/>
    <s v="Igual que cuando iba todos los días a la oficina"/>
    <s v="Mucho mayor que cuando iba todos los días a la oficina"/>
    <s v="Iguales que cuando iba todos los días a la oficina"/>
    <s v="Mucho mayor que cuando iba todos los días a la oficina"/>
    <s v="Mucho menores que cuando iba todos los días a la oficina"/>
    <s v="Mayor que cuando iba todos los días a la oficina"/>
    <s v="Mucho menores que cuando iba todos los días a la oficina"/>
    <s v="Menores que cuando iba todos los días a la oficina"/>
    <s v="Menos que cuando iba todos los días a la oficina"/>
    <s v="Menor que cuando iba todos los días a la oficina"/>
    <s v="Mucho menores que cuando iba todos los días a la oficina"/>
    <s v="Mayor que cuando iba todos los días a la oficina"/>
    <s v="Mayor que cuando iba todos los días a la oficina"/>
    <s v="Igual que cuando iba todos los días a la oficina"/>
    <s v="Iguales que cuando iba todos los días a la oficina"/>
    <s v="Igual que cuando iba todos los días a la oficina"/>
    <s v="Igual que cuando iba todos los días a la oficina"/>
    <s v="Mucho Mayor que cuando iba todos los días a la oficina"/>
    <s v="Mucho mayor que cuando iba todos los días a la oficina"/>
    <s v="Igual que cuando iba todos los días a la oficina"/>
    <s v="Igual que cuando iba todos los días a la oficina"/>
    <s v="Igual que cuando iba todos los días a la oficina"/>
    <s v="Mayor que cuando iba todos los días a la oficina"/>
    <s v="Mayor que cuando iba todos los días a la oficina"/>
    <s v="Igual que cuando iba todos los días a la oficina"/>
    <s v="Menos que cuando iba todos los días a la oficina"/>
    <s v="Menores que cuando iba todos los días a la oficina"/>
    <s v="Mayor que cuando iba todos los días a la oficina"/>
    <s v="Mayor que cuando iba todos los días a la oficina"/>
    <s v="Igual que cuando iba todos los días a la oficina"/>
    <s v="Mucho menor que cuando iba todos los días a la oficina"/>
    <s v="Igual que cuando iba todos los días a la oficina"/>
    <s v="Igual que cuando iba todos los días a la oficina"/>
    <s v="Mejor que cuando iba todos los días a la oficina"/>
    <s v="Igual que cuando iba todos los días a la oficina"/>
    <s v="Mucho menor que cuando iba todos los días a la oficina"/>
    <s v="Igual que cuando iba todos los días a la oficina"/>
    <s v="Mucho Mayor que cuando iba todos los días a la oficina"/>
    <s v="Mucho menor que cuando iba todos los días a la oficina"/>
    <s v="Iguales que cuando iba todos los días a la oficina"/>
    <s v="Igual que cuando iba todos los días a la oficina"/>
    <s v="Mayor que cuando iba todos los días a la oficina"/>
    <s v="hmaury1@gmail.com"/>
    <s v="301+ empleados"/>
    <n v="0"/>
  </r>
  <r>
    <s v="Colombia"/>
    <s v="36+ años"/>
    <s v="Masculino"/>
    <s v="Profesional "/>
    <s v="&lt;5 años"/>
    <s v="Desarrollador de software "/>
    <s v="Consultor de desarrollo "/>
    <s v="&gt;500 empleados."/>
    <s v="Fábrica de Software"/>
    <s v="Multinacional"/>
    <s v="A veces"/>
    <s v="Alto"/>
    <s v="4-5 días"/>
    <s v="Ninguno"/>
    <s v="Remota ( todos los días en casa)"/>
    <s v="Impuesta por la empresa"/>
    <s v="En desacuerdo"/>
    <s v="Igual que cuando iba todos los días a la oficina"/>
    <s v="Menor que cuando iba todos los días a la oficina"/>
    <s v="Igual que cuando iba todos los días a la oficina"/>
    <s v="Muy diferentes que cuando iba todos los días a la oficina, ahora necesito muchas menos horas para hacer lo mismo"/>
    <s v="Todas por videoconferencia"/>
    <s v="Menor que cuando eran en la oficina"/>
    <s v="Mucho Mayor que cuando iba todos los días a la oficina"/>
    <s v="Mayor que cuando iba todos los días a la oficina"/>
    <s v="Mucho Mayor que cuando iba todos los días a la oficina"/>
    <s v="Mayor que cuando iba todos los días a la oficina"/>
    <x v="2"/>
    <x v="1"/>
    <x v="1"/>
    <s v="Igual que cuando iba todos los días a la oficina"/>
    <x v="4"/>
    <s v="No tengo la información para contestar a la pregunta"/>
    <s v="Igual que cuando iba todos los días a la oficina"/>
    <s v="Igual que cuando iba todos los días a la oficina"/>
    <s v="Igual que cuando iba todos los días a la oficina"/>
    <s v="No tengo la información para contestar a la pregunta"/>
    <s v="Menos que cuando iba todos los días a la oficina"/>
    <s v="Igual que cuando iba todos los días a la oficina"/>
    <s v="Igual que cuando iba todos los días a la oficina"/>
    <s v="Igual que cuando iba todos los días a la oficina"/>
    <s v="Iguales que cuando iba todos los días a la oficina"/>
    <s v="Igual que cuando iba todos los días a la oficina"/>
    <s v="Igual que cuando iba todos los días a la oficina"/>
    <s v="Mucho menor que cuando iba todos los días a la oficina"/>
    <s v="Mayor que cuando iba todos los días a la oficina"/>
    <s v="Igual que cuando iba todos los días a la oficina"/>
    <s v="Igual que cuando iba todos los días a la oficina"/>
    <s v="Mayor que cuando iba todos los días a la oficina"/>
    <s v="Mayor que cuando iba todos los días a la oficina"/>
    <s v="Iguales que cuando iba todos los días a la oficina"/>
    <s v="Mayor que cuando iba todos los días a la oficina"/>
    <s v="Mayores que cuando iba todos los días a la oficina"/>
    <s v="Igual que cuando iba todos los días a la oficina"/>
    <s v="Iguales que cuando iba todos los días a la oficina"/>
    <s v="Iguales que cuando iba todos los días a la oficina"/>
    <s v="No trabajo con personas con distintos horarios"/>
    <s v="Igual que cuando iba todos los días a la oficina"/>
    <s v="Mayores que cuando iba todos los días a la oficina"/>
    <s v="Mayor que cuando iba todos los días a la oficina"/>
    <s v="Igual que cuando iba todos los días a la oficina"/>
    <s v="Igual que cuando iba todos los días a la oficina"/>
    <s v="Iguales que cuando iba todos los días a la oficina"/>
    <s v="Mejor que cuando iba todos los días a la oficina"/>
    <s v="Mayor que cuando iba todos los días a la oficina"/>
    <s v="Mayor que cuando iba todos los días a la oficina"/>
    <s v="Mucho mayor que cuando iba todos los días a la oficina"/>
    <s v="Igual que cuando iba todos los días a la oficina"/>
    <s v="Igual que cuando iba todos los días a la oficina"/>
    <s v="Mayor que cuando iba todos los días a la oficina"/>
    <s v="Mayor que cuando iba todos los días a la oficina"/>
    <s v="Mayor que cuando iba todos los días a la oficina"/>
    <s v="Igual que cuando iba todos los días a la oficina"/>
    <s v="Igual que cuando iba todos los días a la oficina"/>
    <s v="Iguales que cuando iba todos los días a la oficina"/>
    <s v="Igual que cuando iba todos los días a la oficina"/>
    <s v="Menor que cuando iba todos los días a la oficina"/>
    <s v="Menor que cuando iba todos los días a la oficina"/>
    <s v="Menor que cuando iba todos los días a la oficina"/>
    <s v="Igual que cuando iba todos los días a la oficina"/>
    <s v="Igual que cuando iba todos los días a la oficina"/>
    <s v="Mejor que cuando iba todos los días a la oficina"/>
    <s v="Igual que cuando iba todos los días a la oficina"/>
    <s v="Igual que cuando iba todos los días a la oficina"/>
    <s v="Igual que cuando iba todos los días a la oficina"/>
    <s v="Mayor que cuando iba todos los días a la oficina"/>
    <s v="Menor que cuando iba todos los días a la oficina"/>
    <s v="Iguales que cuando iba todos los días a la oficina"/>
    <s v="Mayor que cuando iba todos los días a la oficina"/>
    <s v="Mucho mayor que cuando iba todos los días a la oficina"/>
    <s v="diegofer1110@gmail.com"/>
    <s v="301+ empleados"/>
    <n v="0"/>
  </r>
  <r>
    <s v="España"/>
    <s v="36+ años"/>
    <s v="Masculino"/>
    <s v="Licenciado "/>
    <s v="21-30 años"/>
    <s v="Analista"/>
    <s v="Analista"/>
    <s v="&gt;500 empleados."/>
    <s v="Empresa que desarrolla software a medida partiendo desde cero"/>
    <s v="Multinacional"/>
    <s v="A veces"/>
    <s v="Alto"/>
    <s v="4-5 días"/>
    <s v="Ninguno"/>
    <s v="Remota ( todos los días en casa)"/>
    <s v="Impuesta por la empresa"/>
    <s v="En desacuerdo"/>
    <s v="Menor que cuando iba todos los días a la oficina"/>
    <s v="Mucho menor que cuando iba todos los días a la oficina"/>
    <s v="Menor que cuando iba todos los días a la oficina"/>
    <s v="Iguales que cuando iba todos los días a la oficina"/>
    <s v="Todas por videoconferencia"/>
    <s v="Menor que cuando eran en la oficina"/>
    <s v="Menor cuando iba todos los días a la oficina"/>
    <s v="Menor que cuando iba todos los días a la oficina"/>
    <s v="Menor que cuando iba todos los días a la oficina"/>
    <s v="Igual que cuando iba todos los días a la oficina"/>
    <x v="4"/>
    <x v="2"/>
    <x v="0"/>
    <s v="Menor que cuando iba todos los días a la oficina"/>
    <x v="2"/>
    <s v="Igual que cuando iba todos los días a la oficina"/>
    <s v="Igual que cuando iba todos los días a la oficina"/>
    <s v="Igual que cuando iba todos los días a la oficina"/>
    <s v="Igual que cuando iba todos los días a la oficina"/>
    <s v="Más que cuando iba todos los días a la oficina"/>
    <s v="Mas que cuando iba todos los días a la oficina"/>
    <s v="Mas que cuando iba todos los días a la oficina"/>
    <s v="Mas que cuando iba todos los días a la oficina"/>
    <s v="Mas que cuando iba todos los días a la oficina"/>
    <s v="Menores que cuando iba todos los días a la oficina"/>
    <s v="Igual que cuando iba todos los días a la oficina"/>
    <s v="Igual que cuando iba todos los días a la oficina"/>
    <s v="Mucho menor que cuando iba todos los días a la oficina"/>
    <s v="Igual que cuando iba todos los días a la oficina"/>
    <s v="Menor que cuando iba todos los días a la oficina"/>
    <s v="Menor que cuando iba todos los días a la oficina"/>
    <s v="Igual que cuando iba todos los días a la oficina"/>
    <s v="Mayor que cuando iba todos los días a la oficina"/>
    <s v="Mayores que cuando iba todos los días a la oficina"/>
    <s v="Igual que cuando iba todos los días a la oficina"/>
    <s v="Iguales que cuando iba todos los días a la oficina"/>
    <s v="Igual que cuando iba todos los días a la oficina"/>
    <s v="Mayores que cuando iba todos los días a la oficina"/>
    <s v="Iguales que cuando iba todos los días a la oficina"/>
    <s v="Igual que cuando iba todos los días a la oficina"/>
    <s v="Menor que cuando iba todos los días a la oficina"/>
    <s v="Mucho menores que cuando iba todos los días a la oficina"/>
    <s v="Mayor que cuando iba todos los días a la oficina"/>
    <s v="Mayor que cuando iba todos los días a la oficina"/>
    <s v="Más que cuando iba todos los días a la oficina"/>
    <s v="Mayores que cuando iba todos los días a la oficina"/>
    <s v="Peor que cuando iba todos los días a la oficina"/>
    <s v="Mayor que cuando iba todos los días a la oficina"/>
    <s v="Mayor que cuando iba todos los días a la oficina"/>
    <s v="Mucho mayor que cuando iba todos los días a la oficina"/>
    <s v="Menor que cuando iba todos los días a la oficina"/>
    <s v="Menor que cuando iba todos los días a la oficina"/>
    <s v="Igual que cuando iba todos los días a la oficina"/>
    <s v="Mayor que cuando iba todos los días a la oficina"/>
    <s v="Igual que cuando iba todos los días a la oficina"/>
    <s v="Menor que cuando iba todos los días a la oficina"/>
    <s v="Igual que cuando iba todos los días a la oficina"/>
    <s v="Mucho menores que cuando iba todos los días a la oficina"/>
    <s v="Igual que cuando iba todos los días a la oficina"/>
    <s v="Mucho Mayor que cuando iba todos los días a la oficina"/>
    <s v="Mucho menor que cuando iba todos los días a la oficina"/>
    <s v="Mayor que cuando iba todos los días a la oficina"/>
    <s v="Mucho menor que cuando iba todos los días a la oficina"/>
    <s v="Igual que cuando iba todos los días a la oficina"/>
    <s v="Peor que cuando iba todos los días a la oficina"/>
    <s v="Mucho menor que cuando iba todos los días a la oficina"/>
    <s v="Mucho menor que cuando iba todos los días a la oficina"/>
    <s v="Menor que cuando iba todos los días a la oficina"/>
    <s v="Mayor que cuando iba todos los días a la oficina"/>
    <s v="Mucho menor que cuando iba todos los días a la oficina"/>
    <s v="Mayores que cuando iba todos los días a la oficina"/>
    <s v="Mucho menor que cuando iba todos los días a la oficina"/>
    <s v="Igual que cuando iba todos los días a la oficina"/>
    <m/>
    <s v="301+ empleados"/>
    <n v="0"/>
  </r>
  <r>
    <s v="España"/>
    <s v="36+ años"/>
    <s v="Femenino"/>
    <s v="Ingeniería Superior (Homologación máster)"/>
    <s v="11-20 años"/>
    <s v="Analista Programadora"/>
    <s v="Arquitecta Software"/>
    <s v="&gt;500 empleados."/>
    <s v="Empresa que desarrolla software a medida partiendo desde cero"/>
    <s v="Multinacional"/>
    <s v="A veces"/>
    <s v="Alto"/>
    <s v="4-5 días"/>
    <s v="Ninguno"/>
    <s v="Remota ( todos los días en casa)"/>
    <s v="Consensuada por las dos partes"/>
    <s v="En desacuerdo"/>
    <s v="Igual que cuando iba todos los días a la oficina"/>
    <s v="Igual que cuando iba todos los días a la oficina"/>
    <s v="Mayor que cuando iba todos los días a la oficina"/>
    <s v="Diferentes que cuando iba todos los días a la oficina, ahora necesito menos horas para hacer lo mismo"/>
    <s v="Todas por videoconferencia"/>
    <s v="Menor que cuando eran en la oficina"/>
    <s v="Mayor que cuando iba todos los días a la oficina"/>
    <s v="Mayor que cuando iba todos los días a la oficina"/>
    <s v="Mayor que cuando iba todos los días a la oficina"/>
    <s v="Igual que cuando iba todos los días a la oficina"/>
    <x v="4"/>
    <x v="3"/>
    <x v="1"/>
    <s v="Mayor que cuando iba todos los días a la oficina"/>
    <x v="4"/>
    <s v="Menos que cuando iba todos los días a la oficina"/>
    <s v="Menos que cuando iba todos los días a la oficina"/>
    <s v="Menos que cuando iba todos los días a la oficina"/>
    <s v="Menos que cuando iba todos los días a la oficina"/>
    <s v="Igual que cuando iba todos los días a la oficina"/>
    <s v="Menos que cuando iba todos los días a la oficina"/>
    <s v="Mas que cuando iba todos los días a la oficina"/>
    <s v="Mas que cuando iba todos los días a la oficina"/>
    <s v="Mas que cuando iba todos los días a la oficina"/>
    <s v="Iguales que cuando iba todos los días a la oficina"/>
    <s v="Mayor que cuando iba todos los días a la oficina"/>
    <s v="Igual que cuando iba todos los días a la oficina"/>
    <s v="Igual que cuando iba todos los días a la oficina"/>
    <s v="Mayor que cuando iba todos los días a la oficina"/>
    <s v="Menor que cuando iba todos los días a la oficina"/>
    <s v="Menor que cuando iba todos los días a la oficina"/>
    <s v="Menor que cuando iba todos los días a la oficina"/>
    <s v="Mayor que cuando iba todos los días a la oficina"/>
    <s v="Mayores que cuando iba todos los días a la oficina"/>
    <s v="Mayor que cuando iba todos los días a la oficina"/>
    <s v="Mucho menores que cuando iba todos los días a la oficina"/>
    <s v="Igual que cuando iba todos los días a la oficina"/>
    <s v="Menores que cuando iba todos los días a la oficina"/>
    <s v="Iguales que cuando iba todos los días a la oficina"/>
    <s v="Mucho menos que cuando iba todos los días a la oficina"/>
    <s v="Mayor que cuando iba todos los días a la oficina"/>
    <s v="Iguales que cuando iba todos los días a la oficina"/>
    <s v="Mayor que cuando iba todos los días a la oficina"/>
    <s v="Mayor que cuando iba todos los días a la oficina"/>
    <s v="Más que cuando iba todos los días a la oficina"/>
    <s v="Iguales que cuando iba todos los días a la oficina"/>
    <s v="Mejor que cuando iba todos los días a la oficina"/>
    <s v="Mayor que cuando iba todos los días a la oficina"/>
    <s v="Mayor que cuando iba todos los días a la oficina"/>
    <s v="Mayor que cuando iba todos los días a la oficina"/>
    <s v="Mayor que cuando iba todos los días a la oficina"/>
    <s v="Mayor que cuando iba todos los días a la oficina"/>
    <s v="Mayor que cuando iba todos los días a la oficina"/>
    <s v="Mayor que cuando iba todos los días a la oficina"/>
    <s v="Mayor que cuando iba todos los días a la oficina"/>
    <s v="Mayor que cuando iba todos los días a la oficina"/>
    <s v="Mucho mas que cuando iba todos los días a la oficina"/>
    <s v="Menores que cuando iba todos los días a la oficina"/>
    <s v="Mayor que cuando iba todos los días a la oficina"/>
    <s v="Igual que cuando iba todos los días a la oficina"/>
    <s v="Mayor que cuando iba todos los días a la oficina"/>
    <s v="Menor que cuando iba todos los días a la oficina"/>
    <s v="Menor que cuando iba todos los días a la oficina"/>
    <s v="Igual que cuando iba todos los días a la oficina"/>
    <s v="Igual que cuando iba todos los días a la oficina"/>
    <s v="Menor que cuando iba todos los días a la oficina"/>
    <s v="Mucho menor que cuando iba todos los días a la oficina"/>
    <s v="Menor que cuando iba todos los días a la oficina"/>
    <s v="Mayor que cuando iba todos los días a la oficina"/>
    <s v="Igual que cuando iba todos los días a la oficina"/>
    <s v="Iguales que cuando iba todos los días a la oficina"/>
    <s v="Igual que cuando iba todos los días a la oficina"/>
    <s v="Mayor que cuando iba todos los días a la oficina"/>
    <s v="nazaret.helices@gmail.com"/>
    <s v="301+ empleados"/>
    <n v="0"/>
  </r>
  <r>
    <s v="España"/>
    <s v="36+ años"/>
    <s v="Masculino"/>
    <s v="Ingeniero"/>
    <s v="11-20 años"/>
    <s v="Analista-Programador"/>
    <s v="Analista-Programador"/>
    <s v="&gt;500 empleados."/>
    <s v="Fábrica de Software"/>
    <s v="Multinacional"/>
    <s v="A veces"/>
    <s v="Alto"/>
    <s v="4-5 días"/>
    <s v="Ninguno"/>
    <s v="Remota ( todos los días en casa)"/>
    <s v="Decidida por ti"/>
    <s v="Totalmente de acuerdo"/>
    <s v="Igual que cuando iba todos los días a la oficina"/>
    <s v="Igual que cuando iba todos los días a la oficina"/>
    <s v="Igual que cuando iba todos los días a la oficina"/>
    <s v="Iguales que cuando iba todos los días a la oficina"/>
    <s v="Todas por videoconferencia"/>
    <s v="Igual que cuando eran en la oficina"/>
    <s v="Igual que cuando iba todos los días a la oficina"/>
    <s v="Igual que cuando iba todos los días a la oficina"/>
    <s v="Igual que cuando iba todos los días a la oficina"/>
    <s v="Mucho Mayor que cuando iba todos los días a la oficina"/>
    <x v="4"/>
    <x v="2"/>
    <x v="1"/>
    <s v="Igual que cuando iba todos los días a la oficina"/>
    <x v="0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es que cuando iba todos los días a la oficina"/>
    <s v="Igual que cuando iba todos los días a la oficina"/>
    <s v="Igual que cuando iba todos los días a la oficina"/>
    <s v="Menor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Mayor que cuando iba todos los días a la oficina"/>
    <s v="Iguales que cuando iba todos los días a la oficina"/>
    <s v="Igual que cuando iba todos los días a la oficina"/>
    <s v="Iguales que cuando iba todos los días a la oficina"/>
    <s v="Igual que cuando iba todos los días a la oficina"/>
    <s v="Iguales que cuando iba todos los días a la oficina"/>
    <s v="Iguales que cuando iba todos los días a la oficina"/>
    <s v="Igual que cuando iba todos los días a la oficina"/>
    <s v="Igual que cuando iba todos los días a la oficina"/>
    <s v="Iguales que cuando iba todos los días a la oficina"/>
    <s v="Mucho mayor que cuando iba todos los días a la oficina"/>
    <s v="Igual que cuando iba todos los días a la oficina"/>
    <s v="Igual que cuando iba todos los días a la oficina"/>
    <s v="Iguales que cuando iba todos los días a la oficina"/>
    <s v="Igual que cuando iba todos los días a la oficina"/>
    <s v="Igual que cuando iba todos los días a la oficina"/>
    <s v="Mucho Mayor que cuando iba todos los días a la oficina"/>
    <s v="Mucho mayor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es que cuando iba todos los días a la oficina"/>
    <s v="Igual que cuando iba todos los días a la oficina"/>
    <s v="Mayor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Peor que cuando iba todos los días a la oficina"/>
    <s v="Igual que cuando iba todos los días a la oficina"/>
    <s v="Mucho menor que cuando iba todos los días a la oficina"/>
    <s v="Igual que cuando iba todos los días a la oficina"/>
    <s v="Igual que cuando iba todos los días a la oficina"/>
    <s v="Mayor que cuando iba todos los días a la oficina"/>
    <s v="Iguales que cuando iba todos los días a la oficina"/>
    <s v="Igual que cuando iba todos los días a la oficina"/>
    <s v="Mayor que cuando iba todos los días a la oficina"/>
    <m/>
    <s v="301+ empleados"/>
    <n v="0"/>
  </r>
  <r>
    <s v="España"/>
    <s v="36+ años"/>
    <s v="Masculino"/>
    <s v="Doctorado"/>
    <s v="5-10 años"/>
    <s v="Consultor"/>
    <s v="Consultor"/>
    <s v="&lt;50 empleados"/>
    <s v="Empresa que subcontrata (outsourcing) los servicios de otra del mismo país"/>
    <s v="Local"/>
    <s v="Frecuentemente"/>
    <s v="Alto"/>
    <s v="4-5 días"/>
    <s v="Ninguno"/>
    <s v="Remota ( todos los días en casa)"/>
    <s v="Consensuada por las dos partes"/>
    <s v="En desacuerdo"/>
    <s v="Igual que cuando iba todos los días a la oficina"/>
    <s v="Igual que cuando iba todos los días a la oficina"/>
    <s v="Igual que cuando iba todos los días a la oficina"/>
    <s v="Iguales que cuando iba todos los días a la oficina"/>
    <s v="Casi todas por videoconferencia"/>
    <s v="Menor que cuando eran en la oficina"/>
    <s v="Mucho Mayor que cuando iba todos los días a la oficina"/>
    <s v="Mucho Mayor que cuando iba todos los días a la oficina"/>
    <s v="Mayor que cuando iba todos los días a la oficina"/>
    <s v="Mucho Mayor que cuando iba todos los días a la oficina"/>
    <x v="2"/>
    <x v="0"/>
    <x v="2"/>
    <s v="Menor que cuando iba todos los días a la oficina"/>
    <x v="2"/>
    <s v="Igual que cuando iba todos los días a la oficina"/>
    <s v="No trabajo con personas de distintas culturas"/>
    <s v="Menos que cuando iba todos los días a la oficina"/>
    <s v="Mucho menos que cuando iba todos los días a la oficina"/>
    <s v="No tengo la información para contestar a la pregunta"/>
    <s v="Igual que cuando iba todos los días a la oficina"/>
    <s v="Mas que cuando iba todos los días a la oficina"/>
    <s v="Mas que cuando iba todos los días a la oficina"/>
    <s v="Igual que cuando iba todos los días a la oficina"/>
    <s v="Iguales que cuando iba todos los días a la oficina"/>
    <s v="Igual que cuando iba todos los días a la oficina"/>
    <s v="Igual que cuando iba todos los días a la oficina"/>
    <s v="Mucho Mayor que cuando iba todos los días a la oficina"/>
    <s v="Mucho Mayor que cuando iba todos los días a la oficina"/>
    <s v="Mayor que cuando iba todos los días a la oficina"/>
    <s v="Igual que cuando iba todos los días a la oficina"/>
    <s v="Igual que cuando iba todos los días a la oficina"/>
    <s v="Mucho mayor que cuando iba todos los días a la oficina"/>
    <s v="Iguales que cuando iba todos los días a la oficina"/>
    <s v="Mucho mayor que cuando iba todos los días a la oficina"/>
    <s v="No hay diferencias culturales en mi equipo"/>
    <s v="Mayor que cuando iba todos los días a la oficina"/>
    <s v="Iguales que cuando iba todos los días a la oficina"/>
    <s v="Iguales que cuando iba todos los días a la oficina"/>
    <s v="Igual que cuando iba todos los días a la oficina"/>
    <s v="Mayor que cuando iba todos los días a la oficina"/>
    <s v="Mucho menores que cuando iba todos los días a la oficina"/>
    <s v="Mucho mayor que cuando iba todos los días a la oficina"/>
    <s v="No tengo la información para contestar a la pregunta"/>
    <s v="Más que cuando iba todos los días a la oficina"/>
    <s v="Iguales que cuando iba todos los días a la oficina"/>
    <s v="Igual que cuando iba todos los días a la oficina"/>
    <s v="Mucho Mayor que cuando iba todos los días a la oficina"/>
    <s v="Mucho Mayor que cuando iba todos los días a la oficina"/>
    <s v="Mucho mayor que cuando iba todos los días a la oficina"/>
    <s v="Igual que cuando iba todos los días a la oficina"/>
    <s v="Igual que cuando iba todos los días a la oficina"/>
    <s v="Mayor que cuando iba todos los días a la oficina"/>
    <s v="Igual que cuando iba todos los días a la oficina"/>
    <s v="Igual que cuando iba todos los días a la oficina"/>
    <s v="Igual que cuando iba todos los días a la oficina"/>
    <s v="Mas que cuando iba todos los días a la oficina"/>
    <s v="Mayores que cuando iba todos los días a la oficina"/>
    <s v="Igual que cuando iba todos los días a la oficina"/>
    <s v="Menor que cuando iba todos los días a la oficina"/>
    <s v="Igual que cuando iba todos los días a la oficina"/>
    <s v="Igual que cuando iba todos los días a la oficina"/>
    <s v="Mayor que cuando iba todos los días a la oficina"/>
    <s v="Mucho menor que cuando iba todos los días a la oficina"/>
    <s v="Igual que cuando iba todos los días a la oficina"/>
    <s v="Igual que cuando iba todos los días a la oficina"/>
    <s v="Menor que cuando iba todos los días a la oficina"/>
    <s v="Igual que cuando iba todos los días a la oficina"/>
    <s v="Mucho Mayor que cuando iba todos los días a la oficina"/>
    <s v="Mucho menor que cuando iba todos los días a la oficina"/>
    <s v="Menores que cuando iba todos los días a la oficina"/>
    <s v="Mayor que cuando iba todos los días a la oficina"/>
    <s v="Mayor que cuando iba todos los días a la oficina"/>
    <m/>
    <s v="&lt;301 empleados"/>
    <n v="0"/>
  </r>
  <r>
    <s v="España"/>
    <s v="36+ años"/>
    <s v="Masculino"/>
    <s v="Ingeniero Superior y Doctor"/>
    <s v="11-20 años"/>
    <s v="Consultor"/>
    <s v="Director Técnico"/>
    <s v="&lt;50 empleados"/>
    <s v="Empresa que subcontrata (outsourcing) los servicios de otra del mismo país"/>
    <s v="Local"/>
    <s v="A veces"/>
    <s v="Alto"/>
    <s v="4-5 días"/>
    <s v="Ninguno"/>
    <s v="Remota ( todos los días en casa)"/>
    <s v="Consensuada por las dos partes"/>
    <s v="Totalmente de acuerdo"/>
    <s v="Igual que cuando iba todos los días a la oficina"/>
    <s v="Igual que cuando iba todos los días a la oficina"/>
    <s v="Igual que cuando iba todos los días a la oficina"/>
    <s v="Diferentes que cuando iba todos los días a la oficina, ahora necesito menos horas para hacer lo mismo"/>
    <s v="Casi todas por videoconferencia"/>
    <s v="Igual que cuando eran en la oficina"/>
    <s v="Mayor que cuando iba todos los días a la oficina"/>
    <s v="Mayor que cuando iba todos los días a la oficina"/>
    <s v="Mayor que cuando iba todos los días a la oficina"/>
    <s v="Igual que cuando iba todos los días a la oficina"/>
    <x v="1"/>
    <x v="2"/>
    <x v="1"/>
    <s v="Igual que cuando iba todos los días a la oficina"/>
    <x v="2"/>
    <s v="Igual que cuando iba todos los días a la oficina"/>
    <s v="No trabajo con personas de distintas culturas"/>
    <s v="No trabajo con personas con un horario distinto al mío"/>
    <s v="No trabajo  con personas que se encuentran geográficamente distribuidas"/>
    <s v="Igual que cuando iba todos los días a la oficina"/>
    <s v="Igual que cuando iba todos los días a la oficina"/>
    <s v="Mas que cuando iba todos los días a la oficina"/>
    <s v="Mas que cuando iba todos los días a la oficina"/>
    <s v="Igual que cuando iba todos los días a la oficina"/>
    <s v="Iguales que cuando iba todos los días a la oficina"/>
    <s v="Mayor que cuando iba todos los días a la oficina"/>
    <s v="Igual que cuando iba todos los días a la oficina"/>
    <s v="Menor que cuando iba todos los días a la oficina"/>
    <s v="Igual que cuando iba todos los días a la oficina"/>
    <s v="Igual que cuando iba todos los días a la oficina"/>
    <s v="Menor que cuando iba todos los días a la oficina"/>
    <s v="Igual que cuando iba todos los días a la oficina"/>
    <s v="Mayor que cuando iba todos los días a la oficina"/>
    <s v="Iguales que cuando iba todos los días a la oficina"/>
    <s v="Mayor que cuando iba todos los días a la oficina"/>
    <s v="No hay diferencias culturales en mi equipo"/>
    <s v="Igual que cuando iba todos los días a la oficina"/>
    <s v="Iguales que cuando iba todos los días a la oficina"/>
    <s v="No tengo que utilizar diferentes idiomas en mi trabajo"/>
    <s v="No trabajo con personas con distintos horarios"/>
    <s v="Igual que cuando iba todos los días a la oficina"/>
    <s v="Mayores que cuando iba todos los días a la oficina"/>
    <s v="Mayor que cuando iba todos los días a la oficina"/>
    <s v="Igual que cuando iba todos los días a la oficina"/>
    <s v="Igual que cuando iba todos los días a la oficina"/>
    <s v="Iguales que cuando iba todos los días a la oficina"/>
    <s v="Igual que cuando iba todos los días a la oficina"/>
    <s v="Igual que cuando iba todos los días a la oficina"/>
    <s v="Igual que cuando iba todos los días a la oficina"/>
    <s v="Mayor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es que cuando iba todos los días a la oficina"/>
    <s v="Igual que cuando iba todos los días a la oficina"/>
    <s v="Mayor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Menor que cuando iba todos los días a la oficina"/>
    <s v="Igual que cuando iba todos los días a la oficina"/>
    <s v="Igual que cuando iba todos los días a la oficina"/>
    <s v="Igual que cuando iba todos los días a la oficina"/>
    <s v="Iguales que cuando iba todos los días a la oficina"/>
    <s v="Igual que cuando iba todos los días a la oficina"/>
    <s v="Igual que cuando iba todos los días a la oficina"/>
    <m/>
    <s v="&lt;301 empleados"/>
    <n v="1"/>
  </r>
  <r>
    <s v="España"/>
    <s v="36+ años"/>
    <s v="Masculino"/>
    <s v="Ingeniería Superior"/>
    <s v="21-30 años"/>
    <s v="Consultor Técnico"/>
    <s v="Consultor Técnico"/>
    <s v="&gt;500 empleados."/>
    <s v="Empresa que desarrolla software a medida partiendo desde cero"/>
    <s v="Multinacional"/>
    <s v="Muy Frecuentemente"/>
    <s v="Alto"/>
    <s v="4-5 días"/>
    <s v="1-2 días"/>
    <s v="Híbrida casa (más días en casa que en la oficina)"/>
    <s v="Consensuada por las dos partes"/>
    <s v="Totalmente de acuerdo"/>
    <s v="Mayor que cuando iba todos los días a la oficina"/>
    <s v="Mayor que cuando iba todos los días a la oficina"/>
    <s v="Igual que cuando iba todos los días a la oficina"/>
    <s v="Diferentes que cuando iba todos los días a la oficina, ahora necesito menos horas para hacer lo mismo"/>
    <s v="Todas por videoconferencia"/>
    <s v="Menor que cuando eran en la oficina"/>
    <s v="Mayor que cuando iba todos los días a la oficina"/>
    <s v="Mayor que cuando iba todos los días a la oficina"/>
    <s v="Mayor que cuando iba todos los días a la oficina"/>
    <s v="Mucho Mayor que cuando iba todos los días a la oficina"/>
    <x v="1"/>
    <x v="1"/>
    <x v="0"/>
    <s v="Mayor que cuando iba todos los días a la oficina"/>
    <x v="2"/>
    <s v="Más que cuando iba todos los días a la oficina"/>
    <s v="Igual que cuando iba todos los días a la oficina"/>
    <s v="Igual que cuando iba todos los días a la oficina"/>
    <s v="Igual que cuando iba todos los días a la oficina"/>
    <s v="Más que cuando iba todos los días a la oficina"/>
    <s v="Mas que cuando iba todos los días a la oficina"/>
    <s v="Menos que cuando iba todos los días a la oficina"/>
    <s v="Mas que cuando iba todos los días a la oficina"/>
    <s v="Mas que cuando iba todos los días a la oficina"/>
    <s v="Mayores que cuando iba todos los días a la oficina"/>
    <s v="Mayor que cuando iba todos los días a la oficina"/>
    <s v="Igual que cuando iba todos los días a la oficina"/>
    <s v="Menor que cuando iba todos los días a la oficina"/>
    <s v="Mayor que cuando iba todos los días a la oficina"/>
    <s v="Menor que cuando iba todos los días a la oficina"/>
    <s v="Menor que cuando iba todos los días a la oficina"/>
    <s v="Igual que cuando iba todos los días a la oficina"/>
    <s v="Mucho mayor que cuando iba todos los días a la oficina"/>
    <s v="Iguales que cuando iba todos los días a la oficina"/>
    <s v="Mayor que cuando iba todos los días a la oficina"/>
    <s v="Iguales que cuando iba todos los días a la oficina"/>
    <s v="Mayor que cuando iba todos los días a la oficina"/>
    <s v="Mayores que cuando iba todos los días a la oficina"/>
    <s v="Iguales que cuando iba todos los días a la oficina"/>
    <s v="Igual que cuando iba todos los días a la oficina"/>
    <s v="Igual que cuando iba todos los días a la oficina"/>
    <s v="Menores que cuando iba todos los días a la oficina"/>
    <s v="Mayor que cuando iba todos los días a la oficina"/>
    <s v="Igual que cuando iba todos los días a la oficina"/>
    <s v="Igual que cuando iba todos los días a la oficina"/>
    <s v="Iguales que cuando iba todos los días a la oficina"/>
    <s v="Mejor que cuando iba todos los días a la oficina"/>
    <s v="Mayor que cuando iba todos los días a la oficina"/>
    <s v="Mucho Mayor que cuando iba todos los días a la oficina"/>
    <s v="Mucho mayor que cuando iba todos los días a la oficina"/>
    <s v="Mayor que cuando iba todos los días a la oficina"/>
    <s v="Mayor que cuando iba todos los días a la oficina"/>
    <s v="Igual que cuando iba todos los días a la oficina"/>
    <s v="Mayor que cuando iba todos los días a la oficina"/>
    <s v="Mayor que cuando iba todos los días a la oficina"/>
    <s v="Igual que cuando iba todos los días a la oficina"/>
    <s v="Mas que cuando iba todos los días a la oficina"/>
    <s v="Iguales que cuando iba todos los días a la oficina"/>
    <s v="Mayor que cuando iba todos los días a la oficina"/>
    <s v="Mucho Mayor que cuando iba todos los días a la oficina"/>
    <s v="Igual que cuando iba todos los días a la oficina"/>
    <s v="Menor que cuando iba todos los días a la oficina"/>
    <s v="Mayor que cuando iba todos los días a la oficina"/>
    <s v="Menor que cuando iba todos los días a la oficina"/>
    <s v="Mejor que cuando iba todos los días a la oficina"/>
    <s v="Igual que cuando iba todos los días a la oficina"/>
    <s v="Menor que cuando iba todos los días a la oficina"/>
    <s v="Mayor que cuando iba todos los días a la oficina"/>
    <s v="Mayor que cuando iba todos los días a la oficina"/>
    <s v="Menor que cuando iba todos los días a la oficina"/>
    <s v="Iguales que cuando iba todos los días a la oficina"/>
    <s v="Igual que cuando iba todos los días a la oficina"/>
    <s v="Mayor que cuando iba todos los días a la oficina"/>
    <s v="manolonte@gmail.com"/>
    <s v="301+ empleados"/>
    <n v="0"/>
  </r>
  <r>
    <s v="España"/>
    <s v="36+ años"/>
    <s v="Masculino"/>
    <s v="Universitario"/>
    <s v="11-20 años"/>
    <s v="Desarrollador de software "/>
    <s v="Consultor técnico "/>
    <s v="&gt;500 empleados."/>
    <s v="Empresa que desarrolla software a medida partiendo desde cero"/>
    <s v="Multinacional"/>
    <s v="Frecuentemente"/>
    <s v="Alto"/>
    <s v="4-5 días"/>
    <s v="1-2 días"/>
    <s v="Híbrida casa (más días en casa que en la oficina)"/>
    <s v="Consensuada por las dos partes"/>
    <s v="En desacuerdo"/>
    <s v="Igual que cuando iba todos los días a la oficina"/>
    <s v="Igual que cuando iba todos los días a la oficina"/>
    <s v="Igual que cuando iba todos los días a la oficina"/>
    <s v="Diferentes que cuando iba todos los días a la oficina, ahora necesito menos horas para hacer lo mismo"/>
    <s v="Todas por videoconferencia"/>
    <s v="Menor que cuando eran en la oficina"/>
    <s v="Mayor que cuando iba todos los días a la oficina"/>
    <s v="Igual que cuando iba todos los días a la oficina"/>
    <s v="Igual que cuando iba todos los días a la oficina"/>
    <s v="Menor que cuando iba todos los días a la oficina"/>
    <x v="1"/>
    <x v="2"/>
    <x v="1"/>
    <s v="Igual que cuando iba todos los días a la oficina"/>
    <x v="4"/>
    <s v="Igual que cuando iba todos los días a la oficina"/>
    <s v="Mucho menos que cuando iba todos los días a la oficina"/>
    <s v="Menos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es que cuando iba todos los días a la oficina"/>
    <s v="Igual que cuando iba todos los días a la oficina"/>
    <s v="Igual que cuando iba todos los días a la oficina"/>
    <s v="Mayor que cuando iba todos los días a la oficina"/>
    <s v="Igual que cuando iba todos los días a la oficina"/>
    <s v="Menor que cuando iba todos los días a la oficina"/>
    <s v="Mayor que cuando iba todos los días a la oficina"/>
    <s v="Mayor que cuando iba todos los días a la oficina"/>
    <s v="Mucho mayor que cuando iba todos los días a la oficina"/>
    <s v="Iguales que cuando iba todos los días a la oficina"/>
    <s v="Mayor que cuando iba todos los días a la oficina"/>
    <s v="Iguales que cuando iba todos los días a la oficina"/>
    <s v="Mayor que cuando iba todos los días a la oficina"/>
    <s v="Menores que cuando iba todos los días a la oficina"/>
    <s v="Iguales que cuando iba todos los días a la oficina"/>
    <s v="Menos que cuando iba todos los días a la oficina"/>
    <s v="Igual que cuando iba todos los días a la oficina"/>
    <s v="Mayores que cuando iba todos los días a la oficina"/>
    <s v="Mayor que cuando iba todos los días a la oficina"/>
    <s v="Igual que cuando iba todos los días a la oficina"/>
    <s v="Más que cuando iba todos los días a la oficina"/>
    <s v="Mayores que cuando iba todos los días a la oficina"/>
    <s v="Igual que cuando iba todos los días a la oficina"/>
    <s v="Mayor que cuando iba todos los días a la oficina"/>
    <s v="Igual que cuando iba todos los días a la oficina"/>
    <s v="Mayor que cuando iba todos los días a la oficina"/>
    <s v="Igual que cuando iba todos los días a la oficina"/>
    <s v="Mayor que cuando iba todos los días a la oficina"/>
    <s v="Mayor que cuando iba todos los días a la oficina"/>
    <s v="Mayor que cuando iba todos los días a la oficina"/>
    <s v="Igual que cuando iba todos los días a la oficina"/>
    <s v="Mayor que cuando iba todos los días a la oficina"/>
    <s v="Igual que cuando iba todos los días a la oficina"/>
    <s v="Iguales que cuando iba todos los días a la oficina"/>
    <s v="Mayor que cuando iba todos los días a la oficina"/>
    <s v="Mucho Mayor que cuando iba todos los días a la oficina"/>
    <s v="Mayor que cuando iba todos los días a la oficina"/>
    <s v="Menor que cuando iba todos los días a la oficina"/>
    <s v="Mayor que cuando iba todos los días a la oficina"/>
    <s v="Menor que cuando iba todos los días a la oficina"/>
    <s v="Igual que cuando iba todos los días a la oficina"/>
    <s v="Igual que cuando iba todos los días a la oficina"/>
    <s v="Menor que cuando iba todos los días a la oficina"/>
    <s v="Igual que cuando iba todos los días a la oficina"/>
    <s v="Mucho Mayor que cuando iba todos los días a la oficina"/>
    <s v="Menor que cuando iba todos los días a la oficina"/>
    <s v="Iguales que cuando iba todos los días a la oficina"/>
    <s v="Igual que cuando iba todos los días a la oficina"/>
    <s v="Mayor que cuando iba todos los días a la oficina"/>
    <m/>
    <s v="301+ empleados"/>
    <n v="0"/>
  </r>
  <r>
    <s v="España"/>
    <s v="36+ años"/>
    <s v="Masculino"/>
    <s v="Máster"/>
    <s v="11-20 años"/>
    <s v="Ingeniero de datos"/>
    <s v="Científico de datos"/>
    <s v="51-150 empleados"/>
    <s v="Empresa que desarrolla software a medida partiendo desde cero"/>
    <s v="Multinacional"/>
    <s v="Muy Frecuentemente"/>
    <s v="Alto"/>
    <s v="4-5 días"/>
    <s v="Ninguno"/>
    <s v="Híbrida casa (más días en casa que en la oficina)"/>
    <s v="Consensuada por las dos partes"/>
    <s v="En desacuerdo"/>
    <s v="Mucho menor que cuando iba todos los días a la oficina"/>
    <s v="Menor que cuando iba todos los días a la oficina"/>
    <s v="Menor que cuando iba todos los días a la oficina"/>
    <s v="Diferentes que cuando iba todos los días a la oficina, ahora necesito menos horas para hacer lo mismo"/>
    <s v="Todas por videoconferencia"/>
    <s v="Mayor que cuando eran en la oficina"/>
    <s v="Mayor que cuando iba todos los días a la oficina"/>
    <s v="Mayor que cuando iba todos los días a la oficina"/>
    <s v="Mayor que cuando iba todos los días a la oficina"/>
    <s v="Igual que cuando iba todos los días a la oficina"/>
    <x v="2"/>
    <x v="1"/>
    <x v="3"/>
    <s v="Menor que cuando iba todos los días a la oficina"/>
    <x v="2"/>
    <s v="Igual que cuando iba todos los días a la oficina"/>
    <s v="Igual que cuando iba todos los días a la oficina"/>
    <s v="Igual que cuando iba todos los días a la oficina"/>
    <s v="Igual que cuando iba todos los días a la oficina"/>
    <s v="Más que cuando iba todos los días a la oficina"/>
    <s v="Mas que cuando iba todos los días a la oficina"/>
    <s v="Mas que cuando iba todos los días a la oficina"/>
    <s v="Mas que cuando iba todos los días a la oficina"/>
    <s v="Mucho mas que cuando iba todos los días a la oficina"/>
    <s v="Menores que cuando iba todos los días a la oficina"/>
    <s v="Menor que cuando iba todos los días a la oficina"/>
    <s v="Igual que cuando iba todos los días a la oficina"/>
    <s v="Mayor que cuando iba todos los días a la oficina"/>
    <s v="Menor que cuando iba todos los días a la oficina"/>
    <s v="Mayor que cuando iba todos los días a la oficina"/>
    <s v="Mayor que cuando iba todos los días a la oficina"/>
    <s v="Mayor que cuando iba todos los días a la oficina"/>
    <s v="Mayor que cuando iba todos los días a la oficina"/>
    <s v="Iguales que cuando iba todos los días a la oficina"/>
    <s v="Mayor que cuando iba todos los días a la oficina"/>
    <s v="Iguales que cuando iba todos los días a la oficina"/>
    <s v="Menor que cuando iba todos los días a la oficina"/>
    <s v="Mayores que cuando iba todos los días a la oficina"/>
    <s v="Iguales que cuando iba todos los días a la oficina"/>
    <s v="Igual que cuando iba todos los días a la oficina"/>
    <s v="Menor que cuando iba todos los días a la oficina"/>
    <s v="Mayores que cuando iba todos los días a la oficina"/>
    <s v="Menor que cuando iba todos los días a la oficina"/>
    <s v="Mayor que cuando iba todos los días a la oficina"/>
    <s v="Más que cuando iba todos los días a la oficina"/>
    <s v="Mayores que cuando iba todos los días a la oficina"/>
    <s v="Igual que cuando iba todos los días a la oficina"/>
    <s v="Menor que cuando iba todos los días a la oficina"/>
    <s v="Igual que cuando iba todos los días a la oficina"/>
    <s v="Mucho mayor que cuando iba todos los días a la oficina"/>
    <s v="Igual que cuando iba todos los días a la oficina"/>
    <s v="Menor que cuando iba todos los días a la oficina"/>
    <s v="Menor que cuando iba todos los días a la oficina"/>
    <s v="Menor que cuando iba todos los días a la oficina"/>
    <s v="Igual que cuando iba todos los días a la oficina"/>
    <s v="Mayor que cuando iba todos los días a la oficina"/>
    <s v="Menos que cuando iba todos los días a la oficina"/>
    <s v="Menores que cuando iba todos los días a la oficina"/>
    <s v="Mayor que cuando iba todos los días a la oficina"/>
    <s v="Mayor que cuando iba todos los días a la oficina"/>
    <s v="Menor que cuando iba todos los días a la oficina"/>
    <s v="Igual que cuando iba todos los días a la oficina"/>
    <s v="Menor que cuando iba todos los días a la oficina"/>
    <s v="Mayor que cuando iba todos los días a la oficina"/>
    <s v="Peor que cuando iba todos los días a la oficina"/>
    <s v="Menor que cuando iba todos los días a la oficina"/>
    <s v="Menor que cuando iba todos los días a la oficina"/>
    <s v="Igual que cuando iba todos los días a la oficina"/>
    <s v="Igual que cuando iba todos los días a la oficina"/>
    <s v="Igual que cuando iba todos los días a la oficina"/>
    <s v="Mayores que cuando iba todos los días a la oficina"/>
    <s v="Igual que cuando iba todos los días a la oficina"/>
    <s v="Igual que cuando iba todos los días a la oficina"/>
    <m/>
    <s v="&lt;301 empleados"/>
    <n v="0"/>
  </r>
  <r>
    <s v="España"/>
    <s v="36+ años"/>
    <s v="Masculino"/>
    <s v="Máster Ingeniería Industrial"/>
    <s v="&lt;5 años"/>
    <s v="Ingeniero de I+D"/>
    <s v="Ingeniero de Integraciones de Software"/>
    <s v="&gt;500 empleados."/>
    <s v="Empresa que desarrolla software a medida partiendo desde cero"/>
    <s v="Multinacional"/>
    <s v="Nunca"/>
    <s v="Alto"/>
    <s v="4-5 días"/>
    <s v="Ninguno"/>
    <s v="Remota ( todos los días en casa)"/>
    <s v="Decidida por ti"/>
    <s v="Totalmente de acuerdo"/>
    <s v="Igual que cuando iba todos los días a la oficina"/>
    <s v="Igual que cuando iba todos los días a la oficina"/>
    <s v="Igual que cuando iba todos los días a la oficina"/>
    <s v="Diferentes que cuando iba todos los días a la oficina, ahora necesito menos horas para hacer lo mismo"/>
    <s v="Todas por videoconferencia"/>
    <s v="Igual que cuando eran en la oficina"/>
    <s v="Mayor que cuando iba todos los días a la oficina"/>
    <s v="Mayor que cuando iba todos los días a la oficina"/>
    <s v="Mayor que cuando iba todos los días a la oficina"/>
    <s v="Mayor que cuando iba todos los días a la oficina"/>
    <x v="0"/>
    <x v="1"/>
    <x v="0"/>
    <s v="Mayor que cuando iba todos los días a la oficina"/>
    <x v="2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es que cuando iba todos los días a la oficina"/>
    <s v="Igual que cuando iba todos los días a la oficina"/>
    <s v="Igual que cuando iba todos los días a la oficina"/>
    <s v="Menor que cuando iba todos los días a la oficina"/>
    <s v="Mayor que cuando iba todos los días a la oficina"/>
    <s v="Menor que cuando iba todos los días a la oficina"/>
    <s v="Menor que cuando iba todos los días a la oficina"/>
    <s v="Menor que cuando iba todos los días a la oficina"/>
    <s v="Mayor que cuando iba todos los días a la oficina"/>
    <s v="Menores que cuando iba todos los días a la oficina"/>
    <s v="Mayor que cuando iba todos los días a la oficina"/>
    <s v="Iguales que cuando iba todos los días a la oficina"/>
    <s v="Mayor que cuando iba todos los días a la oficina"/>
    <s v="Menores que cuando iba todos los días a la oficina"/>
    <s v="Iguales que cuando iba todos los días a la oficina"/>
    <s v="Igual que cuando iba todos los días a la oficina"/>
    <s v="Igual que cuando iba todos los días a la oficina"/>
    <s v="Menores que cuando iba todos los días a la oficina"/>
    <s v="Mayor que cuando iba todos los días a la oficina"/>
    <s v="Igual que cuando iba todos los días a la oficina"/>
    <s v="Igual que cuando iba todos los días a la oficina"/>
    <s v="Iguales que cuando iba todos los días a la oficina"/>
    <s v="Igual que cuando iba todos los días a la oficina"/>
    <s v="Mayor que cuando iba todos los días a la oficina"/>
    <s v="Mayor que cuando iba todos los días a la oficina"/>
    <s v="Mucho mayor que cuando iba todos los días a la oficina"/>
    <s v="Mayor que cuando iba todos los días a la oficina"/>
    <s v="Mayor que cuando iba todos los días a la oficina"/>
    <s v="Igual que cuando iba todos los días a la oficina"/>
    <s v="Mayor que cuando iba todos los días a la oficina"/>
    <s v="Igual que cuando iba todos los días a la oficina"/>
    <s v="Igual que cuando iba todos los días a la oficina"/>
    <s v="Igual que cuando iba todos los días a la oficina"/>
    <s v="Iguales que cuando iba todos los días a la oficina"/>
    <s v="Igual que cuando iba todos los días a la oficina"/>
    <s v="Igual que cuando iba todos los días a la oficina"/>
    <s v="Igual que cuando iba todos los días a la oficina"/>
    <s v="Menor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es que cuando iba todos los días a la oficina"/>
    <s v="Igual que cuando iba todos los días a la oficina"/>
    <s v="Mayor que cuando iba todos los días a la oficina"/>
    <m/>
    <s v="301+ empleados"/>
    <n v="0"/>
  </r>
  <r>
    <s v="España"/>
    <s v="36+ años"/>
    <s v="Masculino"/>
    <s v="Máster "/>
    <s v="&lt;5 años"/>
    <s v="Ingeniero de Software"/>
    <s v="Ingeniero de Software "/>
    <s v="51-150 empleados"/>
    <s v="Empresa que desarrolla software a medida partiendo desde cero"/>
    <s v="Multinacional"/>
    <s v="Frecuentemente"/>
    <s v="Alto"/>
    <s v="4-5 días"/>
    <s v="Ninguno"/>
    <s v="Remota ( todos los días en casa)"/>
    <s v="Consensuada por las dos partes"/>
    <s v="En desacuerdo"/>
    <s v="Igual que cuando iba todos los días a la oficina"/>
    <s v="Menor que cuando iba todos los días a la oficina"/>
    <s v="Igual que cuando iba todos los días a la oficina"/>
    <s v="Diferentes que cuando iba todos los días a la oficina, ahora necesito menos horas para hacer lo mismo"/>
    <s v="Todas por videoconferencia"/>
    <s v="Igual que cuando eran en la oficina"/>
    <s v="Mayor que cuando iba todos los días a la oficina"/>
    <s v="No tengo la información para contestar a la pregunta"/>
    <s v="No tengo la información para contestar a la pregunta"/>
    <s v="Mucho menor que cuando iba todos los días a la oficina"/>
    <x v="2"/>
    <x v="0"/>
    <x v="0"/>
    <s v="Igual que cuando iba todos los días a la oficina"/>
    <x v="3"/>
    <s v="No tengo la información para contestar a la pregunta"/>
    <s v="Igual que cuando iba todos los días a la oficina"/>
    <s v="Igual que cuando iba todos los días a la oficina"/>
    <s v="Igual que cuando iba todos los días a la oficina"/>
    <s v="No tengo la información para contestar a la pregunta"/>
    <s v="Mas que cuando iba todos los días a la oficina"/>
    <s v="No tengo la información para contestar a la pregunta"/>
    <s v="Igual que cuando iba todos los días a la oficina"/>
    <s v="Igual que cuando iba todos los días a la oficina"/>
    <s v="Iguales que cuando iba todos los días a la oficina"/>
    <s v="Menor que cuando iba todos los días a la oficina"/>
    <s v="Mayor que cuando iba todos los días a la oficina"/>
    <s v="Mucho menor que cuando iba todos los días a la oficina"/>
    <s v="Mucho Mayor que cuando iba todos los días a la oficina"/>
    <s v="Mucho menor que cuando iba todos los días a la oficina"/>
    <s v="Mucho menor que cuando iba todos los días a la oficina"/>
    <s v="Menor que cuando iba todos los días a la oficina"/>
    <s v="Mucho mayor que cuando iba todos los días a la oficina"/>
    <s v="Menores que cuando iba todos los días a la oficina"/>
    <s v="Mucho mayor que cuando iba todos los días a la oficina"/>
    <s v="Iguales que cuando iba todos los días a la oficina"/>
    <s v="Mayor que cuando iba todos los días a la oficina"/>
    <s v="No tengo la información para contestar a la pregunta"/>
    <s v="Iguales que cuando iba todos los días a la oficina"/>
    <s v="Mucho menos que cuando iba todos los días a la oficina"/>
    <s v="Igual que cuando iba todos los días a la oficina"/>
    <s v="Menores que cuando iba todos los días a la oficina"/>
    <s v="Mayor que cuando iba todos los días a la oficina"/>
    <s v="No tengo la información para contestar a la pregunta"/>
    <s v="No tengo la información para contestar a la pregunta"/>
    <s v="Iguales que cuando iba todos los días a la oficina"/>
    <s v="Igual que cuando iba todos los días a la oficina"/>
    <s v="Mucho Mayor que cuando iba todos los días a la oficina"/>
    <s v="Mucho Mayor que cuando iba todos los días a la oficina"/>
    <s v="Mucho mayor que cuando iba todos los días a la oficina"/>
    <s v="Mayor que cuando iba todos los días a la oficina"/>
    <s v="Mayor que cuando iba todos los días a la oficina"/>
    <s v="Mucho Mayor que cuando iba todos los días a la oficina"/>
    <s v="Mucho Mayor que cuando iba todos los días a la oficina"/>
    <s v="Mayor que cuando iba todos los días a la oficina"/>
    <s v="Igual que cuando iba todos los días a la oficina"/>
    <s v="Igual que cuando iba todos los días a la oficina"/>
    <s v="Iguales que cuando iba todos los días a la oficina"/>
    <s v="Igual que cuando iba todos los días a la oficina"/>
    <s v="Mucho Mayor que cuando iba todos los días a la oficina"/>
    <s v="Igual que cuando iba todos los días a la oficina"/>
    <s v="Mucho menor que cuando iba todos los días a la oficina"/>
    <s v="Igual que cuando iba todos los días a la oficina"/>
    <s v="Menor que cuando iba todos los días a la oficina"/>
    <s v="Igual que cuando iba todos los días a la oficina"/>
    <s v="Igual que cuando iba todos los días a la oficina"/>
    <s v="Igual que cuando iba todos los días a la oficina"/>
    <s v="Mayor que cuando iba todos los días a la oficina"/>
    <s v="Mucho Mayor que cuando iba todos los días a la oficina"/>
    <s v="Mucho menor que cuando iba todos los días a la oficina"/>
    <s v="Iguales que cuando iba todos los días a la oficina"/>
    <s v="Mucho Mayor que cuando iba todos los días a la oficina"/>
    <s v="Mayor que cuando iba todos los días a la oficina"/>
    <m/>
    <s v="&lt;301 empleados"/>
    <n v="0"/>
  </r>
  <r>
    <s v="España"/>
    <s v="36+ años"/>
    <s v="Masculino"/>
    <s v="Master Universitario en Ingeniería Informática "/>
    <s v="5-10 años"/>
    <s v="Ingeniero de Software"/>
    <s v="Consultor"/>
    <s v="&gt;500 empleados."/>
    <s v="Fábrica de Software"/>
    <s v="Multinacional"/>
    <s v="A veces"/>
    <s v="Alto"/>
    <s v="4-5 días"/>
    <s v="Ninguno"/>
    <s v="Remota ( todos los días en casa)"/>
    <s v="Consensuada por las dos partes"/>
    <s v="De acuerdo"/>
    <s v="Igual que cuando iba todos los días a la oficina"/>
    <s v="Igual que cuando iba todos los días a la oficina"/>
    <s v="Igual que cuando iba todos los días a la oficina"/>
    <s v="Iguales que cuando iba todos los días a la oficina"/>
    <s v="Todas por videoconferencia"/>
    <s v="Igual que cuando eran en la oficina"/>
    <s v="Mucho Mayor que cuando iba todos los días a la oficina"/>
    <s v="Mucho Mayor que cuando iba todos los días a la oficina"/>
    <s v="Mucho Mayor que cuando iba todos los días a la oficina"/>
    <s v="Mucho Mayor que cuando iba todos los días a la oficina"/>
    <x v="1"/>
    <x v="0"/>
    <x v="2"/>
    <s v="Mucho mayor que cuando iba todos los días a la oficina"/>
    <x v="2"/>
    <s v="Igual que cuando iba todos los días a la oficina"/>
    <s v="Igual que cuando iba todos los días a la oficina"/>
    <s v="No trabajo con personas con un horario distinto al mío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es que cuando iba todos los días a la oficina"/>
    <s v="Igual que cuando iba todos los días a la oficina"/>
    <s v="Igual que cuando iba todos los días a la oficina"/>
    <s v="Mucho menor que cuando iba todos los días a la oficina"/>
    <s v="Mucho Mayor que cuando iba todos los días a la oficina"/>
    <s v="Menor que cuando iba todos los días a la oficina"/>
    <s v="Menor que cuando iba todos los días a la oficina"/>
    <s v="Menor que cuando iba todos los días a la oficina"/>
    <s v="Mucho mayor que cuando iba todos los días a la oficina"/>
    <s v="Mucho menores que cuando iba todos los días a la oficina"/>
    <s v="Mucho mayor que cuando iba todos los días a la oficina"/>
    <s v="No hay diferencias culturales en mi equipo"/>
    <s v="Igual que cuando iba todos los días a la oficina"/>
    <s v="Mucho menores que cuando iba todos los días a la oficina"/>
    <s v="No tengo que utilizar diferentes idiomas en mi trabajo"/>
    <s v="No trabajo con personas con distintos horarios"/>
    <s v="Igual que cuando iba todos los días a la oficina"/>
    <s v="Mucho menores que cuando iba todos los días a la oficina"/>
    <s v="Mucho mayor que cuando iba todos los días a la oficina"/>
    <s v="Mucho menor que cuando iba todos los días a la oficina"/>
    <s v="Mucho menos que cuando iba todos los días a la oficina"/>
    <s v="Iguales que cuando iba todos los días a la oficina"/>
    <s v="Mucho mejor que cuando iba todos los días a la oficina"/>
    <s v="Mucho Mayor que cuando iba todos los días a la oficina"/>
    <s v="Mucho Mayor que cuando iba todos los días a la oficina"/>
    <s v="Mucho mayor que cuando iba todos los días a la oficina"/>
    <s v="Mucho Mayor que cuando iba todos los días a la oficina"/>
    <s v="Mucho Mayor que cuando iba todos los días a la oficina"/>
    <s v="Mucho Mayor que cuando iba todos los días a la oficina"/>
    <s v="Mucho Mayor que cuando iba todos los días a la oficina"/>
    <s v="Mucho Mayor que cuando iba todos los días a la oficina"/>
    <s v="Mucho menor que cuando iba todos los días a la oficina"/>
    <s v="Mucho mas que cuando iba todos los días a la oficina"/>
    <s v="Mucho Mayores que cuando iba todos los días a la oficina"/>
    <s v="Mucho Mayor que cuando iba todos los días a la oficina"/>
    <s v="Mucho Mayor que cuando iba todos los días a la oficina"/>
    <s v="Mucho Mayor que cuando iba todos los días a la oficina"/>
    <s v="Mucho menor que cuando iba todos los días a la oficina"/>
    <s v="Mucho Mayor que cuando iba todos los días a la oficina"/>
    <s v="Mucho menor que cuando iba todos los días a la oficina"/>
    <s v="Mucho Mejor que cuando iba todos los días a la oficina"/>
    <s v="Mucho Mayor que cuando iba todos los días a la oficina"/>
    <s v="Mayor que cuando iba todos los días a la oficina"/>
    <s v="Mucho Mayor que cuando iba todos los días a la oficina"/>
    <s v="Mucho Mayor que cuando iba todos los días a la oficina"/>
    <s v="Mucho menor que cuando iba todos los días a la oficina"/>
    <s v="Mucho menores que cuando iba todos los días a la oficina"/>
    <s v="Mucho Mayor que cuando iba todos los días a la oficina"/>
    <s v="Mucho mayor que cuando iba todos los días a la oficina"/>
    <s v="sergiopsinformatico@gmail.com"/>
    <s v="301+ empleados"/>
    <n v="0"/>
  </r>
  <r>
    <s v="España"/>
    <s v="36+ años"/>
    <s v="Masculino"/>
    <s v="Ingeniero técnico en Informática de Sistemas"/>
    <s v="21-30 años"/>
    <s v="Referente tecnológico"/>
    <s v="Arquitecto de software"/>
    <s v="&gt;500 empleados."/>
    <s v="Empresa que desarrolla software a medida partiendo desde cero"/>
    <s v="Multinacional"/>
    <s v="Casi Nunca"/>
    <s v="Alto"/>
    <s v="4-5 días"/>
    <s v="Ninguno"/>
    <s v="Remota ( todos los días en casa)"/>
    <s v="Consensuada por las dos partes"/>
    <s v="De acuerdo"/>
    <s v="Igual que cuando iba todos los días a la oficina"/>
    <s v="Igual que cuando iba todos los días a la oficina"/>
    <s v="Igual que cuando iba todos los días a la oficina"/>
    <s v="Iguales que cuando iba todos los días a la oficina"/>
    <s v="Todas por videoconferencia"/>
    <s v="Igual que cuando eran en la oficina"/>
    <s v="Mayor que cuando iba todos los días a la oficina"/>
    <s v="Mayor que cuando iba todos los días a la oficina"/>
    <s v="Mayor que cuando iba todos los días a la oficina"/>
    <s v="Mucho Mayor que cuando iba todos los días a la oficina"/>
    <x v="2"/>
    <x v="1"/>
    <x v="1"/>
    <s v="Igual que cuando iba todos los días a la oficina"/>
    <x v="2"/>
    <s v="Más que cuando iba todos los días a la oficina"/>
    <s v="Mucho menos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es que cuando iba todos los días a la oficina"/>
    <s v="Igual que cuando iba todos los días a la oficina"/>
    <s v="Igual que cuando iba todos los días a la oficina"/>
    <s v="Igual que cuando iba todos los días a la oficina"/>
    <s v="Mayor que cuando iba todos los días a la oficina"/>
    <s v="Igual que cuando iba todos los días a la oficina"/>
    <s v="Igual que cuando iba todos los días a la oficina"/>
    <s v="Igual que cuando iba todos los días a la oficina"/>
    <s v="Mucho mayor que cuando iba todos los días a la oficina"/>
    <s v="Iguales que cuando iba todos los días a la oficina"/>
    <s v="Mucho mayor que cuando iba todos los días a la oficina"/>
    <s v="Iguales que cuando iba todos los días a la oficina"/>
    <s v="Igual que cuando iba todos los días a la oficina"/>
    <s v="Iguales que cuando iba todos los días a la oficina"/>
    <s v="No tengo que utilizar diferentes idiomas en mi trabajo"/>
    <s v="Igual que cuando iba todos los días a la oficina"/>
    <s v="Igual que cuando iba todos los días a la oficina"/>
    <s v="Menores que cuando iba todos los días a la oficina"/>
    <s v="Mayor que cuando iba todos los días a la oficina"/>
    <s v="Igual que cuando iba todos los días a la oficina"/>
    <s v="Igual que cuando iba todos los días a la oficina"/>
    <s v="Iguales que cuando iba todos los días a la oficina"/>
    <s v="Igual que cuando iba todos los días a la oficina"/>
    <s v="Igual que cuando iba todos los días a la oficina"/>
    <s v="Mucho Mayor que cuando iba todos los días a la oficina"/>
    <s v="Mucho mayor que cuando iba todos los días a la oficina"/>
    <s v="Igual que cuando iba todos los días a la oficina"/>
    <s v="Igual que cuando iba todos los días a la oficina"/>
    <s v="Mayor que cuando iba todos los días a la oficina"/>
    <s v="Mayor que cuando iba todos los días a la oficina"/>
    <s v="Mayor que cuando iba todos los días a la oficina"/>
    <s v="Igual que cuando iba todos los días a la oficina"/>
    <s v="Igual que cuando iba todos los días a la oficina"/>
    <s v="Iguales que cuando iba todos los días a la oficina"/>
    <s v="Mayor que cuando iba todos los días a la oficina"/>
    <s v="Mucho Mayor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Menor que cuando iba todos los días a la oficina"/>
    <s v="Igual que cuando iba todos los días a la oficina"/>
    <s v="Mayor que cuando iba todos los días a la oficina"/>
    <s v="Igual que cuando iba todos los días a la oficina"/>
    <s v="Iguales que cuando iba todos los días a la oficina"/>
    <s v="Igual que cuando iba todos los días a la oficina"/>
    <s v="Mayor que cuando iba todos los días a la oficina"/>
    <s v="ferozar@gmail.com"/>
    <s v="301+ empleados"/>
    <n v="0"/>
  </r>
  <r>
    <s v="España"/>
    <s v="36+ años"/>
    <s v="Masculino"/>
    <s v="Universitario"/>
    <s v="21-30 años"/>
    <s v="Responsable ERP"/>
    <s v="Responsable ERP"/>
    <s v="&gt;500 empleados."/>
    <s v="Fábrica de Software"/>
    <s v="Multinacional"/>
    <s v="A veces"/>
    <s v="Alto"/>
    <s v="4-5 días"/>
    <s v="1-2 días"/>
    <s v="Remota ( todos los días en casa)"/>
    <s v="Consensuada por las dos partes"/>
    <s v="Totalmente en desacuerdo"/>
    <s v="Igual que cuando iba todos los días a la oficina"/>
    <s v="Igual que cuando iba todos los días a la oficina"/>
    <s v="Igual que cuando iba todos los días a la oficina"/>
    <s v="Iguales que cuando iba todos los días a la oficina"/>
    <s v="Todas por videoconferencia"/>
    <s v="Igual que cuando eran en la oficina"/>
    <s v="Igual que cuando iba todos los días a la oficina"/>
    <s v="Igual que cuando iba todos los días a la oficina"/>
    <s v="Igual que cuando iba todos los días a la oficina"/>
    <s v="Igual que cuando iba todos los días a la oficina"/>
    <x v="1"/>
    <x v="0"/>
    <x v="1"/>
    <s v="Igual que cuando iba todos los días a la oficina"/>
    <x v="2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Mas que cuando iba todos los días a la oficina"/>
    <s v="Mas que cuando iba todos los días a la oficina"/>
    <s v="Igual que cuando iba todos los días a la oficina"/>
    <s v="Iguales que cuando iba todos los días a la oficina"/>
    <s v="Igual que cuando iba todos los días a la oficina"/>
    <s v="Mayor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es que cuando iba todos los días a la oficina"/>
    <s v="Mayor que cuando iba todos los días a la oficina"/>
    <s v="Iguales que cuando iba todos los días a la oficina"/>
    <s v="Igual que cuando iba todos los días a la oficina"/>
    <s v="Iguales que cuando iba todos los días a la oficina"/>
    <s v="Iguales que cuando iba todos los días a la oficina"/>
    <s v="Igual que cuando iba todos los días a la oficina"/>
    <s v="Igual que cuando iba todos los días a la oficina"/>
    <s v="Menores que cuando iba todos los días a la oficina"/>
    <s v="Mayor que cuando iba todos los días a la oficina"/>
    <s v="Igual que cuando iba todos los días a la oficina"/>
    <s v="Igual que cuando iba todos los días a la oficina"/>
    <s v="Iguales que cuando iba todos los días a la oficina"/>
    <s v="Igual que cuando iba todos los días a la oficina"/>
    <s v="Igual que cuando iba todos los días a la oficina"/>
    <s v="Igual que cuando iba todos los días a la oficina"/>
    <s v="Mayor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Mayores que cuando iba todos los días a la oficina"/>
    <s v="Igual que cuando iba todos los días a la oficina"/>
    <s v="Mucho Mayor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Peor que cuando iba todos los días a la oficina"/>
    <s v="Igual que cuando iba todos los días a la oficina"/>
    <s v="Mucho menor que cuando iba todos los días a la oficina"/>
    <s v="Igual que cuando iba todos los días a la oficina"/>
    <s v="Igual que cuando iba todos los días a la oficina"/>
    <s v="Igual que cuando iba todos los días a la oficina"/>
    <s v="Iguales que cuando iba todos los días a la oficina"/>
    <s v="Igual que cuando iba todos los días a la oficina"/>
    <s v="Igual que cuando iba todos los días a la oficina"/>
    <m/>
    <s v="301+ empleados"/>
    <n v="0"/>
  </r>
  <r>
    <s v="España"/>
    <s v="36+ años"/>
    <s v="Masculino"/>
    <s v="Ingeniero Informatico"/>
    <s v="11-20 años"/>
    <s v="Técnico"/>
    <s v="Proyect Manager"/>
    <s v="&gt;500 empleados."/>
    <s v="Fábrica de Software"/>
    <s v="Multinacional"/>
    <s v="Casi Nunca"/>
    <s v="Alto"/>
    <s v="4-5 días"/>
    <s v="Ninguno"/>
    <s v="Remota ( todos los días en casa)"/>
    <s v="Consensuada por las dos partes"/>
    <s v="De acuerdo"/>
    <s v="Igual que cuando iba todos los días a la oficina"/>
    <s v="Igual que cuando iba todos los días a la oficina"/>
    <s v="Igual que cuando iba todos los días a la oficina"/>
    <s v="Iguales que cuando iba todos los días a la oficina"/>
    <s v="Todas por videoconferencia"/>
    <s v="Igual que cuando eran en la oficina"/>
    <s v="Igual que cuando iba todos los días a la oficina"/>
    <s v="Igual que cuando iba todos los días a la oficina"/>
    <s v="Igual que cuando iba todos los días a la oficina"/>
    <s v="Igual que cuando iba todos los días a la oficina"/>
    <x v="1"/>
    <x v="2"/>
    <x v="1"/>
    <s v="Mayor que cuando iba todos los días a la oficina"/>
    <x v="1"/>
    <s v="Más que cuando iba todos los días a la oficina"/>
    <s v="Igual que cuando iba todos los días a la oficina"/>
    <s v="Más que cuando iba todos los días a la oficina"/>
    <s v="Más que cuando iba todos los días a la oficina"/>
    <s v="Igual que cuando iba todos los días a la oficina"/>
    <s v="Igual que cuando iba todos los días a la oficina"/>
    <s v="Mucho más que cuando iba todos los días a la oficina"/>
    <s v="Mas que cuando iba todos los días a la oficina"/>
    <s v="Mas que cuando iba todos los días a la oficina"/>
    <s v="Iguales que cuando iba todos los días a la oficina"/>
    <s v="Igual que cuando iba todos los días a la oficina"/>
    <s v="Menor que cuando iba todos los días a la oficina"/>
    <s v="Mayor que cuando iba todos los días a la oficina"/>
    <s v="Igual que cuando iba todos los días a la oficina"/>
    <s v="Mayor que cuando iba todos los días a la oficina"/>
    <s v="Mayor que cuando iba todos los días a la oficina"/>
    <s v="Mayor que cuando iba todos los días a la oficina"/>
    <s v="Mucho mayor que cuando iba todos los días a la oficina"/>
    <s v="Mayores que cuando iba todos los días a la oficina"/>
    <s v="Menor que cuando iba todos los días a la oficina"/>
    <s v="Iguales que cuando iba todos los días a la oficina"/>
    <s v="Igual que cuando iba todos los días a la oficina"/>
    <s v="Mayores que cuando iba todos los días a la oficina"/>
    <s v="Iguales que cuando iba todos los días a la oficina"/>
    <s v="Más que cuando iba todos los días a la oficina"/>
    <s v="Menor que cuando iba todos los días a la oficina"/>
    <s v="Menores que cuando iba todos los días a la oficina"/>
    <s v="Mayor que cuando iba todos los días a la oficina"/>
    <s v="Mayor que cuando iba todos los días a la oficina"/>
    <s v="Más que cuando iba todos los días a la oficina"/>
    <s v="Mayores que cuando iba todos los días a la oficina"/>
    <s v="Igual que cuando iba todos los días a la oficina"/>
    <s v="Mayor que cuando iba todos los días a la oficina"/>
    <s v="Mayor que cuando iba todos los días a la oficina"/>
    <s v="Mucho mayor que cuando iba todos los días a la oficina"/>
    <s v="Igual que cuando iba todos los días a la oficina"/>
    <s v="Igual que cuando iba todos los días a la oficina"/>
    <s v="Igual que cuando iba todos los días a la oficina"/>
    <s v="Mayor que cuando iba todos los días a la oficina"/>
    <s v="Mayor que cuando iba todos los días a la oficina"/>
    <s v="Igual que cuando iba todos los días a la oficina"/>
    <s v="Mas que cuando iba todos los días a la oficina"/>
    <s v="Mucho menores que cuando iba todos los días a la oficina"/>
    <s v="Igual que cuando iba todos los días a la oficina"/>
    <s v="Mucho Mayor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Peor que cuando iba todos los días a la oficina"/>
    <s v="Menor que cuando iba todos los días a la oficina"/>
    <s v="Mucho menor que cuando iba todos los días a la oficina"/>
    <s v="Igual que cuando iba todos los días a la oficina"/>
    <s v="Mayor que cuando iba todos los días a la oficina"/>
    <s v="Igual que cuando iba todos los días a la oficina"/>
    <s v="Iguales que cuando iba todos los días a la oficina"/>
    <s v="Menor que cuando iba todos los días a la oficina"/>
    <s v="Igual que cuando iba todos los días a la oficina"/>
    <m/>
    <s v="301+ empleados"/>
    <n v="1"/>
  </r>
  <r>
    <s v="España"/>
    <s v="36+ años"/>
    <s v="Femenino"/>
    <s v="Ciclo formativo superior"/>
    <s v="5-10 años"/>
    <s v="Tecnico it y responsable equipos"/>
    <s v="Service manager"/>
    <s v="&gt;500 empleados."/>
    <s v="Empresa que desarrolla software a medida partiendo desde cero"/>
    <s v="Multinacional"/>
    <s v="Frecuentemente"/>
    <s v="Alto"/>
    <s v="4-5 días"/>
    <s v="1-2 días"/>
    <s v="Híbrida casa (más días en casa que en la oficina)"/>
    <s v="Impuesta por la empresa"/>
    <s v="En desacuerdo"/>
    <s v="Menor que cuando iba todos los días a la oficina"/>
    <s v="Menor que cuando iba todos los días a la oficina"/>
    <s v="Menor que cuando iba todos los días a la oficina"/>
    <s v="Diferentes que cuando iba todos los días a la oficina, ahora necesito más horas para hacer lo mismo"/>
    <s v="Todas por videoconferencia"/>
    <s v="Menor que cuando eran en la oficina"/>
    <s v="Mayor que cuando iba todos los días a la oficina"/>
    <s v="Menor que cuando iba todos los días a la oficina"/>
    <s v="Menor que cuando iba todos los días a la oficina"/>
    <s v="Mayor que cuando iba todos los días a la oficina"/>
    <x v="2"/>
    <x v="1"/>
    <x v="1"/>
    <s v="Menor que cuando iba todos los días a la oficina"/>
    <x v="0"/>
    <s v="Más que cuando iba todos los días a la oficina"/>
    <s v="Más que cuando iba todos los días a la oficina"/>
    <s v="Más que cuando iba todos los días a la oficina"/>
    <s v="Más que cuando iba todos los días a la oficina"/>
    <s v="Más que cuando iba todos los días a la oficina"/>
    <s v="Mas que cuando iba todos los días a la oficina"/>
    <s v="Mucho más que cuando iba todos los días a la oficina"/>
    <s v="Mas que cuando iba todos los días a la oficina"/>
    <s v="Mas que cuando iba todos los días a la oficina"/>
    <s v="Iguales que cuando iba todos los días a la oficina"/>
    <s v="Mayor que cuando iba todos los días a la oficina"/>
    <s v="Mucho Mayor que cuando iba todos los días a la oficina"/>
    <s v="Mucho Mayor que cuando iba todos los días a la oficina"/>
    <s v="Mayor que cuando iba todos los días a la oficina"/>
    <s v="Mucho Mayor que cuando iba todos los días a la oficina"/>
    <s v="Mayor que cuando iba todos los días a la oficina"/>
    <s v="Mucho mayor que cuando iba todos los días a la oficina"/>
    <s v="Mayor que cuando iba todos los días a la oficina"/>
    <s v="Iguales que cuando iba todos los días a la oficina"/>
    <s v="Mayor que cuando iba todos los días a la oficina"/>
    <s v="Iguales que cuando iba todos los días a la oficina"/>
    <s v="Mucho mayor que cuando iba todos los días a la oficina"/>
    <s v="Mayores que cuando iba todos los días a la oficina"/>
    <s v="Iguales que cuando iba todos los días a la oficina"/>
    <s v="Más que cuando iba todos los días a la oficina"/>
    <s v="Igual que cuando iba todos los días a la oficina"/>
    <s v="Menores que cuando iba todos los días a la oficina"/>
    <s v="Mayor que cuando iba todos los días a la oficina"/>
    <s v="Mayor que cuando iba todos los días a la oficina"/>
    <s v="Igual que cuando iba todos los días a la oficina"/>
    <s v="Mayores que cuando iba todos los días a la oficina"/>
    <s v="Peor que cuando iba todos los días a la oficina"/>
    <s v="Menor que cuando iba todos los días a la oficina"/>
    <s v="Igual que cuando iba todos los días a la oficina"/>
    <s v="Mayor que cuando iba todos los días a la oficina"/>
    <s v="Mayor que cuando iba todos los días a la oficina"/>
    <s v="Igual que cuando iba todos los días a la oficina"/>
    <s v="Mayor que cuando iba todos los días a la oficina"/>
    <s v="Menor que cuando iba todos los días a la oficina"/>
    <s v="Mayor que cuando iba todos los días a la oficina"/>
    <s v="Mayor que cuando iba todos los días a la oficina"/>
    <s v="Menos que cuando iba todos los días a la oficina"/>
    <s v="Menores que cuando iba todos los días a la oficina"/>
    <s v="Igual que cuando iba todos los días a la oficina"/>
    <s v="Mayor que cuando iba todos los días a la oficina"/>
    <s v="Igual que cuando iba todos los días a la oficina"/>
    <s v="Menor que cuando iba todos los días a la oficina"/>
    <s v="Mayor que cuando iba todos los días a la oficina"/>
    <s v="Igual que cuando iba todos los días a la oficina"/>
    <s v="Peor que cuando iba todos los días a la oficina"/>
    <s v="Mayor que cuando iba todos los días a la oficina"/>
    <s v="Menor que cuando iba todos los días a la oficina"/>
    <s v="Mayor que cuando iba todos los días a la oficina"/>
    <s v="Mayor que cuando iba todos los días a la oficina"/>
    <s v="Menor que cuando iba todos los días a la oficina"/>
    <s v="Mayores que cuando iba todos los días a la oficina"/>
    <s v="Menor que cuando iba todos los días a la oficina"/>
    <s v="Igual que cuando iba todos los días a la oficina"/>
    <m/>
    <s v="301+ empleados"/>
    <n v="1"/>
  </r>
  <r>
    <s v="España"/>
    <s v="36+ años"/>
    <s v="Masculino"/>
    <s v="Posgrado"/>
    <s v="&lt;5 años"/>
    <s v="Tecnólogo"/>
    <s v="Consultor de calidad software"/>
    <s v="&lt;50 empleados"/>
    <s v="Empresa que subcontrata (outsourcing) los servicios de otra del mismo país"/>
    <s v="Local"/>
    <s v="A veces"/>
    <s v="Alto"/>
    <s v="4-5 días"/>
    <s v="Ninguno"/>
    <s v="Híbrida casa (más días en casa que en la oficina)"/>
    <s v="Consensuada por las dos partes"/>
    <s v="De acuerdo"/>
    <s v="Igual que cuando iba todos los días a la oficina"/>
    <s v="Menor que cuando iba todos los días a la oficina"/>
    <s v="Igual que cuando iba todos los días a la oficina"/>
    <s v="Iguales que cuando iba todos los días a la oficina"/>
    <s v="Todas por videoconferencia"/>
    <s v="Mayor que cuando eran en la oficina"/>
    <s v="Mayor que cuando iba todos los días a la oficina"/>
    <s v="Igual que cuando iba todos los días a la oficina"/>
    <s v="Igual que cuando iba todos los días a la oficina"/>
    <s v="Igual que cuando iba todos los días a la oficina"/>
    <x v="0"/>
    <x v="0"/>
    <x v="0"/>
    <s v="Mayor que cuando iba todos los días a la oficina"/>
    <x v="3"/>
    <s v="No tengo la información para contestar a la pregunta"/>
    <s v="No trabajo con personas de distintas culturas"/>
    <s v="No trabajo con personas con un horario distinto al mío"/>
    <s v="Más que cuando iba todos los días a la oficina"/>
    <s v="Más que cuando iba todos los días a la oficina"/>
    <s v="Mas que cuando iba todos los días a la oficina"/>
    <s v="Mucho más que cuando iba todos los días a la oficina"/>
    <s v="Mas que cuando iba todos los días a la oficina"/>
    <s v="Mucho mas que cuando iba todos los días a la oficina"/>
    <s v="Mayores que cuando iba todos los días a la oficina"/>
    <s v="Igual que cuando iba todos los días a la oficina"/>
    <s v="Igual que cuando iba todos los días a la oficina"/>
    <s v="Mucho Mayor que cuando iba todos los días a la oficina"/>
    <s v="Menor que cuando iba todos los días a la oficina"/>
    <s v="Mayor que cuando iba todos los días a la oficina"/>
    <s v="Mayor que cuando iba todos los días a la oficina"/>
    <s v="Mucho mayor que cuando iba todos los días a la oficina"/>
    <s v="Mucho mayor que cuando iba todos los días a la oficina"/>
    <s v="Mucho menores que cuando iba todos los días a la oficina"/>
    <s v="Mayor que cuando iba todos los días a la oficina"/>
    <s v="No hay diferencias culturales en mi equipo"/>
    <s v="Igual que cuando iba todos los días a la oficina"/>
    <s v="Iguales que cuando iba todos los días a la oficina"/>
    <s v="Iguales que cuando iba todos los días a la oficina"/>
    <s v="Más que cuando iba todos los días a la oficina"/>
    <s v="Menor que cuando iba todos los días a la oficina"/>
    <s v="Mayores que cuando iba todos los días a la oficina"/>
    <s v="Mucho menor que cuando iba todos los días a la oficina"/>
    <s v="Menor que cuando iba todos los días a la oficina"/>
    <s v="Mucho más que cuando iba todos los días a la oficina"/>
    <s v="Iguales que cuando iba todos los días a la oficina"/>
    <s v="Peor que cuando iba todos los días a la oficina"/>
    <s v="Menor que cuando iba todos los días a la oficina"/>
    <s v="Igual que cuando iba todos los días a la oficina"/>
    <s v="Mucho mayor que cuando iba todos los días a la oficina"/>
    <s v="Igual que cuando iba todos los días a la oficina"/>
    <s v="Mucho Mayor que cuando iba todos los días a la oficina"/>
    <s v="Mayor que cuando iba todos los días a la oficina"/>
    <s v="Igual que cuando iba todos los días a la oficina"/>
    <s v="Igual que cuando iba todos los días a la oficina"/>
    <s v="Menor que cuando iba todos los días a la oficina"/>
    <s v="Igual que cuando iba todos los días a la oficina"/>
    <s v="Iguales que cuando iba todos los días a la oficina"/>
    <s v="Igual que cuando iba todos los días a la oficina"/>
    <s v="Mucho menor que cuando iba todos los días a la oficina"/>
    <s v="Igual que cuando iba todos los días a la oficina"/>
    <s v="Igual que cuando iba todos los días a la oficina"/>
    <s v="Menor que cuando iba todos los días a la oficina"/>
    <s v="Igual que cuando iba todos los días a la oficina"/>
    <s v="Igual que cuando iba todos los días a la oficina"/>
    <s v="Menor que cuando iba todos los días a la oficina"/>
    <s v="Mucho menor que cuando iba todos los días a la oficina"/>
    <s v="Menor que cuando iba todos los días a la oficina"/>
    <s v="Menor que cuando iba todos los días a la oficina"/>
    <s v="Mucho menor que cuando iba todos los días a la oficina"/>
    <s v="Iguales que cuando iba todos los días a la oficina"/>
    <s v="Igual que cuando iba todos los días a la oficina"/>
    <s v="Mayor que cuando iba todos los días a la oficina"/>
    <s v="ruben.marquez.villalta@gmail.com"/>
    <s v="&lt;301 empleados"/>
    <n v="0"/>
  </r>
  <r>
    <s v="España"/>
    <s v="36+ años"/>
    <s v="Masculino"/>
    <s v="Grado Universidad"/>
    <s v="5-10 años"/>
    <s v="Desarrollador de software fullstack"/>
    <s v="Desarrollador de software backend"/>
    <s v="&gt;500 empleados."/>
    <s v="Empresa que desarrolla software a medida partiendo desde cero"/>
    <s v="Multinacional"/>
    <s v="A veces"/>
    <s v="Alto"/>
    <s v="4-5 días"/>
    <s v="Ninguno"/>
    <s v="Remota ( todos los días en casa)"/>
    <s v="Consensuada por las dos partes"/>
    <s v="De acuerdo"/>
    <s v="Mucho mayor que cuando iba todos los días a la oficina"/>
    <s v="Menor que cuando iba todos los días a la oficina"/>
    <s v="Menor que cuando iba todos los días a la oficina"/>
    <s v="Diferentes que cuando iba todos los días a la oficina, ahora necesito menos horas para hacer lo mismo"/>
    <s v="Todas por videoconferencia"/>
    <s v="Mucho menor que cuando eran en la oficina"/>
    <s v="Mayor que cuando iba todos los días a la oficina"/>
    <s v="Mucho Mayor que cuando iba todos los días a la oficina"/>
    <s v="Mucho Mayor que cuando iba todos los días a la oficina"/>
    <s v="Mucho Mayor que cuando iba todos los días a la oficina"/>
    <x v="0"/>
    <x v="0"/>
    <x v="3"/>
    <s v="Mucho mayor que cuando iba todos los días a la oficina"/>
    <x v="2"/>
    <s v="Más que cuando iba todos los días a la oficina"/>
    <s v="No trabajo con personas de distintas culturas"/>
    <s v="Mucho menos que cuando iba todos los días a la oficina"/>
    <s v="Mucho menos que cuando iba todos los días a la oficina"/>
    <s v="Mucho más que cuando iba todos los días a la oficina"/>
    <s v="Mucho más que cuando iba todos los días a la oficina"/>
    <s v="Mucho más que cuando iba todos los días a la oficina"/>
    <s v="Mas que cuando iba todos los días a la oficina"/>
    <s v="Mas que cuando iba todos los días a la oficina"/>
    <s v="Mucho Mayores que cuando iba todos los días a la oficina"/>
    <s v="Mucho Mayor que cuando iba todos los días a la oficina"/>
    <s v="Mayor que cuando iba todos los días a la oficina"/>
    <s v="Mucho menor que cuando iba todos los días a la oficina"/>
    <s v="Mucho Mayor que cuando iba todos los días a la oficina"/>
    <s v="Mucho menor que cuando iba todos los días a la oficina"/>
    <s v="Mucho menor que cuando iba todos los días a la oficina"/>
    <s v="Mayor que cuando iba todos los días a la oficina"/>
    <s v="Mucho mayor que cuando iba todos los días a la oficina"/>
    <s v="Mucho mayores que cuando iba todos los días a la oficina"/>
    <s v="Mucho mayor que cuando iba todos los días a la oficina"/>
    <s v="No hay diferencias culturales en mi equipo"/>
    <s v="Mucho mayor que cuando iba todos los días a la oficina"/>
    <s v="Mayores que cuando iba todos los días a la oficina"/>
    <s v="No tengo que utilizar diferentes idiomas en mi trabajo"/>
    <s v="Mucho menos que cuando iba todos los días a la oficina"/>
    <s v="Menor que cuando iba todos los días a la oficina"/>
    <s v="Menores que cuando iba todos los días a la oficina"/>
    <s v="Mayor que cuando iba todos los días a la oficina"/>
    <s v="Menor que cuando iba todos los días a la oficina"/>
    <s v="Más que cuando iba todos los días a la oficina"/>
    <s v="Mucho menores que cuando iba todos los días a la oficina"/>
    <s v="Mejor que cuando iba todos los días a la oficina"/>
    <s v="Mayor que cuando iba todos los días a la oficina"/>
    <s v="Mayor que cuando iba todos los días a la oficina"/>
    <s v="Mucho mayor que cuando iba todos los días a la oficina"/>
    <s v="Igual que cuando iba todos los días a la oficina"/>
    <s v="Menor que cuando iba todos los días a la oficina"/>
    <s v="Mucho Mayor que cuando iba todos los días a la oficina"/>
    <s v="Menor que cuando iba todos los días a la oficina"/>
    <s v="Igual que cuando iba todos los días a la oficina"/>
    <s v="Mayor que cuando iba todos los días a la oficina"/>
    <s v="Mucho mas que cuando iba todos los días a la oficina"/>
    <s v="Mayores que cuando iba todos los días a la oficina"/>
    <s v="Mucho Mayor que cuando iba todos los días a la oficina"/>
    <s v="Mucho Mayor que cuando iba todos los días a la oficina"/>
    <s v="Mucho Mayor que cuando iba todos los días a la oficina"/>
    <s v="Mayor que cuando iba todos los días a la oficina"/>
    <s v="Menor que cuando iba todos los días a la oficina"/>
    <s v="Mucho menor que cuando iba todos los días a la oficina"/>
    <s v="Igual que cuando iba todos los días a la oficina"/>
    <s v="Mayor que cuando iba todos los días a la oficina"/>
    <s v="Mucho menor que cuando iba todos los días a la oficina"/>
    <s v="Igual que cuando iba todos los días a la oficina"/>
    <s v="Mucho Mayor que cuando iba todos los días a la oficina"/>
    <s v="Mucho menor que cuando iba todos los días a la oficina"/>
    <s v="Mayores que cuando iba todos los días a la oficina"/>
    <s v="Igual que cuando iba todos los días a la oficina"/>
    <s v="Mucho mayor que cuando iba todos los días a la oficina"/>
    <s v="jmsierra91@gmail.com"/>
    <s v="301+ empleados"/>
    <n v="0"/>
  </r>
  <r>
    <s v="España"/>
    <s v="36+ años"/>
    <s v="Masculino"/>
    <s v="Master/Doctorado en progreso "/>
    <s v="5-10 años"/>
    <s v="Desarrollador FullStack"/>
    <s v="Arquitecto Software - Specialist"/>
    <s v="&gt;500 empleados."/>
    <s v="Empresa que desarrolla software a medida partiendo desde cero"/>
    <s v="Multinacional"/>
    <s v="Frecuentemente"/>
    <s v="Alto"/>
    <s v="4-5 días"/>
    <s v="Ninguno"/>
    <s v="Remota ( todos los días en casa)"/>
    <s v="Consensuada por las dos partes"/>
    <s v="En desacuerdo"/>
    <s v="Mayor que cuando iba todos los días a la oficina"/>
    <s v="Mucho Mayor que cuando iba todos los días a la oficina"/>
    <s v="Mayor que cuando iba todos los días a la oficina"/>
    <s v="Diferentes que cuando iba todos los días a la oficina, ahora necesito menos horas para hacer lo mismo"/>
    <s v="Casi todas por videoconferencia"/>
    <s v="Igual que cuando eran en la oficina"/>
    <s v="Mayor que cuando iba todos los días a la oficina"/>
    <s v="Mayor que cuando iba todos los días a la oficina"/>
    <s v="Mayor que cuando iba todos los días a la oficina"/>
    <s v="Mayor que cuando iba todos los días a la oficina"/>
    <x v="2"/>
    <x v="1"/>
    <x v="0"/>
    <s v="Mucho mayor que cuando iba todos los días a la oficina"/>
    <x v="4"/>
    <s v="Mucho más que cuando iba todos los días a la oficina"/>
    <s v="Mucho más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Mucho mas que cuando iba todos los días a la oficina"/>
    <s v="Iguales que cuando iba todos los días a la oficina"/>
    <s v="Menor que cuando iba todos los días a la oficina"/>
    <s v="Mayor que cuando iba todos los días a la oficina"/>
    <s v="Mucho menor que cuando iba todos los días a la oficina"/>
    <s v="Mayor que cuando iba todos los días a la oficina"/>
    <s v="Menor que cuando iba todos los días a la oficina"/>
    <s v="Mucho menor que cuando iba todos los días a la oficina"/>
    <s v="Menor que cuando iba todos los días a la oficina"/>
    <s v="Mayor que cuando iba todos los días a la oficina"/>
    <s v="Iguales que cuando iba todos los días a la oficina"/>
    <s v="Mayor que cuando iba todos los días a la oficina"/>
    <s v="Mayores que cuando iba todos los días a la oficina"/>
    <s v="Igual que cuando iba todos los días a la oficina"/>
    <s v="Mayores que cuando iba todos los días a la oficina"/>
    <s v="Mayores que cuando iba todos los días a la oficina"/>
    <s v="Igual que cuando iba todos los días a la oficina"/>
    <s v="Igual que cuando iba todos los días a la oficina"/>
    <s v="Mayores que cuando iba todos los días a la oficina"/>
    <s v="Mayor que cuando iba todos los días a la oficina"/>
    <s v="Igual que cuando iba todos los días a la oficina"/>
    <s v="Igual que cuando iba todos los días a la oficina"/>
    <s v="Iguales que cuando iba todos los días a la oficina"/>
    <s v="Igual que cuando iba todos los días a la oficina"/>
    <s v="Mayor que cuando iba todos los días a la oficina"/>
    <s v="Mayor que cuando iba todos los días a la oficina"/>
    <s v="Mucho mayor que cuando iba todos los días a la oficina"/>
    <s v="Mucho Mayor que cuando iba todos los días a la oficina"/>
    <s v="Igual que cuando iba todos los días a la oficina"/>
    <s v="Igual que cuando iba todos los días a la oficina"/>
    <s v="Mayor que cuando iba todos los días a la oficina"/>
    <s v="Mayor que cuando iba todos los días a la oficina"/>
    <s v="Igual que cuando iba todos los días a la oficina"/>
    <s v="Mas que cuando iba todos los días a la oficina"/>
    <s v="Mayores que cuando iba todos los días a la oficina"/>
    <s v="Mayor que cuando iba todos los días a la oficina"/>
    <s v="Mucho Mayor que cuando iba todos los días a la oficina"/>
    <s v="Mayor que cuando iba todos los días a la oficina"/>
    <s v="Igual que cuando iba todos los días a la oficina"/>
    <s v="Igual que cuando iba todos los días a la oficina"/>
    <s v="Menor que cuando iba todos los días a la oficina"/>
    <s v="Mejor que cuando iba todos los días a la oficina"/>
    <s v="Mayor que cuando iba todos los días a la oficina"/>
    <s v="Igual que cuando iba todos los días a la oficina"/>
    <s v="Igual que cuando iba todos los días a la oficina"/>
    <s v="Mucho Mayor que cuando iba todos los días a la oficina"/>
    <s v="Menor que cuando iba todos los días a la oficina"/>
    <s v="Iguales que cuando iba todos los días a la oficina"/>
    <s v="Mayor que cuando iba todos los días a la oficina"/>
    <s v="Igual que cuando iba todos los días a la oficina"/>
    <m/>
    <s v="301+ empleados"/>
    <n v="0"/>
  </r>
  <r>
    <s v="España"/>
    <s v="36+ años"/>
    <s v="Masculino"/>
    <s v="Máster (Posgrado)"/>
    <s v="&lt;5 años"/>
    <s v="Desarrollador junior de producto"/>
    <s v="Consultor de ciberseguridad"/>
    <s v="&gt;500 empleados."/>
    <s v="Empresa que subcontrata (outsourcing) los servicios de otra empresa situada en otro país"/>
    <s v="Nacional (múltiples sedes en el mismo país)"/>
    <s v="Frecuentemente"/>
    <s v="Alto"/>
    <s v="4-5 días"/>
    <s v="Ninguno"/>
    <s v="Remota ( todos los días en casa)"/>
    <s v="Impuesta por la empresa"/>
    <s v="En desacuerdo"/>
    <s v="Igual que cuando iba todos los días a la oficina"/>
    <s v="Igual que cuando iba todos los días a la oficina"/>
    <s v="Mayor que cuando iba todos los días a la oficina"/>
    <s v="Iguales que cuando iba todos los días a la oficina"/>
    <s v="Todas por videoconferencia"/>
    <s v="Menor que cuando eran en la oficina"/>
    <s v="Mayor que cuando iba todos los días a la oficina"/>
    <s v="Mucho Mayor que cuando iba todos los días a la oficina"/>
    <s v="Mayor que cuando iba todos los días a la oficina"/>
    <s v="Mayor que cuando iba todos los días a la oficina"/>
    <x v="0"/>
    <x v="1"/>
    <x v="0"/>
    <s v="Mayor que cuando iba todos los días a la oficina"/>
    <x v="2"/>
    <s v="Menos que cuando iba todos los días a la oficina"/>
    <s v="Mucho menos que cuando iba todos los días a la oficina"/>
    <s v="Mucho menos que cuando iba todos los días a la oficina"/>
    <s v="Mucho menos que cuando iba todos los días a la oficina"/>
    <s v="Igual que cuando iba todos los días a la oficina"/>
    <s v="Igual que cuando iba todos los días a la oficina"/>
    <s v="Igual que cuando iba todos los días a la oficina"/>
    <s v="Menos que cuando iba todos los días a la oficina"/>
    <s v="Menos que cuando iba todos los días a la oficina"/>
    <s v="Iguales que cuando iba todos los días a la oficina"/>
    <s v="Igual que cuando iba todos los días a la oficina"/>
    <s v="Igual que cuando iba todos los días a la oficina"/>
    <s v="Menor que cuando iba todos los días a la oficina"/>
    <s v="Mayor que cuando iba todos los días a la oficina"/>
    <s v="Menor que cuando iba todos los días a la oficina"/>
    <s v="Menor que cuando iba todos los días a la oficina"/>
    <s v="Igual que cuando iba todos los días a la oficina"/>
    <s v="Mucho mayor que cuando iba todos los días a la oficina"/>
    <s v="Menores que cuando iba todos los días a la oficina"/>
    <s v="Mayor que cuando iba todos los días a la oficina"/>
    <s v="Mucho menores que cuando iba todos los días a la oficina"/>
    <s v="Menor que cuando iba todos los días a la oficina"/>
    <s v="Mayores que cuando iba todos los días a la oficina"/>
    <s v="Iguales que cuando iba todos los días a la oficina"/>
    <s v="Menos que cuando iba todos los días a la oficina"/>
    <s v="Igual que cuando iba todos los días a la oficina"/>
    <s v="Mucho menores que cuando iba todos los días a la oficina"/>
    <s v="Mucho mayor que cuando iba todos los días a la oficina"/>
    <s v="Menor que cuando iba todos los días a la oficina"/>
    <s v="Menos que cuando iba todos los días a la oficina"/>
    <s v="Menores que cuando iba todos los días a la oficina"/>
    <s v="Igual que cuando iba todos los días a la oficina"/>
    <s v="Menor que cuando iba todos los días a la oficina"/>
    <s v="Mayor que cuando iba todos los días a la oficina"/>
    <s v="Mayor que cuando iba todos los días a la oficina"/>
    <s v="Mayor que cuando iba todos los días a la oficina"/>
    <s v="Mucho Mayor que cuando iba todos los días a la oficina"/>
    <s v="Mayor que cuando iba todos los días a la oficina"/>
    <s v="Mayor que cuando iba todos los días a la oficina"/>
    <s v="Mayor que cuando iba todos los días a la oficina"/>
    <s v="Menor que cuando iba todos los días a la oficina"/>
    <s v="Igual que cuando iba todos los días a la oficina"/>
    <s v="Mayores que cuando iba todos los días a la oficina"/>
    <s v="Mayor que cuando iba todos los días a la oficina"/>
    <s v="Mucho Mayor que cuando iba todos los días a la oficina"/>
    <s v="Igual que cuando iba todos los días a la oficina"/>
    <s v="Mucho Mayor que cuando iba todos los días a la oficina"/>
    <s v="Mucho Mayor que cuando iba todos los días a la oficina"/>
    <s v="Mucho Mayor que cuando iba todos los días a la oficina"/>
    <s v="Mejor que cuando iba todos los días a la oficina"/>
    <s v="Menor que cuando iba todos los días a la oficina"/>
    <s v="Menor que cuando iba todos los días a la oficina"/>
    <s v="Igual que cuando iba todos los días a la oficina"/>
    <s v="Mayor que cuando iba todos los días a la oficina"/>
    <s v="Menor que cuando iba todos los días a la oficina"/>
    <s v="Iguales que cuando iba todos los días a la oficina"/>
    <s v="Igual que cuando iba todos los días a la oficina"/>
    <s v="Igual que cuando iba todos los días a la oficina"/>
    <m/>
    <s v="301+ empleados"/>
    <n v="0"/>
  </r>
  <r>
    <s v="México"/>
    <s v="36+ años"/>
    <s v="Femenino"/>
    <s v="MAESTRIA"/>
    <s v="11-20 años"/>
    <s v="ADMINISTRACION DE PROYECTOS"/>
    <s v="GERENTE DE ADMINISTRACION Y OPERACIONES"/>
    <s v="&lt;50 empleados"/>
    <s v="Fábrica de Software"/>
    <s v="Multinacional"/>
    <s v="Muy Frecuentemente"/>
    <s v="Alto"/>
    <s v="4-5 días"/>
    <s v="Ninguno"/>
    <s v="Remota ( todos los días en casa)"/>
    <s v="Impuesta por la empresa"/>
    <s v="Totalmente de acuerdo"/>
    <s v="Igual que cuando iba todos los días a la oficina"/>
    <s v="Igual que cuando iba todos los días a la oficina"/>
    <s v="Igual que cuando iba todos los días a la oficina"/>
    <s v="Diferentes que cuando iba todos los días a la oficina, ahora necesito menos horas para hacer lo mismo"/>
    <s v="Todas por videoconferencia"/>
    <s v="Menor que cuando eran en la oficina"/>
    <s v="Mayor que cuando iba todos los días a la oficina"/>
    <s v="Mayor que cuando iba todos los días a la oficina"/>
    <s v="Mayor que cuando iba todos los días a la oficina"/>
    <s v="Igual que cuando iba todos los días a la oficina"/>
    <x v="4"/>
    <x v="2"/>
    <x v="0"/>
    <s v="Mayor que cuando iba todos los días a la oficina"/>
    <x v="5"/>
    <s v="Menos que cuando iba todos los días a la oficina"/>
    <s v="Igual que cuando iba todos los días a la oficina"/>
    <s v="Igual que cuando iba todos los días a la oficina"/>
    <s v="Mucho menos que cuando iba todos los días a la oficina"/>
    <s v="Igual que cuando iba todos los días a la oficina"/>
    <s v="Igual que cuando iba todos los días a la oficina"/>
    <s v="Mas que cuando iba todos los días a la oficina"/>
    <s v="Mas que cuando iba todos los días a la oficina"/>
    <s v="Igual que cuando iba todos los días a la oficina"/>
    <s v="Iguales que cuando iba todos los días a la oficina"/>
    <s v="Igual que cuando iba todos los días a la oficina"/>
    <s v="Igual que cuando iba todos los días a la oficina"/>
    <s v="Mucho menor que cuando iba todos los días a la oficina"/>
    <s v="Igual que cuando iba todos los días a la oficina"/>
    <s v="Menor que cuando iba todos los días a la oficina"/>
    <s v="Mucho menor que cuando iba todos los días a la oficina"/>
    <s v="Igual que cuando iba todos los días a la oficina"/>
    <s v="Mucho mayor que cuando iba todos los días a la oficina"/>
    <s v="Iguales que cuando iba todos los días a la oficina"/>
    <s v="Mucho mayor que cuando iba todos los días a la oficina"/>
    <s v="Iguales que cuando iba todos los días a la oficina"/>
    <s v="Mayor que cuando iba todos los días a la oficina"/>
    <s v="Iguales que cuando iba todos los días a la oficina"/>
    <s v="Iguales que cuando iba todos los días a la oficina"/>
    <s v="Igual que cuando iba todos los días a la oficina"/>
    <s v="Igual que cuando iba todos los días a la oficina"/>
    <s v="Mayores que cuando iba todos los días a la oficina"/>
    <s v="Mayor que cuando iba todos los días a la oficina"/>
    <s v="Igual que cuando iba todos los días a la oficina"/>
    <s v="Igual que cuando iba todos los días a la oficina"/>
    <s v="Iguales que cuando iba todos los días a la oficina"/>
    <s v="Igual que cuando iba todos los días a la oficina"/>
    <s v="Mayor que cuando iba todos los días a la oficina"/>
    <s v="Menor que cuando iba todos los días a la oficina"/>
    <s v="Mayor que cuando iba todos los días a la oficina"/>
    <s v="Igual que cuando iba todos los días a la oficina"/>
    <s v="Igual que cuando iba todos los días a la oficina"/>
    <s v="Igual que cuando iba todos los días a la oficina"/>
    <s v="Mayor que cuando iba todos los días a la oficina"/>
    <s v="Mayor que cuando iba todos los días a la oficina"/>
    <s v="Igual que cuando iba todos los días a la oficina"/>
    <s v="Igual que cuando iba todos los días a la oficina"/>
    <s v="Mayores que cuando iba todos los días a la oficina"/>
    <s v="Igual que cuando iba todos los días a la oficina"/>
    <s v="Mucho Mayor que cuando iba todos los días a la oficina"/>
    <s v="Mayor que cuando iba todos los días a la oficina"/>
    <s v="Menor que cuando iba todos los días a la oficina"/>
    <s v="Igual que cuando iba todos los días a la oficina"/>
    <s v="Igual que cuando iba todos los días a la oficina"/>
    <s v="Mejor que cuando iba todos los días a la oficina"/>
    <s v="Igual que cuando iba todos los días a la oficina"/>
    <s v="Menor que cuando iba todos los días a la oficina"/>
    <s v="Igual que cuando iba todos los días a la oficina"/>
    <s v="Mucho Mayor que cuando iba todos los días a la oficina"/>
    <s v="Mucho menor que cuando iba todos los días a la oficina"/>
    <s v="Iguales que cuando iba todos los días a la oficina"/>
    <s v="Mayor que cuando iba todos los días a la oficina"/>
    <s v="Mayor que cuando iba todos los días a la oficina"/>
    <m/>
    <s v="&lt;301 empleados"/>
    <n v="1"/>
  </r>
  <r>
    <s v="México"/>
    <s v="36+ años"/>
    <s v="Masculino"/>
    <s v="Postgrado"/>
    <s v="5-10 años"/>
    <s v="Analista de datos"/>
    <s v="Administrador de sistemas"/>
    <s v="&gt;500 empleados."/>
    <s v="Empresa que subcontrata (outsourcing) los servicios de otra del mismo país"/>
    <s v="Nacional (múltiples sedes en el mismo país)"/>
    <s v="Muy Frecuentemente"/>
    <s v="Alto"/>
    <s v="4-5 días"/>
    <s v="Ninguno"/>
    <s v="Híbrida casa (más días en casa que en la oficina)"/>
    <s v="Impuesta por la empresa"/>
    <s v="No sé"/>
    <s v="Mayor que cuando iba todos los días a la oficina"/>
    <s v="Mayor que cuando iba todos los días a la oficina"/>
    <s v="Mayor que cuando iba todos los días a la oficina"/>
    <s v="Muy diferentes que cuando iba todos los días a la oficina, ahora necesito muchas menos horas para hacer lo mismo"/>
    <s v="Todas por videoconferencia"/>
    <s v="Igual que cuando eran en la oficina"/>
    <s v="Mayor que cuando iba todos los días a la oficina"/>
    <s v="No tengo la información para contestar a la pregunta"/>
    <s v="No tengo la información para contestar a la pregunta"/>
    <s v="Igual que cuando iba todos los días a la oficina"/>
    <x v="1"/>
    <x v="0"/>
    <x v="0"/>
    <s v="Mayor que cuando iba todos los días a la oficina"/>
    <x v="0"/>
    <s v="Menos que cuando iba todos los días a la oficina"/>
    <s v="Más que cuando iba todos los días a la oficina"/>
    <s v="Menos que cuando iba todos los días a la oficina"/>
    <s v="Menos que cuando iba todos los días a la oficina"/>
    <s v="Menos que cuando iba todos los días a la oficina"/>
    <s v="Mas que cuando iba todos los días a la oficina"/>
    <s v="Mucho más que cuando iba todos los días a la oficina"/>
    <s v="Igual que cuando iba todos los días a la oficina"/>
    <s v="Menos que cuando iba todos los días a la oficina"/>
    <s v="Mucho Mayores que cuando iba todos los días a la oficina"/>
    <s v="Mucho Mayor que cuando iba todos los días a la oficina"/>
    <s v="Mayor que cuando iba todos los días a la oficina"/>
    <s v="Igual que cuando iba todos los días a la oficina"/>
    <s v="Mayor que cuando iba todos los días a la oficina"/>
    <s v="Igual que cuando iba todos los días a la oficina"/>
    <s v="Igual que cuando iba todos los días a la oficina"/>
    <s v="Mayor que cuando iba todos los días a la oficina"/>
    <s v="Mucho mayor que cuando iba todos los días a la oficina"/>
    <s v="Mayores que cuando iba todos los días a la oficina"/>
    <s v="Mayor que cuando iba todos los días a la oficina"/>
    <s v="No hay diferencias culturales en mi equipo"/>
    <s v="Mucho mayor que cuando iba todos los días a la oficina"/>
    <s v="Menores que cuando iba todos los días a la oficina"/>
    <s v="Iguales que cuando iba todos los días a la oficina"/>
    <s v="Igual que cuando iba todos los días a la oficina"/>
    <s v="Mayor que cuando iba todos los días a la oficina"/>
    <s v="Mucho mayores que cuando iba todos los días a la oficina"/>
    <s v="Mayor que cuando iba todos los días a la oficina"/>
    <s v="Menor que cuando iba todos los días a la oficina"/>
    <s v="Más que cuando iba todos los días a la oficina"/>
    <s v="Iguales que cuando iba todos los días a la oficina"/>
    <s v="Mucho mejor que cuando iba todos los días a la oficina"/>
    <s v="Mayor que cuando iba todos los días a la oficina"/>
    <s v="Mayor que cuando iba todos los días a la oficina"/>
    <s v="Mayor que cuando iba todos los días a la oficina"/>
    <s v="Mayor que cuando iba todos los días a la oficina"/>
    <s v="Mayor que cuando iba todos los días a la oficina"/>
    <s v="Mayor que cuando iba todos los días a la oficina"/>
    <s v="Mucho Mayor que cuando iba todos los días a la oficina"/>
    <s v="Menor que cuando iba todos los días a la oficina"/>
    <s v="Mayor que cuando iba todos los días a la oficina"/>
    <s v="Menos que cuando iba todos los días a la oficina"/>
    <s v="Iguales que cuando iba todos los días a la oficina"/>
    <s v="Mayor que cuando iba todos los días a la oficina"/>
    <s v="Mayor que cuando iba todos los días a la oficina"/>
    <s v="Mayor que cuando iba todos los días a la oficina"/>
    <s v="Menor que cuando iba todos los días a la oficina"/>
    <s v="Menor que cuando iba todos los días a la oficina"/>
    <s v="Mayor que cuando iba todos los días a la oficina"/>
    <s v="Peor que cuando iba todos los días a la oficina"/>
    <s v="Mayor que cuando iba todos los días a la oficina"/>
    <s v="Mucho menor que cuando iba todos los días a la oficina"/>
    <s v="Mucho menor que cuando iba todos los días a la oficina"/>
    <s v="Mayor que cuando iba todos los días a la oficina"/>
    <s v="Mucho menor que cuando iba todos los días a la oficina"/>
    <s v="Mucho menores que cuando iba todos los días a la oficina"/>
    <s v="Mucho menor que cuando iba todos los días a la oficina"/>
    <s v="Mucho mayor que cuando iba todos los días a la oficina"/>
    <m/>
    <s v="301+ empleados"/>
    <n v="0"/>
  </r>
  <r>
    <s v="México"/>
    <s v="36+ años"/>
    <s v="Femenino"/>
    <s v="Nivel Superior"/>
    <s v="5-10 años"/>
    <s v="Analista en Inteligencia de negocios"/>
    <s v="Supervisor de informes en tecnología empresarial (Report Monitoring, BI)"/>
    <s v="&lt;50 empleados"/>
    <s v="Empresa que subcontrata (outsourcing) los servicios de otra del mismo país"/>
    <s v="Multinacional"/>
    <s v="Muy Frecuentemente"/>
    <s v="Alto"/>
    <s v="4-5 días"/>
    <s v="Ninguno"/>
    <s v="Remota ( todos los días en casa)"/>
    <s v="Impuesta por la empresa"/>
    <s v="De acuerdo"/>
    <s v="Menor que cuando iba todos los días a la oficina"/>
    <s v="Menor que cuando iba todos los días a la oficina"/>
    <s v="Igual que cuando iba todos los días a la oficina"/>
    <s v="Diferentes que cuando iba todos los días a la oficina, ahora necesito menos horas para hacer lo mismo"/>
    <s v="Todas por videoconferencia"/>
    <s v="Menor que cuando eran en la oficina"/>
    <s v="Mayor que cuando iba todos los días a la oficina"/>
    <s v="Mayor que cuando iba todos los días a la oficina"/>
    <s v="Igual que cuando iba todos los días a la oficina"/>
    <s v="Mucho Mayor que cuando iba todos los días a la oficina"/>
    <x v="2"/>
    <x v="1"/>
    <x v="1"/>
    <s v="Menor que cuando iba todos los días a la oficina"/>
    <x v="3"/>
    <s v="Más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Mas que cuando iba todos los días a la oficina"/>
    <s v="Igual que cuando iba todos los días a la oficina"/>
    <s v="Mas que cuando iba todos los días a la oficina"/>
    <s v="Igual que cuando iba todos los días a la oficina"/>
    <s v="Mayores que cuando iba todos los días a la oficina"/>
    <s v="Igual que cuando iba todos los días a la oficina"/>
    <s v="Menor que cuando iba todos los días a la oficina"/>
    <s v="Mucho menor que cuando iba todos los días a la oficina"/>
    <s v="Igual que cuando iba todos los días a la oficina"/>
    <s v="Menor que cuando iba todos los días a la oficina"/>
    <s v="Menor que cuando iba todos los días a la oficina"/>
    <s v="Menor que cuando iba todos los días a la oficina"/>
    <s v="Mucho mayor que cuando iba todos los días a la oficina"/>
    <s v="Iguales que cuando iba todos los días a la oficina"/>
    <s v="Igual que cuando iba todos los días a la oficina"/>
    <s v="Iguales que cuando iba todos los días a la oficina"/>
    <s v="Mayor que cuando iba todos los días a la oficina"/>
    <s v="Mayores que cuando iba todos los días a la oficina"/>
    <s v="Iguales que cuando iba todos los días a la oficina"/>
    <s v="Menos que cuando iba todos los días a la oficina"/>
    <s v="Menor que cuando iba todos los días a la oficina"/>
    <s v="Mucho menores que cuando iba todos los días a la oficina"/>
    <s v="Mucho mayor que cuando iba todos los días a la oficina"/>
    <s v="Mayor que cuando iba todos los días a la oficina"/>
    <s v="Menos que cuando iba todos los días a la oficina"/>
    <s v="Iguales que cuando iba todos los días a la oficina"/>
    <s v="Igual que cuando iba todos los días a la oficina"/>
    <s v="Mayor que cuando iba todos los días a la oficina"/>
    <s v="Mayor que cuando iba todos los días a la oficina"/>
    <s v="Mucho mayor que cuando iba todos los días a la oficina"/>
    <s v="Igual que cuando iba todos los días a la oficina"/>
    <s v="Menor que cuando iba todos los días a la oficina"/>
    <s v="Mayor que cuando iba todos los días a la oficina"/>
    <s v="Mayor que cuando iba todos los días a la oficina"/>
    <s v="Mayor que cuando iba todos los días a la oficina"/>
    <s v="Mayor que cuando iba todos los días a la oficina"/>
    <s v="Igual que cuando iba todos los días a la oficina"/>
    <s v="Iguales que cuando iba todos los días a la oficina"/>
    <s v="Mayor que cuando iba todos los días a la oficina"/>
    <s v="Menor que cuando iba todos los días a la oficina"/>
    <s v="Menor que cuando iba todos los días a la oficina"/>
    <s v="Mayor que cuando iba todos los días a la oficina"/>
    <s v="Igual que cuando iba todos los días a la oficina"/>
    <s v="Igual que cuando iba todos los días a la oficina"/>
    <s v="Mejor que cuando iba todos los días a la oficina"/>
    <s v="Igual que cuando iba todos los días a la oficina"/>
    <s v="Menor que cuando iba todos los días a la oficina"/>
    <s v="Igual que cuando iba todos los días a la oficina"/>
    <s v="Mayor que cuando iba todos los días a la oficina"/>
    <s v="Menor que cuando iba todos los días a la oficina"/>
    <s v="Menores que cuando iba todos los días a la oficina"/>
    <s v="Igual que cuando iba todos los días a la oficina"/>
    <s v="Mayor que cuando iba todos los días a la oficina"/>
    <s v="laygrenot@gmail.com"/>
    <s v="&lt;301 empleados"/>
    <n v="1"/>
  </r>
  <r>
    <s v="México"/>
    <s v="36+ años"/>
    <s v="Masculino"/>
    <s v="Maestría"/>
    <s v="&lt;5 años"/>
    <s v="Business Intelligence Analyst"/>
    <s v="Científico de datos"/>
    <s v="&lt;50 empleados"/>
    <s v="Empresa que desarrolla software a medida partiendo desde cero"/>
    <s v="Nacional (múltiples sedes en el mismo país)"/>
    <s v="Nunca"/>
    <s v="Alto"/>
    <s v="4-5 días"/>
    <s v="Ninguno"/>
    <s v="Remota ( todos los días en casa)"/>
    <s v="Consensuada por las dos partes"/>
    <s v="Totalmente de acuerdo"/>
    <s v="Igual que cuando iba todos los días a la oficina"/>
    <s v="Menor que cuando iba todos los días a la oficina"/>
    <s v="Menor que cuando iba todos los días a la oficina"/>
    <s v="Iguales que cuando iba todos los días a la oficina"/>
    <s v="Todas por videoconferencia"/>
    <s v="Mucho menor que cuando eran en la oficina"/>
    <s v="Igual que cuando iba todos los días a la oficina"/>
    <s v="Igual que cuando iba todos los días a la oficina"/>
    <s v="Igual que cuando iba todos los días a la oficina"/>
    <s v="Menor que cuando iba todos los días a la oficina"/>
    <x v="1"/>
    <x v="2"/>
    <x v="1"/>
    <s v="Igual que cuando iba todos los días a la oficina"/>
    <x v="4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Mas que cuando iba todos los días a la oficina"/>
    <s v="Igual que cuando iba todos los días a la oficina"/>
    <s v="Igual que cuando iba todos los días a la oficina"/>
    <s v="Menos que cuando iba todos los días a la oficina"/>
    <s v="Iguales que cuando iba todos los días a la oficina"/>
    <s v="Igual que cuando iba todos los días a la oficina"/>
    <s v="Igual que cuando iba todos los días a la oficina"/>
    <s v="Mucho menor que cuando iba todos los días a la oficina"/>
    <s v="Igual que cuando iba todos los días a la oficina"/>
    <s v="Mucho menor que cuando iba todos los días a la oficina"/>
    <s v="Mucho menor que cuando iba todos los días a la oficina"/>
    <s v="Igual que cuando iba todos los días a la oficina"/>
    <s v="Mucho mayor que cuando iba todos los días a la oficina"/>
    <s v="Iguales que cuando iba todos los días a la oficina"/>
    <s v="Igual que cuando iba todos los días a la oficina"/>
    <s v="Iguales que cuando iba todos los días a la oficina"/>
    <s v="Igual que cuando iba todos los días a la oficina"/>
    <s v="Mayores que cuando iba todos los días a la oficina"/>
    <s v="No tengo que utilizar diferentes idiomas en mi trabajo"/>
    <s v="Igual que cuando iba todos los días a la oficina"/>
    <s v="Mucho menor que cuando iba todos los días a la oficina"/>
    <s v="Mayores que cuando iba todos los días a la oficina"/>
    <s v="Menor que cuando iba todos los días a la oficina"/>
    <s v="Igual que cuando iba todos los días a la oficina"/>
    <s v="Igual que cuando iba todos los días a la oficina"/>
    <s v="Iguales que cuando iba todos los días a la oficina"/>
    <s v="Igual que cuando iba todos los días a la oficina"/>
    <s v="Igual que cuando iba todos los días a la oficina"/>
    <s v="Menor que cuando iba todos los días a la oficina"/>
    <s v="Mucho mayor que cuando iba todos los días a la oficina"/>
    <s v="Igual que cuando iba todos los días a la oficina"/>
    <s v="Mayor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Menores que cuando iba todos los días a la oficina"/>
    <s v="Igual que cuando iba todos los días a la oficina"/>
    <s v="Mayor que cuando iba todos los días a la oficina"/>
    <s v="Igual que cuando iba todos los días a la oficina"/>
    <s v="Mayor que cuando iba todos los días a la oficina"/>
    <s v="Igual que cuando iba todos los días a la oficina"/>
    <s v="Mayor que cuando iba todos los días a la oficina"/>
    <s v="Mejor que cuando iba todos los días a la oficina"/>
    <s v="Mayor que cuando iba todos los días a la oficina"/>
    <s v="Mucho menor que cuando iba todos los días a la oficina"/>
    <s v="Igual que cuando iba todos los días a la oficina"/>
    <s v="Mucho Mayor que cuando iba todos los días a la oficina"/>
    <s v="Mucho menor que cuando iba todos los días a la oficina"/>
    <s v="Menores que cuando iba todos los días a la oficina"/>
    <s v="Igual que cuando iba todos los días a la oficina"/>
    <s v="Igual que cuando iba todos los días a la oficina"/>
    <s v="pedro.a.hdez.a@gmail.com"/>
    <s v="&lt;301 empleados"/>
    <n v="0"/>
  </r>
  <r>
    <s v="México"/>
    <s v="36+ años"/>
    <s v="Masculino"/>
    <s v="Licenciatura"/>
    <s v="&lt;5 años"/>
    <s v="Cientifico de datos"/>
    <s v="Lider tecnico"/>
    <s v="&gt;500 empleados."/>
    <s v="Fábrica de Software"/>
    <s v="Multinacional"/>
    <s v="Muy Frecuentemente"/>
    <s v="Alto"/>
    <s v="4-5 días"/>
    <s v="Ninguno"/>
    <s v="Remota ( todos los días en casa)"/>
    <s v="Consensuada por las dos partes"/>
    <s v="De acuerdo"/>
    <s v="Igual que cuando iba todos los días a la oficina"/>
    <s v="Menor que cuando iba todos los días a la oficina"/>
    <s v="Mayor que cuando iba todos los días a la oficina"/>
    <s v="Muy diferentes que cuando iba todos los días a la oficina, ahora necesito muchas menos horas para hacer lo mismo"/>
    <s v="Todas por videoconferencia"/>
    <s v="Mucho menor que cuando eran en la oficina"/>
    <s v="Mucho Mayor que cuando iba todos los días a la oficina"/>
    <s v="Mayor que cuando iba todos los días a la oficina"/>
    <s v="No tengo la información para contestar a la pregunta"/>
    <s v="Mucho Mayor que cuando iba todos los días a la oficina"/>
    <x v="1"/>
    <x v="1"/>
    <x v="2"/>
    <s v="Igual que cuando iba todos los días a la oficina"/>
    <x v="3"/>
    <s v="Igual que cuando iba todos los días a la oficina"/>
    <s v="Igual que cuando iba todos los días a la oficina"/>
    <s v="Más que cuando iba todos los días a la oficina"/>
    <s v="Más que cuando iba todos los días a la oficina"/>
    <s v="Más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es que cuando iba todos los días a la oficina"/>
    <s v="Mayor que cuando iba todos los días a la oficina"/>
    <s v="Mucho Mayor que cuando iba todos los días a la oficina"/>
    <s v="Mucho menor que cuando iba todos los días a la oficina"/>
    <s v="Igual que cuando iba todos los días a la oficina"/>
    <s v="Menor que cuando iba todos los días a la oficina"/>
    <s v="Menor que cuando iba todos los días a la oficina"/>
    <s v="Igual que cuando iba todos los días a la oficina"/>
    <s v="Mucho mayor que cuando iba todos los días a la oficina"/>
    <s v="Iguales que cuando iba todos los días a la oficina"/>
    <s v="Igual que cuando iba todos los días a la oficina"/>
    <s v="Mucho mayores que cuando iba todos los días a la oficina"/>
    <s v="Mucho mayor que cuando iba todos los días a la oficina"/>
    <s v="Iguales que cuando iba todos los días a la oficina"/>
    <s v="Iguales que cuando iba todos los días a la oficina"/>
    <s v="Igual que cuando iba todos los días a la oficina"/>
    <s v="Igual que cuando iba todos los días a la oficina"/>
    <s v="Mucho menores que cuando iba todos los días a la oficina"/>
    <s v="Mucho mayor que cuando iba todos los días a la oficina"/>
    <s v="Mayor que cuando iba todos los días a la oficina"/>
    <s v="Igual que cuando iba todos los días a la oficina"/>
    <s v="Menores que cuando iba todos los días a la oficina"/>
    <s v="Igual que cuando iba todos los días a la oficina"/>
    <s v="Mayor que cuando iba todos los días a la oficina"/>
    <s v="Mucho Mayor que cuando iba todos los días a la oficina"/>
    <s v="Mucho mayor que cuando iba todos los días a la oficina"/>
    <s v="Mucho Mayor que cuando iba todos los días a la oficina"/>
    <s v="Mucho Mayor que cuando iba todos los días a la oficina"/>
    <s v="Mucho Mayor que cuando iba todos los días a la oficina"/>
    <s v="Mucho Mayor que cuando iba todos los días a la oficina"/>
    <s v="Mucho Mayor que cuando iba todos los días a la oficina"/>
    <s v="Igual que cuando iba todos los días a la oficina"/>
    <s v="Menos que cuando iba todos los días a la oficina"/>
    <s v="Menores que cuando iba todos los días a la oficina"/>
    <s v="Mucho Mayor que cuando iba todos los días a la oficina"/>
    <s v="Mucho Mayor que cuando iba todos los días a la oficina"/>
    <s v="Igual que cuando iba todos los días a la oficina"/>
    <s v="Mucho menor que cuando iba todos los días a la oficina"/>
    <s v="Menor que cuando iba todos los días a la oficina"/>
    <s v="Mayor que cuando iba todos los días a la oficina"/>
    <s v="Peor que cuando iba todos los días a la oficina"/>
    <s v="Menor que cuando iba todos los días a la oficina"/>
    <s v="Menor que cuando iba todos los días a la oficina"/>
    <s v="Mayor que cuando iba todos los días a la oficina"/>
    <s v="Mucho Mayor que cuando iba todos los días a la oficina"/>
    <s v="Mucho menor que cuando iba todos los días a la oficina"/>
    <s v="Menores que cuando iba todos los días a la oficina"/>
    <s v="Menor que cuando iba todos los días a la oficina"/>
    <s v="Mucho mayor que cuando iba todos los días a la oficina"/>
    <s v="victornoriega7@gmail.com"/>
    <s v="301+ empleados"/>
    <n v="1"/>
  </r>
  <r>
    <s v="México"/>
    <s v="36+ años"/>
    <s v="Femenino"/>
    <s v="Licenciatura"/>
    <s v="&lt;5 años"/>
    <s v="Coordinacion "/>
    <s v="Asesoria"/>
    <s v="&lt;50 empleados"/>
    <s v="Empresa que subcontrata (outsourcing) los servicios de otra empresa situada en otro país"/>
    <s v="Local"/>
    <s v="Casi Nunca"/>
    <s v="Alto"/>
    <s v="4-5 días"/>
    <s v="1-2 días"/>
    <s v="Híbrida oficina (más días en la oficina que en casa)"/>
    <s v="Decidida por ti"/>
    <s v="Totalmente de acuerdo"/>
    <s v="Igual que cuando iba todos los días a la oficina"/>
    <s v="Igual que cuando iba todos los días a la oficina"/>
    <s v="Menor que cuando iba todos los días a la oficina"/>
    <s v="Iguales que cuando iba todos los días a la oficina"/>
    <s v="La Mitad por videoconferencia y la mitad presencial"/>
    <s v="Igual que cuando eran en la oficina"/>
    <s v="Mayor que cuando iba todos los días a la oficina"/>
    <s v="Mucho Mayor que cuando iba todos los días a la oficina"/>
    <s v="Mayor que cuando iba todos los días a la oficina"/>
    <s v="Igual que cuando iba todos los días a la oficina"/>
    <x v="1"/>
    <x v="2"/>
    <x v="0"/>
    <s v="Igual que cuando iba todos los días a la oficina"/>
    <x v="4"/>
    <s v="Menos que cuando iba todos los días a la oficina"/>
    <s v="No trabajo con personas de distintas culturas"/>
    <s v="No trabajo con personas con un horario distinto al mío"/>
    <s v="No trabajo  con personas que se encuentran geográficamente distribuidas"/>
    <s v="Menos que cuando iba todos los días a la oficina"/>
    <s v="Igual que cuando iba todos los días a la oficina"/>
    <s v="Igual que cuando iba todos los días a la oficina"/>
    <s v="Mas que cuando iba todos los días a la oficina"/>
    <s v="Igual que cuando iba todos los días a la oficina"/>
    <s v="Iguales que cuando iba todos los días a la oficina"/>
    <s v="Igual que cuando iba todos los días a la oficina"/>
    <s v="Igual que cuando iba todos los días a la oficina"/>
    <s v="Menor que cuando iba todos los días a la oficina"/>
    <s v="Mayor que cuando iba todos los días a la oficina"/>
    <s v="Menor que cuando iba todos los días a la oficina"/>
    <s v="Menor que cuando iba todos los días a la oficina"/>
    <s v="Menor que cuando iba todos los días a la oficina"/>
    <s v="Mayor que cuando iba todos los días a la oficina"/>
    <s v="Iguales que cuando iba todos los días a la oficina"/>
    <s v="Igual que cuando iba todos los días a la oficina"/>
    <s v="No hay diferencias culturales en mi equipo"/>
    <s v="Igual que cuando iba todos los días a la oficina"/>
    <s v="Menores que cuando iba todos los días a la oficina"/>
    <s v="No tengo que utilizar diferentes idiomas en mi trabajo"/>
    <s v="No trabajo con personas con distintos horarios"/>
    <s v="Igual que cuando iba todos los días a la oficina"/>
    <s v="Mayores que cuando iba todos los días a la oficina"/>
    <s v="Menor que cuando iba todos los días a la oficina"/>
    <s v="Igual que cuando iba todos los días a la oficina"/>
    <s v="Igual que cuando iba todos los días a la oficina"/>
    <s v="Iguales que cuando iba todos los días a la oficina"/>
    <s v="Igual que cuando iba todos los días a la oficina"/>
    <s v="Igual que cuando iba todos los días a la oficina"/>
    <s v="Igual que cuando iba todos los días a la oficina"/>
    <s v="Mayor que cuando iba todos los días a la oficina"/>
    <s v="Mayor que cuando iba todos los días a la oficina"/>
    <s v="Menor que cuando iba todos los días a la oficina"/>
    <s v="Igual que cuando iba todos los días a la oficina"/>
    <s v="Mayor que cuando iba todos los días a la oficina"/>
    <s v="Menor que cuando iba todos los días a la oficina"/>
    <s v="Igual que cuando iba todos los días a la oficina"/>
    <s v="Igual que cuando iba todos los días a la oficina"/>
    <s v="Iguales que cuando iba todos los días a la oficina"/>
    <s v="Igual que cuando iba todos los días a la oficina"/>
    <s v="Mayor que cuando iba todos los días a la oficina"/>
    <s v="Mayor que cuando iba todos los días a la oficina"/>
    <s v="Igual que cuando iba todos los días a la oficina"/>
    <s v="Menor que cuando iba todos los días a la oficina"/>
    <s v="Igual que cuando iba todos los días a la oficina"/>
    <s v="Mejor que cuando iba todos los días a la oficina"/>
    <s v="Igual que cuando iba todos los días a la oficina"/>
    <s v="Igual que cuando iba todos los días a la oficina"/>
    <s v="Igual que cuando iba todos los días a la oficina"/>
    <s v="Mayor que cuando iba todos los días a la oficina"/>
    <s v="Menor que cuando iba todos los días a la oficina"/>
    <s v="Menores que cuando iba todos los días a la oficina"/>
    <s v="Igual que cuando iba todos los días a la oficina"/>
    <s v="Mayor que cuando iba todos los días a la oficina"/>
    <m/>
    <s v="&lt;301 empleados"/>
    <n v="0"/>
  </r>
  <r>
    <s v="México"/>
    <s v="36+ años"/>
    <s v="Masculino"/>
    <s v="Maestría"/>
    <s v="&lt;5 años"/>
    <s v="Coordinador de análisis de datos"/>
    <s v="Consultor senior"/>
    <s v="51-150 empleados"/>
    <s v="Empresa que subcontrata (outsourcing) los servicios de otra del mismo país"/>
    <s v="Nacional (múltiples sedes en el mismo país)"/>
    <s v="Nunca"/>
    <s v="Alto"/>
    <s v="4-5 días"/>
    <s v="Ninguno"/>
    <s v="Híbrida oficina (más días en la oficina que en casa)"/>
    <s v="Consensuada por las dos partes"/>
    <s v="En desacuerdo"/>
    <s v="Igual que cuando iba todos los días a la oficina"/>
    <s v="Menor que cuando iba todos los días a la oficina"/>
    <s v="Menor que cuando iba todos los días a la oficina"/>
    <s v="Muy diferentes que cuando iba todos los días a la oficina, ahora necesito muchas menos horas para hacer lo mismo"/>
    <s v="Todas por videoconferencia"/>
    <s v="Igual que cuando eran en la oficina"/>
    <s v="Igual que cuando iba todos los días a la oficina"/>
    <s v="No tengo la información para contestar a la pregunta"/>
    <s v="Igual que cuando iba todos los días a la oficina"/>
    <s v="Mucho menor que cuando iba todos los días a la oficina"/>
    <x v="1"/>
    <x v="3"/>
    <x v="1"/>
    <s v="Menor que cuando iba todos los días a la oficina"/>
    <x v="3"/>
    <s v="Igual que cuando iba todos los días a la oficina"/>
    <s v="Mucho menos que cuando iba todos los días a la oficina"/>
    <s v="No trabajo con personas con un horario distinto al mío"/>
    <s v="Mucho menos que cuando iba todos los días a la oficina"/>
    <s v="Igual que cuando iba todos los días a la oficina"/>
    <s v="Igual que cuando iba todos los días a la oficina"/>
    <s v="Mas que cuando iba todos los días a la oficina"/>
    <s v="Igual que cuando iba todos los días a la oficina"/>
    <s v="Mucho mas que cuando iba todos los días a la oficina"/>
    <s v="Menores que cuando iba todos los días a la oficina"/>
    <s v="Mayor que cuando iba todos los días a la oficina"/>
    <s v="Mayor que cuando iba todos los días a la oficina"/>
    <s v="Mucho menor que cuando iba todos los días a la oficina"/>
    <s v="Igual que cuando iba todos los días a la oficina"/>
    <s v="Igual que cuando iba todos los días a la oficina"/>
    <s v="Menor que cuando iba todos los días a la oficina"/>
    <s v="Menor que cuando iba todos los días a la oficina"/>
    <s v="Mucho mayor que cuando iba todos los días a la oficina"/>
    <s v="Mayores que cuando iba todos los días a la oficina"/>
    <s v="Mucho mayor que cuando iba todos los días a la oficina"/>
    <s v="Mayores que cuando iba todos los días a la oficina"/>
    <s v="Mayor que cuando iba todos los días a la oficina"/>
    <s v="Menores que cuando iba todos los días a la oficina"/>
    <s v="No tengo que utilizar diferentes idiomas en mi trabajo"/>
    <s v="No trabajo con personas con distintos horarios"/>
    <s v="Mayor que cuando iba todos los días a la oficina"/>
    <s v="Mucho mayores que cuando iba todos los días a la oficina"/>
    <s v="Mayor que cuando iba todos los días a la oficina"/>
    <s v="Igual que cuando iba todos los días a la oficina"/>
    <s v="Más que cuando iba todos los días a la oficina"/>
    <s v="Iguales que cuando iba todos los días a la oficina"/>
    <s v="Igual que cuando iba todos los días a la oficina"/>
    <s v="Menor que cuando iba todos los días a la oficina"/>
    <s v="Menor que cuando iba todos los días a la oficina"/>
    <s v="Mucho mayor que cuando iba todos los días a la oficina"/>
    <s v="Mayor que cuando iba todos los días a la oficina"/>
    <s v="Mayor que cuando iba todos los días a la oficina"/>
    <s v="Igual que cuando iba todos los días a la oficina"/>
    <s v="Mayor que cuando iba todos los días a la oficina"/>
    <s v="Igual que cuando iba todos los días a la oficina"/>
    <s v="Mayor que cuando iba todos los días a la oficina"/>
    <s v="Menos que cuando iba todos los días a la oficina"/>
    <s v="Iguales que cuando iba todos los días a la oficina"/>
    <s v="Igual que cuando iba todos los días a la oficina"/>
    <s v="Mucho Mayor que cuando iba todos los días a la oficina"/>
    <s v="Mayor que cuando iba todos los días a la oficina"/>
    <s v="Mucho menor que cuando iba todos los días a la oficina"/>
    <s v="Menor que cuando iba todos los días a la oficina"/>
    <s v="Mayor que cuando iba todos los días a la oficina"/>
    <s v="Mejor que cuando iba todos los días a la oficina"/>
    <s v="Menor que cuando iba todos los días a la oficina"/>
    <s v="Mucho menor que cuando iba todos los días a la oficina"/>
    <s v="Igual que cuando iba todos los días a la oficina"/>
    <s v="Mucho Mayor que cuando iba todos los días a la oficina"/>
    <s v="Menor que cuando iba todos los días a la oficina"/>
    <s v="Iguales que cuando iba todos los días a la oficina"/>
    <s v="Igual que cuando iba todos los días a la oficina"/>
    <s v="Mayor que cuando iba todos los días a la oficina"/>
    <s v="ivan.glz.98@gmail.com"/>
    <s v="&lt;301 empleados"/>
    <n v="0"/>
  </r>
  <r>
    <s v="México"/>
    <s v="36+ años"/>
    <s v="Masculino"/>
    <s v="Universitario"/>
    <s v="&lt;5 años"/>
    <s v="customer service"/>
    <s v="Mentor/customer service"/>
    <s v="&gt;500 empleados."/>
    <s v="Empresa que subcontrata (outsourcing) los servicios de otra empresa situada en otro país"/>
    <s v="Nacional (múltiples sedes en el mismo país)"/>
    <s v="Muy Frecuentemente"/>
    <s v="Alto"/>
    <s v="4-5 días"/>
    <s v="Ninguno"/>
    <s v="Híbrida casa (más días en casa que en la oficina)"/>
    <s v="Impuesta por la empresa"/>
    <s v="De acuerdo"/>
    <s v="Mayor que cuando iba todos los días a la oficina"/>
    <s v="Mucho Mayor que cuando iba todos los días a la oficina"/>
    <s v="Mucho Mayor que cuando iba todos los días a la oficina"/>
    <s v="Iguales que cuando iba todos los días a la oficina"/>
    <s v="Todas por videoconferencia"/>
    <s v="Menor que cuando eran en la oficina"/>
    <s v="Mayor que cuando iba todos los días a la oficina"/>
    <s v="Mucho Mayor que cuando iba todos los días a la oficina"/>
    <s v="Mucho Mayor que cuando iba todos los días a la oficina"/>
    <s v="Igual que cuando iba todos los días a la oficina"/>
    <x v="2"/>
    <x v="1"/>
    <x v="1"/>
    <s v="Mucho mayor que cuando iba todos los días a la oficina"/>
    <x v="4"/>
    <s v="Más que cuando iba todos los días a la oficina"/>
    <s v="Igual que cuando iba todos los días a la oficina"/>
    <s v="Más que cuando iba todos los días a la oficina"/>
    <s v="Menos que cuando iba todos los días a la oficina"/>
    <s v="Igual que cuando iba todos los días a la oficina"/>
    <s v="Mas que cuando iba todos los días a la oficina"/>
    <s v="Menos que cuando iba todos los días a la oficina"/>
    <s v="Menos que cuando iba todos los días a la oficina"/>
    <s v="Igual que cuando iba todos los días a la oficina"/>
    <s v="Mayores que cuando iba todos los días a la oficina"/>
    <s v="Igual que cuando iba todos los días a la oficina"/>
    <s v="Mayor que cuando iba todos los días a la oficina"/>
    <s v="Menor que cuando iba todos los días a la oficina"/>
    <s v="Mayor que cuando iba todos los días a la oficina"/>
    <s v="Menor que cuando iba todos los días a la oficina"/>
    <s v="Menor que cuando iba todos los días a la oficina"/>
    <s v="Igual que cuando iba todos los días a la oficina"/>
    <s v="Mucho mayor que cuando iba todos los días a la oficina"/>
    <s v="Menores que cuando iba todos los días a la oficina"/>
    <s v="Igual que cuando iba todos los días a la oficina"/>
    <s v="No hay diferencias culturales en mi equipo"/>
    <s v="Mayor que cuando iba todos los días a la oficina"/>
    <s v="Menores que cuando iba todos los días a la oficina"/>
    <s v="No tengo que utilizar diferentes idiomas en mi trabajo"/>
    <s v="Igual que cuando iba todos los días a la oficina"/>
    <s v="Igual que cuando iba todos los días a la oficina"/>
    <s v="Menores que cuando iba todos los días a la oficina"/>
    <s v="Mayor que cuando iba todos los días a la oficina"/>
    <s v="Mayor que cuando iba todos los días a la oficina"/>
    <s v="Menos que cuando iba todos los días a la oficina"/>
    <s v="Iguales que cuando iba todos los días a la oficina"/>
    <s v="Igual que cuando iba todos los días a la oficina"/>
    <s v="Mayor que cuando iba todos los días a la oficina"/>
    <s v="Mayor que cuando iba todos los días a la oficina"/>
    <s v="Mucho mayor que cuando iba todos los días a la oficina"/>
    <s v="Igual que cuando iba todos los días a la oficina"/>
    <s v="Mucho Mayor que cuando iba todos los días a la oficina"/>
    <s v="Mayor que cuando iba todos los días a la oficina"/>
    <s v="Mucho Mayor que cuando iba todos los días a la oficina"/>
    <s v="Mayor que cuando iba todos los días a la oficina"/>
    <s v="Menor que cuando iba todos los días a la oficina"/>
    <s v="Igual que cuando iba todos los días a la oficina"/>
    <s v="Mayores que cuando iba todos los días a la oficina"/>
    <s v="Mayor que cuando iba todos los días a la oficina"/>
    <s v="Mucho Mayor que cuando iba todos los días a la oficina"/>
    <s v="Igual que cuando iba todos los días a la oficina"/>
    <s v="Menor que cuando iba todos los días a la oficina"/>
    <s v="Igual que cuando iba todos los días a la oficina"/>
    <s v="Igual que cuando iba todos los días a la oficina"/>
    <s v="Mejor que cuando iba todos los días a la oficina"/>
    <s v="Mayor que cuando iba todos los días a la oficina"/>
    <s v="Igual que cuando iba todos los días a la oficina"/>
    <s v="Igual que cuando iba todos los días a la oficina"/>
    <s v="Mayor que cuando iba todos los días a la oficina"/>
    <s v="Mucho menor que cuando iba todos los días a la oficina"/>
    <s v="Menores que cuando iba todos los días a la oficina"/>
    <s v="Mayor que cuando iba todos los días a la oficina"/>
    <s v="Mucho mayor que cuando iba todos los días a la oficina"/>
    <m/>
    <s v="301+ empleados"/>
    <n v="0"/>
  </r>
  <r>
    <s v="México"/>
    <s v="36+ años"/>
    <s v="Masculino"/>
    <s v="maestria"/>
    <s v="&lt;5 años"/>
    <s v="data analyst"/>
    <s v="ml engineer"/>
    <s v="51-150 empleados"/>
    <s v="Fábrica de Software"/>
    <s v="Nacional (múltiples sedes en el mismo país)"/>
    <s v="Frecuentemente"/>
    <s v="Alto"/>
    <s v="4-5 días"/>
    <s v="Ninguno"/>
    <s v="Híbrida casa (más días en casa que en la oficina)"/>
    <s v="Consensuada por las dos partes"/>
    <s v="De acuerdo"/>
    <s v="Igual que cuando iba todos los días a la oficina"/>
    <s v="Igual que cuando iba todos los días a la oficina"/>
    <s v="Mayor que cuando iba todos los días a la oficina"/>
    <s v="Iguales que cuando iba todos los días a la oficina"/>
    <s v="Casi todas por videoconferencia"/>
    <s v="Menor que cuando eran en la oficina"/>
    <s v="Igual que cuando iba todos los días a la oficina"/>
    <s v="No tengo la información para contestar a la pregunta"/>
    <s v="No tengo la información para contestar a la pregunta"/>
    <s v="Igual que cuando iba todos los días a la oficina"/>
    <x v="2"/>
    <x v="1"/>
    <x v="1"/>
    <s v="Igual que cuando iba todos los días a la oficina"/>
    <x v="3"/>
    <s v="Igual que cuando iba todos los días a la oficina"/>
    <s v="Igual que cuando iba todos los días a la oficina"/>
    <s v="Igual que cuando iba todos los días a la oficina"/>
    <s v="Igual que cuando iba todos los días a la oficina"/>
    <s v="No tengo la información para contestar a la pregunta"/>
    <s v="Mas que cuando iba todos los días a la oficina"/>
    <s v="Mas que cuando iba todos los días a la oficina"/>
    <s v="Igual que cuando iba todos los días a la oficina"/>
    <s v="Mas que cuando iba todos los días a la oficina"/>
    <s v="Mucho menores que cuando iba todos los días a la oficina"/>
    <s v="Igual que cuando iba todos los días a la oficina"/>
    <s v="Igual que cuando iba todos los días a la oficina"/>
    <s v="Menor que cuando iba todos los días a la oficina"/>
    <s v="Igual que cuando iba todos los días a la oficina"/>
    <s v="Menor que cuando iba todos los días a la oficina"/>
    <s v="Menor que cuando iba todos los días a la oficina"/>
    <s v="Mayor que cuando iba todos los días a la oficina"/>
    <s v="Mayor que cuando iba todos los días a la oficina"/>
    <s v="Iguales que cuando iba todos los días a la oficina"/>
    <s v="Igual que cuando iba todos los días a la oficina"/>
    <s v="Iguales que cuando iba todos los días a la oficina"/>
    <s v="Mayor que cuando iba todos los días a la oficina"/>
    <s v="Mayores que cuando iba todos los días a la oficina"/>
    <s v="Iguales que cuando iba todos los días a la oficina"/>
    <s v="Igual que cuando iba todos los días a la oficina"/>
    <s v="Igual que cuando iba todos los días a la oficina"/>
    <s v="Mayores que cuando iba todos los días a la oficina"/>
    <s v="Mayor que cuando iba todos los días a la oficina"/>
    <s v="Mayor que cuando iba todos los días a la oficina"/>
    <s v="Igual que cuando iba todos los días a la oficina"/>
    <s v="Iguales que cuando iba todos los días a la oficina"/>
    <s v="Igual que cuando iba todos los días a la oficina"/>
    <s v="Igual que cuando iba todos los días a la oficina"/>
    <s v="Mayor que cuando iba todos los días a la oficina"/>
    <s v="Mayor que cuando iba todos los días a la oficina"/>
    <s v="Mayor que cuando iba todos los días a la oficina"/>
    <s v="Mayor que cuando iba todos los días a la oficina"/>
    <s v="Igual que cuando iba todos los días a la oficina"/>
    <s v="Mucho Mayor que cuando iba todos los días a la oficina"/>
    <s v="Igual que cuando iba todos los días a la oficina"/>
    <s v="Mayor que cuando iba todos los días a la oficina"/>
    <s v="Igual que cuando iba todos los días a la oficina"/>
    <s v="Iguales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Mayor que cuando iba todos los días a la oficina"/>
    <s v="Igual que cuando iba todos los días a la oficina"/>
    <s v="Iguales que cuando iba todos los días a la oficina"/>
    <s v="Igual que cuando iba todos los días a la oficina"/>
    <s v="Igual que cuando iba todos los días a la oficina"/>
    <m/>
    <s v="&lt;301 empleados"/>
    <n v="0"/>
  </r>
  <r>
    <s v="México"/>
    <s v="36+ años"/>
    <s v="Masculino"/>
    <s v="Licenciatura"/>
    <s v="5-10 años"/>
    <s v="DBA"/>
    <s v="Data Engineer"/>
    <s v="&gt;500 empleados."/>
    <s v="Empresa que desarrolla software a medida partiendo desde cero"/>
    <s v="Multinacional"/>
    <s v="A veces"/>
    <s v="Alto"/>
    <s v="4-5 días"/>
    <s v="Ninguno"/>
    <s v="Remota ( todos los días en casa)"/>
    <s v="Impuesta por la empresa"/>
    <s v="De acuerdo"/>
    <s v="Igual que cuando iba todos los días a la oficina"/>
    <s v="Mayor que cuando iba todos los días a la oficina"/>
    <s v="Mayor que cuando iba todos los días a la oficina"/>
    <s v="Diferentes que cuando iba todos los días a la oficina, ahora necesito menos horas para hacer lo mismo"/>
    <s v="Casi todas por videoconferencia"/>
    <s v="Menor que cuando eran en la oficina"/>
    <s v="Mucho Mayor que cuando iba todos los días a la oficina"/>
    <s v="Mucho Mayor que cuando iba todos los días a la oficina"/>
    <s v="Mayor que cuando iba todos los días a la oficina"/>
    <s v="Mayor que cuando iba todos los días a la oficina"/>
    <x v="0"/>
    <x v="1"/>
    <x v="0"/>
    <s v="Mayor que cuando iba todos los días a la oficina"/>
    <x v="5"/>
    <s v="Igual que cuando iba todos los días a la oficina"/>
    <s v="Menos que cuando iba todos los días a la oficina"/>
    <s v="Menos que cuando iba todos los días a la oficina"/>
    <s v="Menos que cuando iba todos los días a la oficina"/>
    <s v="Menos que cuando iba todos los días a la oficina"/>
    <s v="Menos que cuando iba todos los días a la oficina"/>
    <s v="Menos que cuando iba todos los días a la oficina"/>
    <s v="Menos que cuando iba todos los días a la oficina"/>
    <s v="Menos que cuando iba todos los días a la oficina"/>
    <s v="Mucho Mayores que cuando iba todos los días a la oficina"/>
    <s v="Igual que cuando iba todos los días a la oficina"/>
    <s v="Mucho Mayor que cuando iba todos los días a la oficina"/>
    <s v="Mucho menor que cuando iba todos los días a la oficina"/>
    <s v="Mucho Mayor que cuando iba todos los días a la oficina"/>
    <s v="Mucho menor que cuando iba todos los días a la oficina"/>
    <s v="Menor que cuando iba todos los días a la oficina"/>
    <s v="Igual que cuando iba todos los días a la oficina"/>
    <s v="Mayor que cuando iba todos los días a la oficina"/>
    <s v="Menores que cuando iba todos los días a la oficina"/>
    <s v="Mayor que cuando iba todos los días a la oficina"/>
    <s v="No hay diferencias culturales en mi equipo"/>
    <s v="Mayor que cuando iba todos los días a la oficina"/>
    <s v="Menores que cuando iba todos los días a la oficina"/>
    <s v="Iguales que cuando iba todos los días a la oficina"/>
    <s v="Menos que cuando iba todos los días a la oficina"/>
    <s v="Mayor que cuando iba todos los días a la oficina"/>
    <s v="Menores que cuando iba todos los días a la oficina"/>
    <s v="Mayor que cuando iba todos los días a la oficina"/>
    <s v="Mucho mayor que cuando iba todos los días a la oficina"/>
    <s v="Igual que cuando iba todos los días a la oficina"/>
    <s v="Menores que cuando iba todos los días a la oficina"/>
    <s v="Mejor que cuando iba todos los días a la oficina"/>
    <s v="Mayor que cuando iba todos los días a la oficina"/>
    <s v="Mayor que cuando iba todos los días a la oficina"/>
    <s v="Mucho mayor que cuando iba todos los días a la oficina"/>
    <s v="Mucho Mayor que cuando iba todos los días a la oficina"/>
    <s v="Mucho Mayor que cuando iba todos los días a la oficina"/>
    <s v="Mayor que cuando iba todos los días a la oficina"/>
    <s v="Mucho Mayor que cuando iba todos los días a la oficina"/>
    <s v="Mucho Mayor que cuando iba todos los días a la oficina"/>
    <s v="Menor que cuando iba todos los días a la oficina"/>
    <s v="Mas que cuando iba todos los días a la oficina"/>
    <s v="Mayores que cuando iba todos los días a la oficina"/>
    <s v="Mayor que cuando iba todos los días a la oficina"/>
    <s v="Mucho Mayor que cuando iba todos los días a la oficina"/>
    <s v="Mayor que cuando iba todos los días a la oficina"/>
    <s v="Menor que cuando iba todos los días a la oficina"/>
    <s v="Igual que cuando iba todos los días a la oficina"/>
    <s v="Menor que cuando iba todos los días a la oficina"/>
    <s v="Mejor que cuando iba todos los días a la oficina"/>
    <s v="Mayor que cuando iba todos los días a la oficina"/>
    <s v="Menor que cuando iba todos los días a la oficina"/>
    <s v="Mayor que cuando iba todos los días a la oficina"/>
    <s v="Mayor que cuando iba todos los días a la oficina"/>
    <s v="Menor que cuando iba todos los días a la oficina"/>
    <s v="Menores que cuando iba todos los días a la oficina"/>
    <s v="Mucho Mayor que cuando iba todos los días a la oficina"/>
    <s v="Mucho mayor que cuando iba todos los días a la oficina"/>
    <s v="zero.rodrigo.c@gmail.com"/>
    <s v="301+ empleados"/>
    <n v="0"/>
  </r>
  <r>
    <s v="México"/>
    <s v="36+ años"/>
    <s v="Masculino"/>
    <s v="Maestría"/>
    <s v="11-20 años"/>
    <s v="Desarrollador"/>
    <s v="Desarrollador"/>
    <s v="&lt;50 empleados"/>
    <s v="Fábrica de Software"/>
    <s v="Local"/>
    <s v="Nunca"/>
    <s v="Alto"/>
    <s v="4-5 días"/>
    <s v="1-2 días"/>
    <s v="Remota ( todos los días en casa)"/>
    <s v="Consensuada por las dos partes"/>
    <s v="Totalmente en desacuerdo"/>
    <s v="Igual que cuando iba todos los días a la oficina"/>
    <s v="Igual que cuando iba todos los días a la oficina"/>
    <s v="Igual que cuando iba todos los días a la oficina"/>
    <s v="Muy diferentes que cuando iba todos los días a la oficina, ahora necesito muchas menos horas para hacer lo mismo"/>
    <s v="Casi todas por videoconferencia"/>
    <s v="Mucho menor que cuando eran en la oficina"/>
    <s v="Mayor que cuando iba todos los días a la oficina"/>
    <s v="Mayor que cuando iba todos los días a la oficina"/>
    <s v="Mayor que cuando iba todos los días a la oficina"/>
    <s v="Mucho Mayor que cuando iba todos los días a la oficina"/>
    <x v="2"/>
    <x v="0"/>
    <x v="3"/>
    <s v="Igual que cuando iba todos los días a la oficina"/>
    <x v="2"/>
    <s v="Igual que cuando iba todos los días a la oficina"/>
    <s v="No trabajo con personas de distintas culturas"/>
    <s v="No trabajo con personas con un horario distinto al mío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es que cuando iba todos los días a la oficina"/>
    <s v="Igual que cuando iba todos los días a la oficina"/>
    <s v="Mayor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Mayor que cuando iba todos los días a la oficina"/>
    <s v="Menor que cuando iba todos los días a la oficina"/>
    <s v="Iguales que cuando iba todos los días a la oficina"/>
    <s v="Igual que cuando iba todos los días a la oficina"/>
    <s v="No hay diferencias culturales en mi equipo"/>
    <s v="Mayor que cuando iba todos los días a la oficina"/>
    <s v="Iguales que cuando iba todos los días a la oficina"/>
    <s v="No tengo que utilizar diferentes idiomas en mi trabajo"/>
    <s v="No trabajo con personas con distintos horarios"/>
    <s v="Mayor que cuando iba todos los días a la oficina"/>
    <s v="Menores que cuando iba todos los días a la oficina"/>
    <s v="Mayor que cuando iba todos los días a la oficina"/>
    <s v="Igual que cuando iba todos los días a la oficina"/>
    <s v="Igual que cuando iba todos los días a la oficina"/>
    <s v="Iguales que cuando iba todos los días a la oficina"/>
    <s v="Mejor que cuando iba todos los días a la oficina"/>
    <s v="Mayor que cuando iba todos los días a la oficina"/>
    <s v="Mayor que cuando iba todos los días a la oficina"/>
    <s v="Mucho mayor que cuando iba todos los días a la oficina"/>
    <s v="Igual que cuando iba todos los días a la oficina"/>
    <s v="Igual que cuando iba todos los días a la oficina"/>
    <s v="Mayor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es que cuando iba todos los días a la oficina"/>
    <s v="Mayor que cuando iba todos los días a la oficina"/>
    <s v="Mayor que cuando iba todos los días a la oficina"/>
    <s v="Mayor que cuando iba todos los días a la oficina"/>
    <s v="Menor que cuando iba todos los días a la oficina"/>
    <s v="Mayor que cuando iba todos los días a la oficina"/>
    <s v="Igual que cuando iba todos los días a la oficina"/>
    <s v="Igual que cuando iba todos los días a la oficina"/>
    <s v="Menor que cuando iba todos los días a la oficina"/>
    <s v="Menor que cuando iba todos los días a la oficina"/>
    <s v="Igual que cuando iba todos los días a la oficina"/>
    <s v="Mucho Mayor que cuando iba todos los días a la oficina"/>
    <s v="Menor que cuando iba todos los días a la oficina"/>
    <s v="Iguales que cuando iba todos los días a la oficina"/>
    <s v="Igual que cuando iba todos los días a la oficina"/>
    <s v="Mayor que cuando iba todos los días a la oficina"/>
    <m/>
    <s v="&lt;301 empleados"/>
    <n v="0"/>
  </r>
  <r>
    <s v="México"/>
    <s v="36+ años"/>
    <s v="Masculino"/>
    <s v="Licenciatura"/>
    <s v="&lt;5 años"/>
    <s v="Desarrollador"/>
    <s v="Científico de Datos"/>
    <s v="301-500 empleados"/>
    <s v="Fábrica de Software"/>
    <s v="Multinacional"/>
    <s v="A veces"/>
    <s v="Alto"/>
    <s v="4-5 días"/>
    <s v="Ninguno"/>
    <s v="Híbrida casa (más días en casa que en la oficina)"/>
    <s v="Consensuada por las dos partes"/>
    <s v="En desacuerdo"/>
    <s v="Menor que cuando iba todos los días a la oficina"/>
    <s v="Menor que cuando iba todos los días a la oficina"/>
    <s v="Menor que cuando iba todos los días a la oficina"/>
    <s v="Diferentes que cuando iba todos los días a la oficina, ahora necesito menos horas para hacer lo mismo"/>
    <s v="Todas por videoconferencia"/>
    <s v="Mucho Mayor que cuando eran en la oficina"/>
    <s v="Menor cuando iba todos los días a la oficina"/>
    <s v="Menor que cuando iba todos los días a la oficina"/>
    <s v="Igual que cuando iba todos los días a la oficina"/>
    <s v="Menor que cuando iba todos los días a la oficina"/>
    <x v="3"/>
    <x v="2"/>
    <x v="1"/>
    <s v="Menor que cuando iba todos los días a la oficina"/>
    <x v="2"/>
    <s v="Más que cuando iba todos los días a la oficina"/>
    <s v="Igual que cuando iba todos los días a la oficina"/>
    <s v="Igual que cuando iba todos los días a la oficina"/>
    <s v="Más que cuando iba todos los días a la oficina"/>
    <s v="Más que cuando iba todos los días a la oficina"/>
    <s v="Mas que cuando iba todos los días a la oficina"/>
    <s v="Mas que cuando iba todos los días a la oficina"/>
    <s v="Mucho mas que cuando iba todos los días a la oficina"/>
    <s v="Mucho mas que cuando iba todos los días a la oficina"/>
    <s v="Iguales que cuando iba todos los días a la oficina"/>
    <s v="Mayor que cuando iba todos los días a la oficina"/>
    <s v="Igual que cuando iba todos los días a la oficina"/>
    <s v="Igual que cuando iba todos los días a la oficina"/>
    <s v="Menor que cuando iba todos los días a la oficina"/>
    <s v="Mayor que cuando iba todos los días a la oficina"/>
    <s v="Mayor que cuando iba todos los días a la oficina"/>
    <s v="Igual que cuando iba todos los días a la oficina"/>
    <s v="Mucho mayor que cuando iba todos los días a la oficina"/>
    <s v="Mayores que cuando iba todos los días a la oficina"/>
    <s v="Mayor que cuando iba todos los días a la oficina"/>
    <s v="No hay diferencias culturales en mi equipo"/>
    <s v="Igual que cuando iba todos los días a la oficina"/>
    <s v="Mayores que cuando iba todos los días a la oficina"/>
    <s v="No tengo que utilizar diferentes idiomas en mi trabajo"/>
    <s v="No trabajo con personas con distintos horarios"/>
    <s v="Menor que cuando iba todos los días a la oficina"/>
    <s v="Mayores que cuando iba todos los días a la oficina"/>
    <s v="Mucho menor que cuando iba todos los días a la oficina"/>
    <s v="Menor que cuando iba todos los días a la oficina"/>
    <s v="Mucho más que cuando iba todos los días a la oficina"/>
    <s v="Iguales que cuando iba todos los días a la oficina"/>
    <s v="Igual que cuando iba todos los días a la oficina"/>
    <s v="Mucho menor que cuando iba todos los días a la oficina"/>
    <s v="Mucho menor que cuando iba todos los días a la oficina"/>
    <s v="Mucho mayor que cuando iba todos los días a la oficina"/>
    <s v="Mucho menor que cuando iba todos los días a la oficina"/>
    <s v="Mucho menor que cuando iba todos los días a la oficina"/>
    <s v="Mayor que cuando iba todos los días a la oficina"/>
    <s v="Menor que cuando iba todos los días a la oficina"/>
    <s v="Mayor que cuando iba todos los días a la oficina"/>
    <s v="Mayor que cuando iba todos los días a la oficina"/>
    <s v="Igual que cuando iba todos los días a la oficina"/>
    <s v="Menores que cuando iba todos los días a la oficina"/>
    <s v="Igual que cuando iba todos los días a la oficina"/>
    <s v="Mucho Mayor que cuando iba todos los días a la oficina"/>
    <s v="Menor que cuando iba todos los días a la oficina"/>
    <s v="Mucho Mayor que cuando iba todos los días a la oficina"/>
    <s v="Menor que cuando iba todos los días a la oficina"/>
    <s v="Menor que cuando iba todos los días a la oficina"/>
    <s v="Igual que cuando iba todos los días a la oficina"/>
    <s v="Menor que cuando iba todos los días a la oficina"/>
    <s v="Mucho menor que cuando iba todos los días a la oficina"/>
    <s v="Igual que cuando iba todos los días a la oficina"/>
    <s v="Igual que cuando iba todos los días a la oficina"/>
    <s v="Mucho menor que cuando iba todos los días a la oficina"/>
    <s v="Mayores que cuando iba todos los días a la oficina"/>
    <s v="Mucho menor que cuando iba todos los días a la oficina"/>
    <s v="Menor que cuando iba todos los días a la oficina"/>
    <m/>
    <s v="301+ empleados"/>
    <n v="0"/>
  </r>
  <r>
    <s v="México"/>
    <s v="36+ años"/>
    <s v="Masculino"/>
    <s v="Licenciatura"/>
    <s v="&lt;5 años"/>
    <s v="Desarrollador"/>
    <s v="Desarrollador"/>
    <s v="&gt;500 empleados."/>
    <s v="Empresa que desarrolla software a medida partiendo desde cero"/>
    <s v="Local"/>
    <s v="Nunca"/>
    <s v="Alto"/>
    <s v="4-5 días"/>
    <s v="Ninguno"/>
    <s v="Híbrida casa (más días en casa que en la oficina)"/>
    <s v="Consensuada por las dos partes"/>
    <s v="En desacuerdo"/>
    <s v="Menor que cuando iba todos los días a la oficina"/>
    <s v="Menor que cuando iba todos los días a la oficina"/>
    <s v="Menor que cuando iba todos los días a la oficina"/>
    <s v="Diferentes que cuando iba todos los días a la oficina, ahora necesito más horas para hacer lo mismo"/>
    <s v="Todas por videoconferencia"/>
    <s v="Igual que cuando eran en la oficina"/>
    <s v="Igual que cuando iba todos los días a la oficina"/>
    <s v="Menor que cuando iba todos los días a la oficina"/>
    <s v="Igual que cuando iba todos los días a la oficina"/>
    <s v="Menor que cuando iba todos los días a la oficina"/>
    <x v="0"/>
    <x v="1"/>
    <x v="0"/>
    <s v="Igual que cuando iba todos los días a la oficina"/>
    <x v="1"/>
    <s v="Mucho menos que cuando iba todos los días a la oficina"/>
    <s v="No trabajo con personas de distintas culturas"/>
    <s v="No trabajo con personas con un horario distinto al mío"/>
    <s v="No trabajo  con personas que se encuentran geográficamente distribuidas"/>
    <s v="Más que cuando iba todos los días a la oficina"/>
    <s v="Mas que cuando iba todos los días a la oficina"/>
    <s v="Mas que cuando iba todos los días a la oficina"/>
    <s v="Mas que cuando iba todos los días a la oficina"/>
    <s v="Mucho mas que cuando iba todos los días a la oficina"/>
    <s v="Iguales que cuando iba todos los días a la oficina"/>
    <s v="Menor que cuando iba todos los días a la oficina"/>
    <s v="Igual que cuando iba todos los días a la oficina"/>
    <s v="Mayor que cuando iba todos los días a la oficina"/>
    <s v="Igual que cuando iba todos los días a la oficina"/>
    <s v="Menor que cuando iba todos los días a la oficina"/>
    <s v="Menor que cuando iba todos los días a la oficina"/>
    <s v="Mayor que cuando iba todos los días a la oficina"/>
    <s v="Mayor que cuando iba todos los días a la oficina"/>
    <s v="Menores que cuando iba todos los días a la oficina"/>
    <s v="Menor que cuando iba todos los días a la oficina"/>
    <s v="No hay diferencias culturales en mi equipo"/>
    <s v="Menor que cuando iba todos los días a la oficina"/>
    <s v="Iguales que cuando iba todos los días a la oficina"/>
    <s v="No tengo que utilizar diferentes idiomas en mi trabajo"/>
    <s v="No trabajo con personas con distintos horarios"/>
    <s v="Menor que cuando iba todos los días a la oficina"/>
    <s v="Menores que cuando iba todos los días a la oficina"/>
    <s v="Menor que cuando iba todos los días a la oficina"/>
    <s v="Mayor que cuando iba todos los días a la oficina"/>
    <s v="Más que cuando iba todos los días a la oficina"/>
    <s v="Mayores que cuando iba todos los días a la oficina"/>
    <s v="Igual que cuando iba todos los días a la oficina"/>
    <s v="Igual que cuando iba todos los días a la oficina"/>
    <s v="Menor que cuando iba todos los días a la oficina"/>
    <s v="Mucho mayor que cuando iba todos los días a la oficina"/>
    <s v="Igual que cuando iba todos los días a la oficina"/>
    <s v="Igual que cuando iba todos los días a la oficina"/>
    <s v="Igual que cuando iba todos los días a la oficina"/>
    <s v="Mayor que cuando iba todos los días a la oficina"/>
    <s v="Igual que cuando iba todos los días a la oficina"/>
    <s v="Mayor que cuando iba todos los días a la oficina"/>
    <s v="Menos que cuando iba todos los días a la oficina"/>
    <s v="Menores que cuando iba todos los días a la oficina"/>
    <s v="Menor que cuando iba todos los días a la oficina"/>
    <s v="Mayor que cuando iba todos los días a la oficina"/>
    <s v="Igual que cuando iba todos los días a la oficina"/>
    <s v="Menor que cuando iba todos los días a la oficina"/>
    <s v="Menor que cuando iba todos los días a la oficina"/>
    <s v="Mayor que cuando iba todos los días a la oficina"/>
    <s v="Igual que cuando iba todos los días a la oficina"/>
    <s v="Menor que cuando iba todos los días a la oficina"/>
    <s v="Mucho menor que cuando iba todos los días a la oficina"/>
    <s v="Menor que cuando iba todos los días a la oficina"/>
    <s v="Mayor que cuando iba todos los días a la oficina"/>
    <s v="Mucho menor que cuando iba todos los días a la oficina"/>
    <s v="Mayores que cuando iba todos los días a la oficina"/>
    <s v="Mucho menor que cuando iba todos los días a la oficina"/>
    <s v="Igual que cuando iba todos los días a la oficina"/>
    <m/>
    <s v="301+ empleados"/>
    <n v="0"/>
  </r>
  <r>
    <s v="México"/>
    <s v="36+ años"/>
    <s v="Masculino"/>
    <s v="Licenciatura"/>
    <s v="&lt;5 años"/>
    <s v="Desarrollador de software"/>
    <s v="Desarrollador de software"/>
    <s v="&lt;50 empleados"/>
    <s v="Empresa que desarrolla software a medida partiendo desde cero"/>
    <s v="Local"/>
    <s v="Nunca"/>
    <s v="Alto"/>
    <s v="4-5 días"/>
    <s v="1-2 días"/>
    <s v="Híbrida casa (más días en casa que en la oficina)"/>
    <s v="Impuesta por la empresa"/>
    <s v="Totalmente de acuerdo"/>
    <s v="Igual que cuando iba todos los días a la oficina"/>
    <s v="Igual que cuando iba todos los días a la oficina"/>
    <s v="Igual que cuando iba todos los días a la oficina"/>
    <s v="Iguales que cuando iba todos los días a la oficina"/>
    <s v="Casi todas por videoconferencia"/>
    <s v="Igual que cuando eran en la oficina"/>
    <s v="Mayor que cuando iba todos los días a la oficina"/>
    <s v="Igual que cuando iba todos los días a la oficina"/>
    <s v="Igual que cuando iba todos los días a la oficina"/>
    <s v="Igual que cuando iba todos los días a la oficina"/>
    <x v="2"/>
    <x v="1"/>
    <x v="0"/>
    <s v="Igual que cuando iba todos los días a la oficina"/>
    <x v="3"/>
    <s v="No tengo la información para contestar a la pregunt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Mas que cuando iba todos los días a la oficina"/>
    <s v="Igual que cuando iba todos los días a la oficina"/>
    <s v="Igual que cuando iba todos los días a la oficina"/>
    <s v="Iguales que cuando iba todos los días a la oficina"/>
    <s v="Igual que cuando iba todos los días a la oficina"/>
    <s v="Igual que cuando iba todos los días a la oficina"/>
    <s v="Mayor que cuando iba todos los días a la oficina"/>
    <s v="Igual que cuando iba todos los días a la oficina"/>
    <s v="Mayor que cuando iba todos los días a la oficina"/>
    <s v="Igual que cuando iba todos los días a la oficina"/>
    <s v="Menor que cuando iba todos los días a la oficina"/>
    <s v="Mayor que cuando iba todos los días a la oficina"/>
    <s v="Iguales que cuando iba todos los días a la oficina"/>
    <s v="Igual que cuando iba todos los días a la oficina"/>
    <s v="Iguales que cuando iba todos los días a la oficina"/>
    <s v="Igual que cuando iba todos los días a la oficina"/>
    <s v="Iguales que cuando iba todos los días a la oficina"/>
    <s v="Iguales que cuando iba todos los días a la oficina"/>
    <s v="Igual que cuando iba todos los días a la oficina"/>
    <s v="Igual que cuando iba todos los días a la oficina"/>
    <s v="Mayores que cuando iba todos los días a la oficina"/>
    <s v="Mayor que cuando iba todos los días a la oficina"/>
    <s v="Menor que cuando iba todos los días a la oficina"/>
    <s v="Igual que cuando iba todos los días a la oficina"/>
    <s v="Iguales que cuando iba todos los días a la oficina"/>
    <s v="Igual que cuando iba todos los días a la oficina"/>
    <s v="Mayor que cuando iba todos los días a la oficina"/>
    <s v="Mayor que cuando iba todos los días a la oficina"/>
    <s v="Mayor que cuando iba todos los días a la oficina"/>
    <s v="Igual que cuando iba todos los días a la oficina"/>
    <s v="Igual que cuando iba todos los días a la oficina"/>
    <s v="Igual que cuando iba todos los días a la oficina"/>
    <s v="Mayor que cuando iba todos los días a la oficina"/>
    <s v="Igual que cuando iba todos los días a la oficina"/>
    <s v="Igual que cuando iba todos los días a la oficina"/>
    <s v="Igual que cuando iba todos los días a la oficina"/>
    <s v="Iguales que cuando iba todos los días a la oficina"/>
    <s v="Igual que cuando iba todos los días a la oficina"/>
    <s v="Menor que cuando iba todos los días a la oficina"/>
    <s v="Igual que cuando iba todos los días a la oficina"/>
    <s v="Menor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Menor que cuando iba todos los días a la oficina"/>
    <s v="Igual que cuando iba todos los días a la oficina"/>
    <s v="Mayor que cuando iba todos los días a la oficina"/>
    <s v="Menor que cuando iba todos los días a la oficina"/>
    <s v="Iguales que cuando iba todos los días a la oficina"/>
    <s v="Menor que cuando iba todos los días a la oficina"/>
    <s v="Mayor que cuando iba todos los días a la oficina"/>
    <m/>
    <s v="&lt;301 empleados"/>
    <n v="0"/>
  </r>
  <r>
    <s v="México"/>
    <s v="36+ años"/>
    <s v="Masculino"/>
    <s v="Licenciatura"/>
    <s v="5-10 años"/>
    <s v="Desarrollador de Software"/>
    <s v="Ingeniero de Software"/>
    <s v="&gt;500 empleados."/>
    <s v="Empresa que subcontrata (outsourcing) los servicios de otra empresa situada en otro país"/>
    <s v="Multinacional"/>
    <s v="Muy Frecuentemente"/>
    <s v="Alto"/>
    <s v="4-5 días"/>
    <s v="Ninguno"/>
    <s v="Híbrida casa (más días en casa que en la oficina)"/>
    <s v="Decidida por ti"/>
    <s v="Totalmente de acuerdo"/>
    <s v="Igual que cuando iba todos los días a la oficina"/>
    <s v="Igual que cuando iba todos los días a la oficina"/>
    <s v="Igual que cuando iba todos los días a la oficina"/>
    <s v="Iguales que cuando iba todos los días a la oficina"/>
    <s v="Todas por videoconferencia"/>
    <s v="Igual que cuando eran en la oficina"/>
    <s v="Igual que cuando iba todos los días a la oficina"/>
    <s v="Igual que cuando iba todos los días a la oficina"/>
    <s v="Igual que cuando iba todos los días a la oficina"/>
    <s v="Igual que cuando iba todos los días a la oficina"/>
    <x v="1"/>
    <x v="2"/>
    <x v="1"/>
    <s v="Igual que cuando iba todos los días a la oficina"/>
    <x v="2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es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es que cuando iba todos los días a la oficina"/>
    <s v="Igual que cuando iba todos los días a la oficina"/>
    <s v="Iguales que cuando iba todos los días a la oficina"/>
    <s v="Igual que cuando iba todos los días a la oficina"/>
    <s v="Iguales que cuando iba todos los días a la oficina"/>
    <s v="Iguales que cuando iba todos los días a la oficina"/>
    <s v="Igual que cuando iba todos los días a la oficina"/>
    <s v="Igual que cuando iba todos los días a la oficina"/>
    <s v="Iguales que cuando iba todos los días a la oficina"/>
    <s v="Mayor que cuando iba todos los días a la oficina"/>
    <s v="Menor que cuando iba todos los días a la oficina"/>
    <s v="Igual que cuando iba todos los días a la oficina"/>
    <s v="Iguales que cuando iba todos los días a la oficina"/>
    <s v="Igual que cuando iba todos los días a la oficina"/>
    <s v="Igual que cuando iba todos los días a la oficina"/>
    <s v="Igual que cuando iba todos los días a la oficina"/>
    <s v="Menor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es que cuando iba todos los días a la oficina"/>
    <s v="Igual que cuando iba todos los días a la oficina"/>
    <s v="Mayor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Menor que cuando iba todos los días a la oficina"/>
    <s v="Igual que cuando iba todos los días a la oficina"/>
    <s v="Igual que cuando iba todos los días a la oficina"/>
    <s v="Igual que cuando iba todos los días a la oficina"/>
    <s v="Iguales que cuando iba todos los días a la oficina"/>
    <s v="Menor que cuando iba todos los días a la oficina"/>
    <s v="Igual que cuando iba todos los días a la oficina"/>
    <m/>
    <s v="301+ empleados"/>
    <n v="0"/>
  </r>
  <r>
    <s v="México"/>
    <s v="36+ años"/>
    <s v="Masculino"/>
    <s v="Maestría"/>
    <s v="5-10 años"/>
    <s v="Desarrollador de software "/>
    <s v="Ingeniero de datos "/>
    <s v="&gt;500 empleados."/>
    <s v="Empresa que subcontrata (outsourcing) los servicios de otra empresa situada en otro país"/>
    <s v="Multinacional"/>
    <s v="Frecuentemente"/>
    <s v="Alto"/>
    <s v="4-5 días"/>
    <s v="Ninguno"/>
    <s v="Remota ( todos los días en casa)"/>
    <s v="Consensuada por las dos partes"/>
    <s v="De acuerdo"/>
    <s v="Igual que cuando iba todos los días a la oficina"/>
    <s v="Mayor que cuando iba todos los días a la oficina"/>
    <s v="Mayor que cuando iba todos los días a la oficina"/>
    <s v="Iguales que cuando iba todos los días a la oficina"/>
    <s v="Todas por videoconferencia"/>
    <s v="Igual que cuando eran en la oficina"/>
    <s v="Mayor que cuando iba todos los días a la oficina"/>
    <s v="Igual que cuando iba todos los días a la oficina"/>
    <s v="Igual que cuando iba todos los días a la oficina"/>
    <s v="Igual que cuando iba todos los días a la oficina"/>
    <x v="4"/>
    <x v="3"/>
    <x v="0"/>
    <s v="Igual que cuando iba todos los días a la oficina"/>
    <x v="2"/>
    <s v="Más que cuando iba todos los días a la oficina"/>
    <s v="Igual que cuando iba todos los días a la oficina"/>
    <s v="No trabajo con personas con un horario distinto al mío"/>
    <s v="Igual que cuando iba todos los días a la oficina"/>
    <s v="Más que cuando iba todos los días a la oficina"/>
    <s v="Igual que cuando iba todos los días a la oficina"/>
    <s v="Mas que cuando iba todos los días a la oficina"/>
    <s v="Mas que cuando iba todos los días a la oficina"/>
    <s v="Igual que cuando iba todos los días a la oficina"/>
    <s v="Iguales que cuando iba todos los días a la oficina"/>
    <s v="Igual que cuando iba todos los días a la oficina"/>
    <s v="Igual que cuando iba todos los días a la oficina"/>
    <s v="Menor que cuando iba todos los días a la oficina"/>
    <s v="Mayor que cuando iba todos los días a la oficina"/>
    <s v="Menor que cuando iba todos los días a la oficina"/>
    <s v="Mucho menor que cuando iba todos los días a la oficina"/>
    <s v="Menor que cuando iba todos los días a la oficina"/>
    <s v="Mucho mayor que cuando iba todos los días a la oficina"/>
    <s v="Iguales que cuando iba todos los días a la oficina"/>
    <s v="Mayor que cuando iba todos los días a la oficina"/>
    <s v="Iguales que cuando iba todos los días a la oficina"/>
    <s v="Igual que cuando iba todos los días a la oficina"/>
    <s v="Iguales que cuando iba todos los días a la oficina"/>
    <s v="Iguales que cuando iba todos los días a la oficina"/>
    <s v="No trabajo con personas con distintos horarios"/>
    <s v="Mayor que cuando iba todos los días a la oficina"/>
    <s v="Mayores que cuando iba todos los días a la oficina"/>
    <s v="Mayor que cuando iba todos los días a la oficina"/>
    <s v="Menor que cuando iba todos los días a la oficina"/>
    <s v="Igual que cuando iba todos los días a la oficina"/>
    <s v="Iguales que cuando iba todos los días a la oficina"/>
    <s v="Mejor que cuando iba todos los días a la oficina"/>
    <s v="Mayor que cuando iba todos los días a la oficina"/>
    <s v="Igual que cuando iba todos los días a la oficina"/>
    <s v="Mucho mayor que cuando iba todos los días a la oficina"/>
    <s v="Mayor que cuando iba todos los días a la oficina"/>
    <s v="Mayor que cuando iba todos los días a la oficina"/>
    <s v="Mayor que cuando iba todos los días a la oficina"/>
    <s v="Mayor que cuando iba todos los días a la oficina"/>
    <s v="Igual que cuando iba todos los días a la oficina"/>
    <s v="Menor que cuando iba todos los días a la oficina"/>
    <s v="Mas que cuando iba todos los días a la oficina"/>
    <s v="Mayores que cuando iba todos los días a la oficina"/>
    <s v="Igual que cuando iba todos los días a la oficina"/>
    <s v="Mayor que cuando iba todos los días a la oficina"/>
    <s v="Igual que cuando iba todos los días a la oficina"/>
    <s v="Menor que cuando iba todos los días a la oficina"/>
    <s v="Mayor que cuando iba todos los días a la oficina"/>
    <s v="Igual que cuando iba todos los días a la oficina"/>
    <s v="Mejor que cuando iba todos los días a la oficina"/>
    <s v="Mayor que cuando iba todos los días a la oficina"/>
    <s v="Igual que cuando iba todos los días a la oficina"/>
    <s v="Menor que cuando iba todos los días a la oficina"/>
    <s v="Mayor que cuando iba todos los días a la oficina"/>
    <s v="Menor que cuando iba todos los días a la oficina"/>
    <s v="Menores que cuando iba todos los días a la oficina"/>
    <s v="Igual que cuando iba todos los días a la oficina"/>
    <s v="Mayor que cuando iba todos los días a la oficina"/>
    <s v="a207210744@unison.mx"/>
    <s v="301+ empleados"/>
    <n v="0"/>
  </r>
  <r>
    <s v="México"/>
    <s v="36+ años"/>
    <s v="Masculino"/>
    <s v="licenciatura "/>
    <s v="&lt;5 años"/>
    <s v="desarrollador de software "/>
    <s v="desarrollador de software "/>
    <s v="&lt;50 empleados"/>
    <s v="Empresa que subcontrata (outsourcing) los servicios de otra empresa situada en otro país"/>
    <s v="Multinacional"/>
    <s v="Muy Frecuentemente"/>
    <s v="Alto"/>
    <s v="4-5 días"/>
    <s v="Ninguno"/>
    <s v="Remota ( todos los días en casa)"/>
    <s v="Consensuada por las dos partes"/>
    <s v="Totalmente de acuerdo"/>
    <s v="Igual que cuando iba todos los días a la oficina"/>
    <s v="Igual que cuando iba todos los días a la oficina"/>
    <s v="Menor que cuando iba todos los días a la oficina"/>
    <s v="Diferentes que cuando iba todos los días a la oficina, ahora necesito menos horas para hacer lo mismo"/>
    <s v="Todas por videoconferencia"/>
    <s v="Menor que cuando eran en la oficina"/>
    <s v="Igual que cuando iba todos los días a la oficina"/>
    <s v="Igual que cuando iba todos los días a la oficina"/>
    <s v="Igual que cuando iba todos los días a la oficina"/>
    <s v="Igual que cuando iba todos los días a la oficina"/>
    <x v="1"/>
    <x v="0"/>
    <x v="1"/>
    <s v="Mayor que cuando iba todos los días a la oficina"/>
    <x v="0"/>
    <s v="Más que cuando iba todos los días a la oficina"/>
    <s v="Más que cuando iba todos los días a la oficina"/>
    <s v="Más que cuando iba todos los días a la oficina"/>
    <s v="Igual que cuando iba todos los días a la oficina"/>
    <s v="Más que cuando iba todos los días a la oficina"/>
    <s v="Igual que cuando iba todos los días a la oficina"/>
    <s v="Mas que cuando iba todos los días a la oficina"/>
    <s v="Mucho mas que cuando iba todos los días a la oficina"/>
    <s v="Mucho mas que cuando iba todos los días a la oficina"/>
    <s v="Menores que cuando iba todos los días a la oficina"/>
    <s v="Mucho menor que cuando iba todos los días a la oficina"/>
    <s v="Menor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Mucho mayor que cuando iba todos los días a la oficina"/>
    <s v="Iguales que cuando iba todos los días a la oficina"/>
    <s v="Mayor que cuando iba todos los días a la oficina"/>
    <s v="Iguales que cuando iba todos los días a la oficina"/>
    <s v="Menor que cuando iba todos los días a la oficina"/>
    <s v="Mucho mayores que cuando iba todos los días a la oficina"/>
    <s v="Iguales que cuando iba todos los días a la oficina"/>
    <s v="Más que cuando iba todos los días a la oficina"/>
    <s v="Menor que cuando iba todos los días a la oficina"/>
    <s v="Mucho mayores que cuando iba todos los días a la oficina"/>
    <s v="Igual que cuando iba todos los días a la oficina"/>
    <s v="Igual que cuando iba todos los días a la oficina"/>
    <s v="Mucho más que cuando iba todos los días a la oficina"/>
    <s v="Mayores que cuando iba todos los días a la oficina"/>
    <s v="Peor que cuando iba todos los días a la oficina"/>
    <s v="Igual que cuando iba todos los días a la oficina"/>
    <s v="Igual que cuando iba todos los días a la oficina"/>
    <s v="Mucho mayor que cuando iba todos los días a la oficina"/>
    <s v="Mucho Mayor que cuando iba todos los días a la oficina"/>
    <s v="Mayor que cuando iba todos los días a la oficina"/>
    <s v="Mayor que cuando iba todos los días a la oficina"/>
    <s v="Igual que cuando iba todos los días a la oficina"/>
    <s v="Igual que cuando iba todos los días a la oficina"/>
    <s v="Mayor que cuando iba todos los días a la oficina"/>
    <s v="Igual que cuando iba todos los días a la oficina"/>
    <s v="Mucho menores que cuando iba todos los días a la oficina"/>
    <s v="Igual que cuando iba todos los días a la oficina"/>
    <s v="Igual que cuando iba todos los días a la oficina"/>
    <s v="Mayor que cuando iba todos los días a la oficina"/>
    <s v="Igual que cuando iba todos los días a la oficina"/>
    <s v="Igual que cuando iba todos los días a la oficina"/>
    <s v="Menor que cuando iba todos los días a la oficina"/>
    <s v="Igual que cuando iba todos los días a la oficina"/>
    <s v="Igual que cuando iba todos los días a la oficina"/>
    <s v="Mucho menor que cuando iba todos los días a la oficina"/>
    <s v="Menor que cuando iba todos los días a la oficina"/>
    <s v="Igual que cuando iba todos los días a la oficina"/>
    <s v="Mucho menor que cuando iba todos los días a la oficina"/>
    <s v="Mayores que cuando iba todos los días a la oficina"/>
    <s v="Mucho menor que cuando iba todos los días a la oficina"/>
    <s v="Mayor que cuando iba todos los días a la oficina"/>
    <s v="sequin-mapper-0j@icloud.com"/>
    <s v="&lt;301 empleados"/>
    <n v="0"/>
  </r>
  <r>
    <s v="México"/>
    <s v="36+ años"/>
    <s v="Masculino"/>
    <s v="Licenciatura"/>
    <s v="5-10 años"/>
    <s v="Desarrollador de Software "/>
    <s v="Desarrollador de Software "/>
    <s v="&lt;50 empleados"/>
    <s v="Empresa que desarrolla software a medida partiendo desde cero"/>
    <s v="Local"/>
    <s v="Casi Nunca"/>
    <s v="Alto"/>
    <s v="4-5 días"/>
    <s v="Ninguno"/>
    <s v="Híbrida oficina (más días en la oficina que en casa)"/>
    <s v="Impuesta por la empresa"/>
    <s v="De acuerdo"/>
    <s v="Menor que cuando iba todos los días a la oficina"/>
    <s v="Menor que cuando iba todos los días a la oficina"/>
    <s v="Mucho menor que cuando iba todos los días a la oficina"/>
    <s v="Iguales que cuando iba todos los días a la oficina"/>
    <s v="Todas por videoconferencia"/>
    <s v="Mayor que cuando eran en la oficina"/>
    <s v="Menor cuando iba todos los días a la oficina"/>
    <s v="Menor que cuando iba todos los días a la oficina"/>
    <s v="Menor que cuando iba todos los días a la oficina"/>
    <s v="Mucho menor que cuando iba todos los días a la oficina"/>
    <x v="1"/>
    <x v="2"/>
    <x v="1"/>
    <s v="Menor que cuando iba todos los días a la oficina"/>
    <x v="1"/>
    <s v="No tengo la información para contestar a la pregunta"/>
    <s v="No trabajo con personas de distintas culturas"/>
    <s v="Igual que cuando iba todos los días a la oficina"/>
    <s v="No trabajo  con personas que se encuentran geográficamente distribuidas"/>
    <s v="No tengo la información para contestar a la pregunta"/>
    <s v="Mas que cuando iba todos los días a la oficina"/>
    <s v="Mas que cuando iba todos los días a la oficina"/>
    <s v="Mas que cuando iba todos los días a la oficina"/>
    <s v="Mas que cuando iba todos los días a la oficina"/>
    <s v="Menores que cuando iba todos los días a la oficina"/>
    <s v="Menor que cuando iba todos los días a la oficina"/>
    <s v="Igual que cuando iba todos los días a la oficina"/>
    <s v="Mayor que cuando iba todos los días a la oficina"/>
    <s v="Menor que cuando iba todos los días a la oficina"/>
    <s v="Mayor que cuando iba todos los días a la oficina"/>
    <s v="Mayor que cuando iba todos los días a la oficina"/>
    <s v="Mayor que cuando iba todos los días a la oficina"/>
    <s v="Igual que cuando iba todos los días a la oficina"/>
    <s v="Mayores que cuando iba todos los días a la oficina"/>
    <s v="Menor que cuando iba todos los días a la oficina"/>
    <s v="No hay diferencias culturales en mi equipo"/>
    <s v="Igual que cuando iba todos los días a la oficina"/>
    <s v="Mayores que cuando iba todos los días a la oficina"/>
    <s v="No tengo que utilizar diferentes idiomas en mi trabajo"/>
    <s v="Igual que cuando iba todos los días a la oficina"/>
    <s v="Igual que cuando iba todos los días a la oficina"/>
    <s v="Mayores que cuando iba todos los días a la oficina"/>
    <s v="Menor que cuando iba todos los días a la oficina"/>
    <s v="Mayor que cuando iba todos los días a la oficina"/>
    <s v="Más que cuando iba todos los días a la oficina"/>
    <s v="Iguales que cuando iba todos los días a la oficina"/>
    <s v="Peor que cuando iba todos los días a la oficina"/>
    <s v="Menor que cuando iba todos los días a la oficina"/>
    <s v="Mucho menor que cuando iba todos los días a la oficina"/>
    <s v="Menor que cuando iba todos los días a la oficina"/>
    <s v="Menor que cuando iba todos los días a la oficina"/>
    <s v="Menor que cuando iba todos los días a la oficina"/>
    <s v="Igual que cuando iba todos los días a la oficina"/>
    <s v="Menor que cuando iba todos los días a la oficina"/>
    <s v="Menor que cuando iba todos los días a la oficina"/>
    <s v="Mayor que cuando iba todos los días a la oficina"/>
    <s v="Igual que cuando iba todos los días a la oficina"/>
    <s v="Iguales que cuando iba todos los días a la oficina"/>
    <s v="Menor que cuando iba todos los días a la oficina"/>
    <s v="Mucho menor que cuando iba todos los días a la oficina"/>
    <s v="Menor que cuando iba todos los días a la oficina"/>
    <s v="Mayor que cuando iba todos los días a la oficina"/>
    <s v="Menor que cuando iba todos los días a la oficina"/>
    <s v="Mayor que cuando iba todos los días a la oficina"/>
    <s v="Igual que cuando iba todos los días a la oficina"/>
    <s v="Igual que cuando iba todos los días a la oficina"/>
    <s v="Menor que cuando iba todos los días a la oficina"/>
    <s v="Igual que cuando iba todos los días a la oficina"/>
    <s v="Mayor que cuando iba todos los días a la oficina"/>
    <s v="Igual que cuando iba todos los días a la oficina"/>
    <s v="Mayores que cuando iba todos los días a la oficina"/>
    <s v="Mucho menor que cuando iba todos los días a la oficina"/>
    <s v="Menor que cuando iba todos los días a la oficina"/>
    <m/>
    <s v="&lt;301 empleados"/>
    <n v="0"/>
  </r>
  <r>
    <s v="México"/>
    <s v="36+ años"/>
    <s v="Masculino"/>
    <s v="Licenciatura"/>
    <s v="&lt;5 años"/>
    <s v="Desarrollador de software C/C++"/>
    <s v="Actualmente trabajo por mi cuenta"/>
    <s v="&lt;50 empleados"/>
    <s v="Fábrica de Software"/>
    <s v="Local"/>
    <s v="Casi Nunca"/>
    <s v="Alto"/>
    <s v="4-5 días"/>
    <s v="Ninguno"/>
    <s v="Remota ( todos los días en casa)"/>
    <s v="Decidida por ti"/>
    <s v="No sé"/>
    <s v="Igual que cuando iba todos los días a la oficina"/>
    <s v="Menor que cuando iba todos los días a la oficina"/>
    <s v="Mayor que cuando iba todos los días a la oficina"/>
    <s v="Muy diferentes que cuando iba todos los días a la oficina, ahora necesito muchas menos horas para hacer lo mismo"/>
    <s v="Casi todas por videoconferencia"/>
    <s v="Mucho menor que cuando eran en la oficina"/>
    <s v="Mucho Mayor que cuando iba todos los días a la oficina"/>
    <s v="No tengo la información para contestar a la pregunta"/>
    <s v="No tengo la información para contestar a la pregunta"/>
    <s v="Mucho Mayor que cuando iba todos los días a la oficina"/>
    <x v="1"/>
    <x v="0"/>
    <x v="0"/>
    <s v="Mayor que cuando iba todos los días a la oficina"/>
    <x v="2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es que cuando iba todos los días a la oficina"/>
    <s v="Igual que cuando iba todos los días a la oficina"/>
    <s v="Igual que cuando iba todos los días a la oficina"/>
    <s v="Menor que cuando iba todos los días a la oficina"/>
    <s v="Mayor que cuando iba todos los días a la oficina"/>
    <s v="Menor que cuando iba todos los días a la oficina"/>
    <s v="Menor que cuando iba todos los días a la oficina"/>
    <s v="Mucho menor que cuando iba todos los días a la oficina"/>
    <s v="Mucho mayor que cuando iba todos los días a la oficina"/>
    <s v="Iguales que cuando iba todos los días a la oficina"/>
    <s v="Igual que cuando iba todos los días a la oficina"/>
    <s v="Iguales que cuando iba todos los días a la oficina"/>
    <s v="Igual que cuando iba todos los días a la oficina"/>
    <s v="Iguales que cuando iba todos los días a la oficina"/>
    <s v="Iguales que cuando iba todos los días a la oficina"/>
    <s v="Igual que cuando iba todos los días a la oficina"/>
    <s v="Igual que cuando iba todos los días a la oficina"/>
    <s v="Iguales que cuando iba todos los días a la oficina"/>
    <s v="Mucho mayor que cuando iba todos los días a la oficina"/>
    <s v="Igual que cuando iba todos los días a la oficina"/>
    <s v="Igual que cuando iba todos los días a la oficina"/>
    <s v="Iguales que cuando iba todos los días a la oficina"/>
    <s v="Igual que cuando iba todos los días a la oficina"/>
    <s v="Mucho Mayor que cuando iba todos los días a la oficina"/>
    <s v="Mucho Mayor que cuando iba todos los días a la oficina"/>
    <s v="Mucho mayor que cuando iba todos los días a la oficina"/>
    <s v="Mayor que cuando iba todos los días a la oficina"/>
    <s v="Mayor que cuando iba todos los días a la oficina"/>
    <s v="Mayor que cuando iba todos los días a la oficina"/>
    <s v="Mucho Mayor que cuando iba todos los días a la oficina"/>
    <s v="Mucho Mayor que cuando iba todos los días a la oficina"/>
    <s v="Igual que cuando iba todos los días a la oficina"/>
    <s v="Mucho menos que cuando iba todos los días a la oficina"/>
    <s v="Iguales que cuando iba todos los días a la oficina"/>
    <s v="Mayor que cuando iba todos los días a la oficina"/>
    <s v="Mucho Mayor que cuando iba todos los días a la oficina"/>
    <s v="Igual que cuando iba todos los días a la oficina"/>
    <s v="Mucho menor que cuando iba todos los días a la oficina"/>
    <s v="Mayor que cuando iba todos los días a la oficina"/>
    <s v="Igual que cuando iba todos los días a la oficina"/>
    <s v="Mucho Mejor que cuando iba todos los días a la oficina"/>
    <s v="Mayor que cuando iba todos los días a la oficina"/>
    <s v="Mayor que cuando iba todos los días a la oficina"/>
    <s v="Igual que cuando iba todos los días a la oficina"/>
    <s v="Igual que cuando iba todos los días a la oficina"/>
    <s v="Menor que cuando iba todos los días a la oficina"/>
    <s v="Menores que cuando iba todos los días a la oficina"/>
    <s v="Igual que cuando iba todos los días a la oficina"/>
    <s v="Mucho mayor que cuando iba todos los días a la oficina"/>
    <s v="marcosasg25@gmail.com"/>
    <s v="&lt;301 empleados"/>
    <n v="0"/>
  </r>
  <r>
    <s v="México"/>
    <s v="36+ años"/>
    <s v="Masculino"/>
    <s v="Maestría "/>
    <s v="&lt;5 años"/>
    <s v="Desarrollador Front End Trainee"/>
    <s v="WordPress Developer"/>
    <s v="&lt;50 empleados"/>
    <s v="Empresa que subcontrata (outsourcing) los servicios de otra del mismo país"/>
    <s v="Local"/>
    <s v="Nunca"/>
    <s v="Alto"/>
    <s v="4-5 días"/>
    <s v="Ninguno"/>
    <s v="Remota ( todos los días en casa)"/>
    <s v="Decidida por ti"/>
    <s v="Totalmente de acuerdo"/>
    <s v="Mayor que cuando iba todos los días a la oficina"/>
    <s v="Mayor que cuando iba todos los días a la oficina"/>
    <s v="Mucho Mayor que cuando iba todos los días a la oficina"/>
    <s v="Muy diferentes que cuando iba todos los días a la oficina, ahora necesito muchas menos horas para hacer lo mismo"/>
    <s v="Todas por videoconferencia"/>
    <s v="Menor que cuando eran en la oficina"/>
    <s v="Mayor que cuando iba todos los días a la oficina"/>
    <s v="Mucho Mayor que cuando iba todos los días a la oficina"/>
    <s v="Mucho Mayor que cuando iba todos los días a la oficina"/>
    <s v="Mayor que cuando iba todos los días a la oficina"/>
    <x v="0"/>
    <x v="1"/>
    <x v="1"/>
    <s v="Mayor que cuando iba todos los días a la oficina"/>
    <x v="4"/>
    <s v="Igual que cuando iba todos los días a la oficina"/>
    <s v="Mucho menos que cuando iba todos los días a la oficina"/>
    <s v="No trabajo con personas con un horario distinto al mío"/>
    <s v="Mucho menos que cuando iba todos los días a la oficina"/>
    <s v="Menos que cuando iba todos los días a la oficina"/>
    <s v="Menos que cuando iba todos los días a la oficina"/>
    <s v="Menos que cuando iba todos los días a la oficina"/>
    <s v="Menos que cuando iba todos los días a la oficina"/>
    <s v="Igual que cuando iba todos los días a la oficina"/>
    <s v="Mayores que cuando iba todos los días a la oficina"/>
    <s v="Igual que cuando iba todos los días a la oficina"/>
    <s v="Mayor que cuando iba todos los días a la oficina"/>
    <s v="Mucho menor que cuando iba todos los días a la oficina"/>
    <s v="Mayor que cuando iba todos los días a la oficina"/>
    <s v="Menor que cuando iba todos los días a la oficina"/>
    <s v="Menor que cuando iba todos los días a la oficina"/>
    <s v="Menor que cuando iba todos los días a la oficina"/>
    <s v="Mayor que cuando iba todos los días a la oficina"/>
    <s v="Menores que cuando iba todos los días a la oficina"/>
    <s v="Mayor que cuando iba todos los días a la oficina"/>
    <s v="Mucho menores que cuando iba todos los días a la oficina"/>
    <s v="Igual que cuando iba todos los días a la oficina"/>
    <s v="Menores que cuando iba todos los días a la oficina"/>
    <s v="Menores que cuando iba todos los días a la oficina"/>
    <s v="No trabajo con personas con distintos horarios"/>
    <s v="Mayor que cuando iba todos los días a la oficina"/>
    <s v="Menores que cuando iba todos los días a la oficina"/>
    <s v="Mayor que cuando iba todos los días a la oficina"/>
    <s v="Menor que cuando iba todos los días a la oficina"/>
    <s v="Menos que cuando iba todos los días a la oficina"/>
    <s v="Menores que cuando iba todos los días a la oficina"/>
    <s v="Mejor que cuando iba todos los días a la oficina"/>
    <s v="Mayor que cuando iba todos los días a la oficina"/>
    <s v="Mayor que cuando iba todos los días a la oficina"/>
    <s v="Mucho mayor que cuando iba todos los días a la oficina"/>
    <s v="Mucho Mayor que cuando iba todos los días a la oficina"/>
    <s v="Mucho Mayor que cuando iba todos los días a la oficina"/>
    <s v="Mayor que cuando iba todos los días a la oficina"/>
    <s v="Mucho Mayor que cuando iba todos los días a la oficina"/>
    <s v="Mucho Mayor que cuando iba todos los días a la oficina"/>
    <s v="Menor que cuando iba todos los días a la oficina"/>
    <s v="Mas que cuando iba todos los días a la oficina"/>
    <s v="Mayores que cuando iba todos los días a la oficina"/>
    <s v="Mayor que cuando iba todos los días a la oficina"/>
    <s v="Mucho Mayor que cuando iba todos los días a la oficina"/>
    <s v="Mucho Mayor que cuando iba todos los días a la oficina"/>
    <s v="Menor que cuando iba todos los días a la oficina"/>
    <s v="Mayor que cuando iba todos los días a la oficina"/>
    <s v="Menor que cuando iba todos los días a la oficina"/>
    <s v="Mejor que cuando iba todos los días a la oficina"/>
    <s v="Igual que cuando iba todos los días a la oficina"/>
    <s v="Mayor que cuando iba todos los días a la oficina"/>
    <s v="Mayor que cuando iba todos los días a la oficina"/>
    <s v="Mayor que cuando iba todos los días a la oficina"/>
    <s v="Menor que cuando iba todos los días a la oficina"/>
    <s v="Menores que cuando iba todos los días a la oficina"/>
    <s v="Mayor que cuando iba todos los días a la oficina"/>
    <s v="Mucho mayor que cuando iba todos los días a la oficina"/>
    <s v="a2083330104@gmail.com"/>
    <s v="&lt;301 empleados"/>
    <n v="0"/>
  </r>
  <r>
    <s v="México"/>
    <s v="36+ años"/>
    <s v="Masculino"/>
    <s v="Ingeniería"/>
    <s v="&lt;5 años"/>
    <s v="Desarrollador fullstack"/>
    <s v="Desarrollador fullstack"/>
    <s v="&lt;50 empleados"/>
    <s v="Empresa que desarrolla software a medida partiendo desde cero"/>
    <s v="Local"/>
    <s v="Nunca"/>
    <s v="Alto"/>
    <s v="4-5 días"/>
    <s v="1-2 días"/>
    <s v="Híbrida casa (más días en casa que en la oficina)"/>
    <s v="Consensuada por las dos partes"/>
    <s v="De acuerdo"/>
    <s v="Igual que cuando iba todos los días a la oficina"/>
    <s v="Igual que cuando iba todos los días a la oficina"/>
    <s v="Igual que cuando iba todos los días a la oficina"/>
    <s v="Iguales que cuando iba todos los días a la oficina"/>
    <s v="Casi todas por videoconferencia"/>
    <s v="Menor que cuando eran en la oficina"/>
    <s v="Menor cuando iba todos los días a la oficina"/>
    <s v="Igual que cuando iba todos los días a la oficina"/>
    <s v="Igual que cuando iba todos los días a la oficina"/>
    <s v="Menor que cuando iba todos los días a la oficina"/>
    <x v="2"/>
    <x v="2"/>
    <x v="1"/>
    <s v="Igual que cuando iba todos los días a la oficina"/>
    <x v="3"/>
    <s v="No tengo la información para contestar a la pregunta"/>
    <s v="No trabajo con personas de distintas culturas"/>
    <s v="No trabajo con personas con un horario distinto al mío"/>
    <s v="No trabajo  con personas que se encuentran geográficamente distribuidas"/>
    <s v="Igual que cuando iba todos los días a la oficina"/>
    <s v="Igual que cuando iba todos los días a la oficina"/>
    <s v="Igual que cuando iba todos los días a la oficina"/>
    <s v="Igual que cuando iba todos los días a la oficina"/>
    <s v="Menos que cuando iba todos los días a la oficina"/>
    <s v="Mayores que cuando iba todos los días a la oficina"/>
    <s v="Mayor que cuando iba todos los días a la oficina"/>
    <s v="Igual que cuando iba todos los días a la oficina"/>
    <s v="Menor que cuando iba todos los días a la oficina"/>
    <s v="Mayor que cuando iba todos los días a la oficina"/>
    <s v="Igual que cuando iba todos los días a la oficina"/>
    <s v="Igual que cuando iba todos los días a la oficina"/>
    <s v="Mucho menor que cuando iba todos los días a la oficina"/>
    <s v="Mayor que cuando iba todos los días a la oficina"/>
    <s v="Iguales que cuando iba todos los días a la oficina"/>
    <s v="Mayor que cuando iba todos los días a la oficina"/>
    <s v="No hay diferencias culturales en mi equipo"/>
    <s v="Igual que cuando iba todos los días a la oficina"/>
    <s v="Menores que cuando iba todos los días a la oficina"/>
    <s v="No tengo que utilizar diferentes idiomas en mi trabajo"/>
    <s v="No trabajo con personas con distintos horarios"/>
    <s v="Igual que cuando iba todos los días a la oficina"/>
    <s v="Mayores que cuando iba todos los días a la oficina"/>
    <s v="Menor que cuando iba todos los días a la oficina"/>
    <s v="Mucho menor que cuando iba todos los días a la oficina"/>
    <s v="Mucho menos que cuando iba todos los días a la oficina"/>
    <s v="Mucho menores que cuando iba todos los días a la oficina"/>
    <s v="Mejor que cuando iba todos los días a la oficina"/>
    <s v="Igual que cuando iba todos los días a la oficina"/>
    <s v="Menor que cuando iba todos los días a la oficina"/>
    <s v="Mucho mayor que cuando iba todos los días a la oficina"/>
    <s v="Mucho Mayor que cuando iba todos los días a la oficina"/>
    <s v="Mucho Mayor que cuando iba todos los días a la oficina"/>
    <s v="Igual que cuando iba todos los días a la oficina"/>
    <s v="Mayor que cuando iba todos los días a la oficina"/>
    <s v="Igual que cuando iba todos los días a la oficina"/>
    <s v="Igual que cuando iba todos los días a la oficina"/>
    <s v="Igual que cuando iba todos los días a la oficina"/>
    <s v="Iguales que cuando iba todos los días a la oficina"/>
    <s v="Igual que cuando iba todos los días a la oficina"/>
    <s v="Mayor que cuando iba todos los días a la oficina"/>
    <s v="Mayor que cuando iba todos los días a la oficina"/>
    <s v="Menor que cuando iba todos los días a la oficina"/>
    <s v="Igual que cuando iba todos los días a la oficina"/>
    <s v="Mayor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Mayor que cuando iba todos los días a la oficina"/>
    <s v="Igual que cuando iba todos los días a la oficina"/>
    <s v="Menores que cuando iba todos los días a la oficina"/>
    <s v="Igual que cuando iba todos los días a la oficina"/>
    <s v="Mayor que cuando iba todos los días a la oficina"/>
    <m/>
    <s v="&lt;301 empleados"/>
    <n v="0"/>
  </r>
  <r>
    <s v="México"/>
    <s v="36+ años"/>
    <s v="Masculino"/>
    <s v="Maestría"/>
    <s v="11-20 años"/>
    <s v="Desarrollador Lead"/>
    <s v="Desarrollador Lead"/>
    <s v="&lt;50 empleados"/>
    <s v="Empresa que desarrolla software a medida partiendo desde cero"/>
    <s v="Local"/>
    <s v="A veces"/>
    <s v="Alto"/>
    <s v="4-5 días"/>
    <s v="Ninguno"/>
    <s v="Remota ( todos los días en casa)"/>
    <s v="Consensuada por las dos partes"/>
    <s v="De acuerdo"/>
    <s v="Mucho menor que cuando iba todos los días a la oficina"/>
    <s v="Menor que cuando iba todos los días a la oficina"/>
    <s v="Menor que cuando iba todos los días a la oficina"/>
    <s v="Iguales que cuando iba todos los días a la oficina"/>
    <s v="Todas por videoconferencia"/>
    <s v="Menor que cuando eran en la oficina"/>
    <s v="Mayor que cuando iba todos los días a la oficina"/>
    <s v="Mayor que cuando iba todos los días a la oficina"/>
    <s v="Igual que cuando iba todos los días a la oficina"/>
    <s v="Mayor que cuando iba todos los días a la oficina"/>
    <x v="0"/>
    <x v="0"/>
    <x v="0"/>
    <s v="Menor que cuando iba todos los días a la oficina"/>
    <x v="4"/>
    <s v="Más que cuando iba todos los días a la oficina"/>
    <s v="No trabajo con personas de distintas culturas"/>
    <s v="No trabajo con personas con un horario distinto al mío"/>
    <s v="Mucho menos que cuando iba todos los días a la oficina"/>
    <s v="Mucho más que cuando iba todos los días a la oficina"/>
    <s v="Mas que cuando iba todos los días a la oficina"/>
    <s v="Igual que cuando iba todos los días a la oficina"/>
    <s v="Igual que cuando iba todos los días a la oficina"/>
    <s v="Mucho mas que cuando iba todos los días a la oficina"/>
    <s v="Mayores que cuando iba todos los días a la oficina"/>
    <s v="Menor que cuando iba todos los días a la oficina"/>
    <s v="Mucho Mayor que cuando iba todos los días a la oficina"/>
    <s v="Menor que cuando iba todos los días a la oficina"/>
    <s v="Mucho Mayor que cuando iba todos los días a la oficina"/>
    <s v="Menor que cuando iba todos los días a la oficina"/>
    <s v="Menor que cuando iba todos los días a la oficina"/>
    <s v="Mayor que cuando iba todos los días a la oficina"/>
    <s v="Mayor que cuando iba todos los días a la oficina"/>
    <s v="Menores que cuando iba todos los días a la oficina"/>
    <s v="Mucho menor que cuando iba todos los días a la oficina"/>
    <s v="No hay diferencias culturales en mi equipo"/>
    <s v="Mucho mayor que cuando iba todos los días a la oficina"/>
    <s v="Iguales que cuando iba todos los días a la oficina"/>
    <s v="No tengo que utilizar diferentes idiomas en mi trabajo"/>
    <s v="No trabajo con personas con distintos horarios"/>
    <s v="Mayor que cuando iba todos los días a la oficina"/>
    <s v="Mucho menores que cuando iba todos los días a la oficina"/>
    <s v="Mucho mayor que cuando iba todos los días a la oficina"/>
    <s v="Mucho menor que cuando iba todos los días a la oficina"/>
    <s v="Más que cuando iba todos los días a la oficina"/>
    <s v="Mayores que cuando iba todos los días a la oficina"/>
    <s v="Mejor que cuando iba todos los días a la oficina"/>
    <s v="Mayor que cuando iba todos los días a la oficina"/>
    <s v="Mucho Mayor que cuando iba todos los días a la oficina"/>
    <s v="Mucho mayor que cuando iba todos los días a la oficina"/>
    <s v="Menor que cuando iba todos los días a la oficina"/>
    <s v="Mucho Mayor que cuando iba todos los días a la oficina"/>
    <s v="Mayor que cuando iba todos los días a la oficina"/>
    <s v="Mucho Mayor que cuando iba todos los días a la oficina"/>
    <s v="Mucho Mayor que cuando iba todos los días a la oficina"/>
    <s v="Menor que cuando iba todos los días a la oficina"/>
    <s v="Mas que cuando iba todos los días a la oficina"/>
    <s v="Mucho menores que cuando iba todos los días a la oficina"/>
    <s v="Mayor que cuando iba todos los días a la oficina"/>
    <s v="Mayor que cuando iba todos los días a la oficina"/>
    <s v="Igual que cuando iba todos los días a la oficina"/>
    <s v="Mucho menor que cuando iba todos los días a la oficina"/>
    <s v="Mucho menor que cuando iba todos los días a la oficina"/>
    <s v="Igual que cuando iba todos los días a la oficina"/>
    <s v="Mucho Mejor que cuando iba todos los días a la oficina"/>
    <s v="Menor que cuando iba todos los días a la oficina"/>
    <s v="Mucho menor que cuando iba todos los días a la oficina"/>
    <s v="Menor que cuando iba todos los días a la oficina"/>
    <s v="Mucho Mayor que cuando iba todos los días a la oficina"/>
    <s v="Mucho menor que cuando iba todos los días a la oficina"/>
    <s v="Mayores que cuando iba todos los días a la oficina"/>
    <s v="Igual que cuando iba todos los días a la oficina"/>
    <s v="Mayor que cuando iba todos los días a la oficina"/>
    <m/>
    <s v="&lt;301 empleados"/>
    <n v="0"/>
  </r>
  <r>
    <s v="México"/>
    <s v="36+ años"/>
    <s v="Masculino"/>
    <s v="licenciatura"/>
    <s v="11-20 años"/>
    <s v="desarrollador mobil"/>
    <s v="desarrollador mobil"/>
    <s v="51-150 empleados"/>
    <s v="Empresa que desarrolla software a medida partiendo desde cero"/>
    <s v="Multinacional"/>
    <s v="A veces"/>
    <s v="Alto"/>
    <s v="4-5 días"/>
    <s v="Ninguno"/>
    <s v="Remota ( todos los días en casa)"/>
    <s v="Impuesta por la empresa"/>
    <s v="Totalmente en desacuerdo"/>
    <s v="Mayor que cuando iba todos los días a la oficina"/>
    <s v="Igual que cuando iba todos los días a la oficina"/>
    <s v="Mucho Mayor que cuando iba todos los días a la oficina"/>
    <s v="Muy diferentes que cuando iba todos los días a la oficina, ahora necesito muchas menos horas para hacer lo mismo"/>
    <s v="Todas por videoconferencia"/>
    <s v="Mucho menor que cuando eran en la oficina"/>
    <s v="Mucho Mayor que cuando iba todos los días a la oficina"/>
    <s v="Mayor que cuando iba todos los días a la oficina"/>
    <s v="Mayor que cuando iba todos los días a la oficina"/>
    <s v="Mucho Mayor que cuando iba todos los días a la oficina"/>
    <x v="0"/>
    <x v="0"/>
    <x v="1"/>
    <s v="Mayor que cuando iba todos los días a la oficina"/>
    <x v="1"/>
    <s v="Igual que cuando iba todos los días a la oficina"/>
    <s v="Igual que cuando iba todos los días a la oficina"/>
    <s v="Igual que cuando iba todos los días a la oficina"/>
    <s v="Igual que cuando iba todos los días a la oficina"/>
    <s v="Mucho menos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Mayores que cuando iba todos los días a la oficina"/>
    <s v="Mayor que cuando iba todos los días a la oficina"/>
    <s v="Mayor que cuando iba todos los días a la oficina"/>
    <s v="Mucho menor que cuando iba todos los días a la oficina"/>
    <s v="Mucho Mayor que cuando iba todos los días a la oficina"/>
    <s v="Mucho menor que cuando iba todos los días a la oficina"/>
    <s v="Mucho menor que cuando iba todos los días a la oficina"/>
    <s v="Igual que cuando iba todos los días a la oficina"/>
    <s v="Mucho mayor que cuando iba todos los días a la oficina"/>
    <s v="Iguales que cuando iba todos los días a la oficina"/>
    <s v="Mucho mayor que cuando iba todos los días a la oficina"/>
    <s v="Menores que cuando iba todos los días a la oficina"/>
    <s v="Igual que cuando iba todos los días a la oficina"/>
    <s v="Iguales que cuando iba todos los días a la oficina"/>
    <s v="Menores que cuando iba todos los días a la oficina"/>
    <s v="Menos que cuando iba todos los días a la oficina"/>
    <s v="Igual que cuando iba todos los días a la oficina"/>
    <s v="Mucho menores que cuando iba todos los días a la oficina"/>
    <s v="Mucho mayor que cuando iba todos los días a la oficina"/>
    <s v="Igual que cuando iba todos los días a la oficina"/>
    <s v="Igual que cuando iba todos los días a la oficina"/>
    <s v="Iguales que cuando iba todos los días a la oficina"/>
    <s v="Igual que cuando iba todos los días a la oficina"/>
    <s v="Mucho Mayor que cuando iba todos los días a la oficina"/>
    <s v="Mucho Mayor que cuando iba todos los días a la oficina"/>
    <s v="Mucho mayor que cuando iba todos los días a la oficina"/>
    <s v="Mucho Mayor que cuando iba todos los días a la oficina"/>
    <s v="Mucho Mayor que cuando iba todos los días a la oficina"/>
    <s v="Mucho Mayor que cuando iba todos los días a la oficina"/>
    <s v="Mucho Mayor que cuando iba todos los días a la oficina"/>
    <s v="Mayor que cuando iba todos los días a la oficina"/>
    <s v="Igual que cuando iba todos los días a la oficina"/>
    <s v="Igual que cuando iba todos los días a la oficina"/>
    <s v="Iguales que cuando iba todos los días a la oficina"/>
    <s v="Mayor que cuando iba todos los días a la oficina"/>
    <s v="Mucho Mayor que cuando iba todos los días a la oficina"/>
    <s v="Igual que cuando iba todos los días a la oficina"/>
    <s v="Mucho menor que cuando iba todos los días a la oficina"/>
    <s v="Mayor que cuando iba todos los días a la oficina"/>
    <s v="Igual que cuando iba todos los días a la oficina"/>
    <s v="Mucho Mejor que cuando iba todos los días a la oficina"/>
    <s v="Igual que cuando iba todos los días a la oficina"/>
    <s v="Menor que cuando iba todos los días a la oficina"/>
    <s v="Igual que cuando iba todos los días a la oficina"/>
    <s v="Mayor que cuando iba todos los días a la oficina"/>
    <s v="Mucho menor que cuando iba todos los días a la oficina"/>
    <s v="Iguales que cuando iba todos los días a la oficina"/>
    <s v="Igual que cuando iba todos los días a la oficina"/>
    <s v="Mucho mayor que cuando iba todos los días a la oficina"/>
    <m/>
    <s v="&lt;301 empleados"/>
    <n v="0"/>
  </r>
  <r>
    <s v="México"/>
    <s v="36+ años"/>
    <s v="Masculino"/>
    <s v="Lic Trunca"/>
    <s v="5-10 años"/>
    <s v="Desarrollador mobile"/>
    <s v="Desarrollador mobile"/>
    <s v="&lt;50 empleados"/>
    <s v="Empresa que subcontrata (outsourcing) los servicios de otra empresa situada en otro país"/>
    <s v="Local"/>
    <s v="Muy Frecuentemente"/>
    <s v="Alto"/>
    <s v="4-5 días"/>
    <s v="Ninguno"/>
    <s v="Remota ( todos los días en casa)"/>
    <s v="Consensuada por las dos partes"/>
    <s v="De acuerdo"/>
    <s v="Mayor que cuando iba todos los días a la oficina"/>
    <s v="Mucho Mayor que cuando iba todos los días a la oficina"/>
    <s v="Mucho Mayor que cuando iba todos los días a la oficina"/>
    <s v="Diferentes que cuando iba todos los días a la oficina, ahora necesito menos horas para hacer lo mismo"/>
    <s v="Todas por videoconferencia"/>
    <s v="Mayor que cuando eran en la oficina"/>
    <s v="Mucho Mayor que cuando iba todos los días a la oficina"/>
    <s v="Mucho Mayor que cuando iba todos los días a la oficina"/>
    <s v="Mayor que cuando iba todos los días a la oficina"/>
    <s v="Mayor que cuando iba todos los días a la oficina"/>
    <x v="0"/>
    <x v="0"/>
    <x v="1"/>
    <s v="Igual que cuando iba todos los días a la oficina"/>
    <x v="1"/>
    <s v="Más que cuando iba todos los días a la oficina"/>
    <s v="Igual que cuando iba todos los días a la oficina"/>
    <s v="Más que cuando iba todos los días a la oficina"/>
    <s v="Igual que cuando iba todos los días a la oficina"/>
    <s v="Igual que cuando iba todos los días a la oficina"/>
    <s v="Igual que cuando iba todos los días a la oficina"/>
    <s v="Mucho menos que cuando iba todos los días a la oficina"/>
    <s v="Mucho menos que cuando iba todos los días a la oficina"/>
    <s v="Menos que cuando iba todos los días a la oficina"/>
    <s v="Mayores que cuando iba todos los días a la oficina"/>
    <s v="Mayor que cuando iba todos los días a la oficina"/>
    <s v="Igual que cuando iba todos los días a la oficina"/>
    <s v="Mayor que cuando iba todos los días a la oficina"/>
    <s v="Mayor que cuando iba todos los días a la oficina"/>
    <s v="Igual que cuando iba todos los días a la oficina"/>
    <s v="Igual que cuando iba todos los días a la oficina"/>
    <s v="Mayor que cuando iba todos los días a la oficina"/>
    <s v="Mucho mayor que cuando iba todos los días a la oficina"/>
    <s v="Mayores que cuando iba todos los días a la oficina"/>
    <s v="Igual que cuando iba todos los días a la oficina"/>
    <s v="Iguales que cuando iba todos los días a la oficina"/>
    <s v="Mayor que cuando iba todos los días a la oficina"/>
    <s v="Iguales que cuando iba todos los días a la oficina"/>
    <s v="Mayores que cuando iba todos los días a la oficina"/>
    <s v="Igual que cuando iba todos los días a la oficina"/>
    <s v="Igual que cuando iba todos los días a la oficina"/>
    <s v="Mayores que cuando iba todos los días a la oficina"/>
    <s v="Menor que cuando iba todos los días a la oficina"/>
    <s v="Igual que cuando iba todos los días a la oficina"/>
    <s v="Más que cuando iba todos los días a la oficina"/>
    <s v="Iguales que cuando iba todos los días a la oficina"/>
    <s v="Igual que cuando iba todos los días a la oficina"/>
    <s v="Mayor que cuando iba todos los días a la oficina"/>
    <s v="Mayor que cuando iba todos los días a la oficina"/>
    <s v="Mucho mayor que cuando iba todos los días a la oficina"/>
    <s v="Mucho Mayor que cuando iba todos los días a la oficina"/>
    <s v="Mucho Mayor que cuando iba todos los días a la oficina"/>
    <s v="Mayor que cuando iba todos los días a la oficina"/>
    <s v="Mucho Mayor que cuando iba todos los días a la oficina"/>
    <s v="Igual que cuando iba todos los días a la oficina"/>
    <s v="Mayor que cuando iba todos los días a la oficina"/>
    <s v="Igual que cuando iba todos los días a la oficina"/>
    <s v="Iguales que cuando iba todos los días a la oficina"/>
    <s v="Mayor que cuando iba todos los días a la oficina"/>
    <s v="Mayor que cuando iba todos los días a la oficina"/>
    <s v="Mayor que cuando iba todos los días a la oficina"/>
    <s v="Mucho menor que cuando iba todos los días a la oficina"/>
    <s v="Menor que cuando iba todos los días a la oficina"/>
    <s v="Mucho Mayor que cuando iba todos los días a la oficina"/>
    <s v="Igual que cuando iba todos los días a la oficina"/>
    <s v="Mayor que cuando iba todos los días a la oficina"/>
    <s v="Menor que cuando iba todos los días a la oficina"/>
    <s v="Mayor que cuando iba todos los días a la oficina"/>
    <s v="Mucho Mayor que cuando iba todos los días a la oficina"/>
    <s v="Mucho menor que cuando iba todos los días a la oficina"/>
    <s v="Iguales que cuando iba todos los días a la oficina"/>
    <s v="Mucho menor que cuando iba todos los días a la oficina"/>
    <s v="Igual que cuando iba todos los días a la oficina"/>
    <m/>
    <s v="&lt;301 empleados"/>
    <n v="0"/>
  </r>
  <r>
    <s v="México"/>
    <s v="36+ años"/>
    <s v="Masculino"/>
    <s v="Licenciatura"/>
    <s v="21-30 años"/>
    <s v="Desarrollador Web"/>
    <s v="Desarrollador Web"/>
    <s v="&gt;500 empleados."/>
    <s v="Empresa que desarrolla software a medida partiendo desde cero"/>
    <s v="Multinacional"/>
    <s v="Casi Nunca"/>
    <s v="Alto"/>
    <s v="4-5 días"/>
    <s v="Ninguno"/>
    <s v="Remota ( todos los días en casa)"/>
    <s v="Consensuada por las dos partes"/>
    <s v="De acuerdo"/>
    <s v="Menor que cuando iba todos los días a la oficina"/>
    <s v="Igual que cuando iba todos los días a la oficina"/>
    <s v="Menor que cuando iba todos los días a la oficina"/>
    <s v="Iguales que cuando iba todos los días a la oficina"/>
    <s v="Todas por videoconferencia"/>
    <s v="Menor que cuando eran en la oficina"/>
    <s v="Igual que cuando iba todos los días a la oficina"/>
    <s v="Igual que cuando iba todos los días a la oficina"/>
    <s v="Igual que cuando iba todos los días a la oficina"/>
    <s v="Igual que cuando iba todos los días a la oficina"/>
    <x v="1"/>
    <x v="2"/>
    <x v="1"/>
    <s v="Menor que cuando iba todos los días a la oficina"/>
    <x v="2"/>
    <s v="Igual que cuando iba todos los días a la oficina"/>
    <s v="Más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Mas que cuando iba todos los días a la oficina"/>
    <s v="Mas que cuando iba todos los días a la oficina"/>
    <s v="Mas que cuando iba todos los días a la oficina"/>
    <s v="Iguales que cuando iba todos los días a la oficina"/>
    <s v="Igual que cuando iba todos los días a la oficina"/>
    <s v="Igual que cuando iba todos los días a la oficina"/>
    <s v="Mucho menor que cuando iba todos los días a la oficina"/>
    <s v="Menor que cuando iba todos los días a la oficina"/>
    <s v="Igual que cuando iba todos los días a la oficina"/>
    <s v="Mayor que cuando iba todos los días a la oficina"/>
    <s v="Igual que cuando iba todos los días a la oficina"/>
    <s v="Mayor que cuando iba todos los días a la oficina"/>
    <s v="Mayores que cuando iba todos los días a la oficina"/>
    <s v="Mucho mayor que cuando iba todos los días a la oficina"/>
    <s v="Iguales que cuando iba todos los días a la oficina"/>
    <s v="Igual que cuando iba todos los días a la oficina"/>
    <s v="Mayores que cuando iba todos los días a la oficina"/>
    <s v="Iguales que cuando iba todos los días a la oficina"/>
    <s v="Igual que cuando iba todos los días a la oficina"/>
    <s v="Igual que cuando iba todos los días a la oficina"/>
    <s v="Mayores que cuando iba todos los días a la oficina"/>
    <s v="Igual que cuando iba todos los días a la oficina"/>
    <s v="Mucho mayor que cuando iba todos los días a la oficina"/>
    <s v="Igual que cuando iba todos los días a la oficina"/>
    <s v="Iguales que cuando iba todos los días a la oficina"/>
    <s v="Igual que cuando iba todos los días a la oficina"/>
    <s v="Igual que cuando iba todos los días a la oficina"/>
    <s v="Mayor que cuando iba todos los días a la oficina"/>
    <s v="Mucho mayor que cuando iba todos los días a la oficina"/>
    <s v="Menor que cuando iba todos los días a la oficina"/>
    <s v="Menor que cuando iba todos los días a la oficina"/>
    <s v="Igual que cuando iba todos los días a la oficina"/>
    <s v="Mucho Mayor que cuando iba todos los días a la oficina"/>
    <s v="Igual que cuando iba todos los días a la oficina"/>
    <s v="Igual que cuando iba todos los días a la oficina"/>
    <s v="Menos que cuando iba todos los días a la oficina"/>
    <s v="Iguales que cuando iba todos los días a la oficina"/>
    <s v="Igual que cuando iba todos los días a la oficina"/>
    <s v="Mucho Mayor que cuando iba todos los días a la oficina"/>
    <s v="Menor que cuando iba todos los días a la oficina"/>
    <s v="Menor que cuando iba todos los días a la oficina"/>
    <s v="Igual que cuando iba todos los días a la oficina"/>
    <s v="Mayor que cuando iba todos los días a la oficina"/>
    <s v="Igual que cuando iba todos los días a la oficina"/>
    <s v="Menor que cuando iba todos los días a la oficina"/>
    <s v="Mucho menor que cuando iba todos los días a la oficina"/>
    <s v="Igual que cuando iba todos los días a la oficina"/>
    <s v="Mayor que cuando iba todos los días a la oficina"/>
    <s v="Igual que cuando iba todos los días a la oficina"/>
    <s v="Iguales que cuando iba todos los días a la oficina"/>
    <s v="Menor que cuando iba todos los días a la oficina"/>
    <s v="Mayor que cuando iba todos los días a la oficina"/>
    <s v="oscarmorita@gmail.com"/>
    <s v="301+ empleados"/>
    <n v="0"/>
  </r>
  <r>
    <s v="México"/>
    <s v="36+ años"/>
    <s v="Femenino"/>
    <s v="Posgrado "/>
    <s v="5-10 años"/>
    <s v="Desarrolladora de software "/>
    <s v="Ingeniera de software"/>
    <s v="301-500 empleados"/>
    <s v="Fábrica de Software"/>
    <s v="Multinacional"/>
    <s v="Muy Frecuentemente"/>
    <s v="Alto"/>
    <s v="4-5 días"/>
    <s v="1-2 días"/>
    <s v="Híbrida casa (más días en casa que en la oficina)"/>
    <s v="Consensuada por las dos partes"/>
    <s v="De acuerdo"/>
    <s v="Mayor que cuando iba todos los días a la oficina"/>
    <s v="Menor que cuando iba todos los días a la oficina"/>
    <s v="Mayor que cuando iba todos los días a la oficina"/>
    <s v="Diferentes que cuando iba todos los días a la oficina, ahora necesito menos horas para hacer lo mismo"/>
    <s v="Todas por videoconferencia"/>
    <s v="Menor que cuando eran en la oficina"/>
    <s v="Mucho Mayor que cuando iba todos los días a la oficina"/>
    <s v="Igual que cuando iba todos los días a la oficina"/>
    <s v="Igual que cuando iba todos los días a la oficina"/>
    <s v="Mucho Mayor que cuando iba todos los días a la oficina"/>
    <x v="1"/>
    <x v="1"/>
    <x v="1"/>
    <s v="Igual que cuando iba todos los días a la oficina"/>
    <x v="3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Mas que cuando iba todos los días a la oficina"/>
    <s v="Igual que cuando iba todos los días a la oficina"/>
    <s v="Igual que cuando iba todos los días a la oficina"/>
    <s v="Iguales que cuando iba todos los días a la oficina"/>
    <s v="Igual que cuando iba todos los días a la oficina"/>
    <s v="Igual que cuando iba todos los días a la oficina"/>
    <s v="Menor que cuando iba todos los días a la oficina"/>
    <s v="Igual que cuando iba todos los días a la oficina"/>
    <s v="Igual que cuando iba todos los días a la oficina"/>
    <s v="Menor que cuando iba todos los días a la oficina"/>
    <s v="Igual que cuando iba todos los días a la oficina"/>
    <s v="Igual que cuando iba todos los días a la oficina"/>
    <s v="Mayores que cuando iba todos los días a la oficina"/>
    <s v="Igual que cuando iba todos los días a la oficina"/>
    <s v="Iguales que cuando iba todos los días a la oficina"/>
    <s v="Mayor que cuando iba todos los días a la oficina"/>
    <s v="Mayores que cuando iba todos los días a la oficina"/>
    <s v="Iguales que cuando iba todos los días a la oficina"/>
    <s v="Igual que cuando iba todos los días a la oficina"/>
    <s v="Igual que cuando iba todos los días a la oficina"/>
    <s v="Iguales que cuando iba todos los días a la oficina"/>
    <s v="Mayor que cuando iba todos los días a la oficina"/>
    <s v="Mayor que cuando iba todos los días a la oficina"/>
    <s v="Igual que cuando iba todos los días a la oficina"/>
    <s v="Iguales que cuando iba todos los días a la oficina"/>
    <s v="Igual que cuando iba todos los días a la oficina"/>
    <s v="Mayor que cuando iba todos los días a la oficina"/>
    <s v="Mayor que cuando iba todos los días a la oficina"/>
    <s v="Mucho mayor que cuando iba todos los días a la oficina"/>
    <s v="Igual que cuando iba todos los días a la oficina"/>
    <s v="Igual que cuando iba todos los días a la oficina"/>
    <s v="Igual que cuando iba todos los días a la oficina"/>
    <s v="Mayor que cuando iba todos los días a la oficina"/>
    <s v="Mayor que cuando iba todos los días a la oficina"/>
    <s v="Igual que cuando iba todos los días a la oficina"/>
    <s v="Igual que cuando iba todos los días a la oficina"/>
    <s v="Menores que cuando iba todos los días a la oficina"/>
    <s v="Igual que cuando iba todos los días a la oficina"/>
    <s v="Mayor que cuando iba todos los días a la oficina"/>
    <s v="Menor que cuando iba todos los días a la oficina"/>
    <s v="Menor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Menor que cuando iba todos los días a la oficina"/>
    <s v="Igual que cuando iba todos los días a la oficina"/>
    <s v="Igual que cuando iba todos los días a la oficina"/>
    <s v="Menor que cuando iba todos los días a la oficina"/>
    <s v="Iguales que cuando iba todos los días a la oficina"/>
    <s v="Igual que cuando iba todos los días a la oficina"/>
    <s v="Mayor que cuando iba todos los días a la oficina"/>
    <s v="itzel.vigilch@gmail.com"/>
    <s v="301+ empleados"/>
    <n v="0"/>
  </r>
  <r>
    <s v="México"/>
    <s v="36+ años"/>
    <s v="Masculino"/>
    <s v="Maestris"/>
    <s v="5-10 años"/>
    <s v="Developer"/>
    <s v="Ing software"/>
    <s v="&gt;500 empleados."/>
    <s v="Empresa que desarrolla software a medida partiendo desde cero"/>
    <s v="Multinacional"/>
    <s v="Muy Frecuentemente"/>
    <s v="Alto"/>
    <s v="4-5 días"/>
    <s v="Ninguno"/>
    <s v="Híbrida casa (más días en casa que en la oficina)"/>
    <s v="Consensuada por las dos partes"/>
    <s v="De acuerdo"/>
    <s v="Igual que cuando iba todos los días a la oficina"/>
    <s v="Menor que cuando iba todos los días a la oficina"/>
    <s v="Igual que cuando iba todos los días a la oficina"/>
    <s v="Diferentes que cuando iba todos los días a la oficina, ahora necesito menos horas para hacer lo mismo"/>
    <s v="Todas por videoconferencia"/>
    <s v="Mayor que cuando eran en la oficina"/>
    <s v="Igual que cuando iba todos los días a la oficina"/>
    <s v="Igual que cuando iba todos los días a la oficina"/>
    <s v="Igual que cuando iba todos los días a la oficina"/>
    <s v="Igual que cuando iba todos los días a la oficina"/>
    <x v="0"/>
    <x v="1"/>
    <x v="2"/>
    <s v="Igual que cuando iba todos los días a la oficina"/>
    <x v="5"/>
    <s v="Menos que cuando iba todos los días a la oficina"/>
    <s v="Mucho menos que cuando iba todos los días a la oficina"/>
    <s v="Menos que cuando iba todos los días a la oficina"/>
    <s v="Menos que cuando iba todos los días a la oficina"/>
    <s v="Menos que cuando iba todos los días a la oficina"/>
    <s v="Mucho menos que cuando iba todos los días a la oficina"/>
    <s v="Igual que cuando iba todos los días a la oficina"/>
    <s v="Igual que cuando iba todos los días a la oficina"/>
    <s v="Mucho menos que cuando iba todos los días a la oficina"/>
    <s v="Menores que cuando iba todos los días a la oficina"/>
    <s v="Menor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Menor que cuando iba todos los días a la oficina"/>
    <s v="Mayor que cuando iba todos los días a la oficina"/>
    <s v="Mucho menores que cuando iba todos los días a la oficina"/>
    <s v="Igual que cuando iba todos los días a la oficina"/>
    <s v="Mucho menores que cuando iba todos los días a la oficina"/>
    <s v="Igual que cuando iba todos los días a la oficina"/>
    <s v="Menores que cuando iba todos los días a la oficina"/>
    <s v="Mucho menores que cuando iba todos los días a la oficina"/>
    <s v="Mucho menos que cuando iba todos los días a la oficina"/>
    <s v="Igual que cuando iba todos los días a la oficina"/>
    <s v="Menores que cuando iba todos los días a la oficina"/>
    <s v="Mayor que cuando iba todos los días a la oficina"/>
    <s v="Mayor que cuando iba todos los días a la oficina"/>
    <s v="Igual que cuando iba todos los días a la oficina"/>
    <s v="Menores que cuando iba todos los días a la oficina"/>
    <s v="Mejor que cuando iba todos los días a la oficina"/>
    <s v="Mayor que cuando iba todos los días a la oficina"/>
    <s v="Mayor que cuando iba todos los días a la oficina"/>
    <s v="Mucho mayor que cuando iba todos los días a la oficina"/>
    <s v="Igual que cuando iba todos los días a la oficina"/>
    <s v="Igual que cuando iba todos los días a la oficina"/>
    <s v="Mayor que cuando iba todos los días a la oficina"/>
    <s v="Mayor que cuando iba todos los días a la oficina"/>
    <s v="Mayor que cuando iba todos los días a la oficina"/>
    <s v="Igual que cuando iba todos los días a la oficina"/>
    <s v="Mucho mas que cuando iba todos los días a la oficina"/>
    <s v="Iguales que cuando iba todos los días a la oficina"/>
    <s v="Mayor que cuando iba todos los días a la oficina"/>
    <s v="Mayor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Mejor que cuando iba todos los días a la oficina"/>
    <s v="Igual que cuando iba todos los días a la oficina"/>
    <s v="Menor que cuando iba todos los días a la oficina"/>
    <s v="Igual que cuando iba todos los días a la oficina"/>
    <s v="Mayor que cuando iba todos los días a la oficina"/>
    <s v="Menor que cuando iba todos los días a la oficina"/>
    <s v="Menores que cuando iba todos los días a la oficina"/>
    <s v="Mayor que cuando iba todos los días a la oficina"/>
    <s v="Mayor que cuando iba todos los días a la oficina"/>
    <m/>
    <s v="301+ empleados"/>
    <n v="0"/>
  </r>
  <r>
    <s v="México"/>
    <s v="36+ años"/>
    <s v="Femenino"/>
    <s v="Licenciatura "/>
    <s v="5-10 años"/>
    <s v="Full stack"/>
    <s v="Data Engineer"/>
    <s v="301-500 empleados"/>
    <s v="Empresa que desarrolla software a medida partiendo desde cero"/>
    <s v="Multinacional"/>
    <s v="Casi Nunca"/>
    <s v="Alto"/>
    <s v="4-5 días"/>
    <s v="Ninguno"/>
    <s v="Remota ( todos los días en casa)"/>
    <s v="Consensuada por las dos partes"/>
    <s v="En desacuerdo"/>
    <s v="Mayor que cuando iba todos los días a la oficina"/>
    <s v="Mayor que cuando iba todos los días a la oficina"/>
    <s v="Mayor que cuando iba todos los días a la oficina"/>
    <s v="Diferentes que cuando iba todos los días a la oficina, ahora necesito menos horas para hacer lo mismo"/>
    <s v="Todas por videoconferencia"/>
    <s v="Mucho menor que cuando eran en la oficina"/>
    <s v="Mucho Mayor que cuando iba todos los días a la oficina"/>
    <s v="Mayor que cuando iba todos los días a la oficina"/>
    <s v="Mayor que cuando iba todos los días a la oficina"/>
    <s v="Mucho Mayor que cuando iba todos los días a la oficina"/>
    <x v="0"/>
    <x v="1"/>
    <x v="0"/>
    <s v="Menor que cuando iba todos los días a la oficina"/>
    <x v="1"/>
    <s v="Menos que cuando iba todos los días a la oficina"/>
    <s v="Igual que cuando iba todos los días a la oficina"/>
    <s v="Mucho menos que cuando iba todos los días a la oficina"/>
    <s v="Mucho menos que cuando iba todos los días a la oficina"/>
    <s v="Más que cuando iba todos los días a la oficina"/>
    <s v="Mas que cuando iba todos los días a la oficina"/>
    <s v="Mas que cuando iba todos los días a la oficina"/>
    <s v="Mas que cuando iba todos los días a la oficina"/>
    <s v="Mucho mas que cuando iba todos los días a la oficina"/>
    <s v="Mayores que cuando iba todos los días a la oficina"/>
    <s v="Mayor que cuando iba todos los días a la oficina"/>
    <s v="Mucho Mayor que cuando iba todos los días a la oficina"/>
    <s v="Mucho menor que cuando iba todos los días a la oficina"/>
    <s v="Mayor que cuando iba todos los días a la oficina"/>
    <s v="Mucho menor que cuando iba todos los días a la oficina"/>
    <s v="Mucho menor que cuando iba todos los días a la oficina"/>
    <s v="Menor que cuando iba todos los días a la oficina"/>
    <s v="Mucho mayor que cuando iba todos los días a la oficina"/>
    <s v="Menores que cuando iba todos los días a la oficina"/>
    <s v="Mayor que cuando iba todos los días a la oficina"/>
    <s v="No hay diferencias culturales en mi equipo"/>
    <s v="Menor que cuando iba todos los días a la oficina"/>
    <s v="Menores que cuando iba todos los días a la oficina"/>
    <s v="No tengo que utilizar diferentes idiomas en mi trabajo"/>
    <s v="Mucho menos que cuando iba todos los días a la oficina"/>
    <s v="Mayor que cuando iba todos los días a la oficina"/>
    <s v="Mucho menores que cuando iba todos los días a la oficina"/>
    <s v="Mayor que cuando iba todos los días a la oficina"/>
    <s v="Mucho menor que cuando iba todos los días a la oficina"/>
    <s v="Menos que cuando iba todos los días a la oficina"/>
    <s v="Iguales que cuando iba todos los días a la oficina"/>
    <s v="Peor que cuando iba todos los días a la oficina"/>
    <s v="Mucho Mayor que cuando iba todos los días a la oficina"/>
    <s v="Mucho Mayor que cuando iba todos los días a la oficina"/>
    <s v="Mucho mayor que cuando iba todos los días a la oficina"/>
    <s v="Mucho Mayor que cuando iba todos los días a la oficina"/>
    <s v="Mucho Mayor que cuando iba todos los días a la oficina"/>
    <s v="Mucho Mayor que cuando iba todos los días a la oficina"/>
    <s v="Mucho Mayor que cuando iba todos los días a la oficina"/>
    <s v="Mayor que cuando iba todos los días a la oficina"/>
    <s v="Mayor que cuando iba todos los días a la oficina"/>
    <s v="Igual que cuando iba todos los días a la oficina"/>
    <s v="Iguales que cuando iba todos los días a la oficina"/>
    <s v="Mayor que cuando iba todos los días a la oficina"/>
    <s v="Mucho Mayor que cuando iba todos los días a la oficina"/>
    <s v="Mayor que cuando iba todos los días a la oficina"/>
    <s v="Menor que cuando iba todos los días a la oficina"/>
    <s v="Mayor que cuando iba todos los días a la oficina"/>
    <s v="Mayor que cuando iba todos los días a la oficina"/>
    <s v="Mejor que cuando iba todos los días a la oficina"/>
    <s v="Mucho Mayor que cuando iba todos los días a la oficina"/>
    <s v="Menor que cuando iba todos los días a la oficina"/>
    <s v="Menor que cuando iba todos los días a la oficina"/>
    <s v="Mucho Mayor que cuando iba todos los días a la oficina"/>
    <s v="Mucho menor que cuando iba todos los días a la oficina"/>
    <s v="Menores que cuando iba todos los días a la oficina"/>
    <s v="Igual que cuando iba todos los días a la oficina"/>
    <s v="Mucho mayor que cuando iba todos los días a la oficina"/>
    <m/>
    <s v="301+ empleados"/>
    <n v="0"/>
  </r>
  <r>
    <s v="México"/>
    <s v="36+ años"/>
    <s v="Femenino"/>
    <s v="Licenciatura"/>
    <s v="5-10 años"/>
    <s v="Fullstack y frontend developer "/>
    <s v="Frontend developer"/>
    <s v="&gt;500 empleados."/>
    <s v="Empresa que desarrolla software a medida partiendo desde cero"/>
    <s v="Multinacional"/>
    <s v="A veces"/>
    <s v="Alto"/>
    <s v="4-5 días"/>
    <s v="Ninguno"/>
    <s v="Remota ( todos los días en casa)"/>
    <s v="Consensuada por las dos partes"/>
    <s v="De acuerdo"/>
    <s v="Igual que cuando iba todos los días a la oficina"/>
    <s v="Menor que cuando iba todos los días a la oficina"/>
    <s v="Igual que cuando iba todos los días a la oficina"/>
    <s v="Iguales que cuando iba todos los días a la oficina"/>
    <s v="Todas por videoconferencia"/>
    <s v="Mayor que cuando eran en la oficina"/>
    <s v="Igual que cuando iba todos los días a la oficina"/>
    <s v="Igual que cuando iba todos los días a la oficina"/>
    <s v="Igual que cuando iba todos los días a la oficina"/>
    <s v="Igual que cuando iba todos los días a la oficina"/>
    <x v="1"/>
    <x v="2"/>
    <x v="1"/>
    <s v="Menor que cuando iba todos los días a la oficina"/>
    <x v="3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No tengo la información para contestar a la pregunta"/>
    <s v="Igual que cuando iba todos los días a la oficina"/>
    <s v="Menos que cuando iba todos los días a la oficina"/>
    <s v="Menores que cuando iba todos los días a la oficina"/>
    <s v="Mayor que cuando iba todos los días a la oficina"/>
    <s v="Igual que cuando iba todos los días a la oficina"/>
    <s v="Igual que cuando iba todos los días a la oficina"/>
    <s v="Igual que cuando iba todos los días a la oficina"/>
    <s v="Menor que cuando iba todos los días a la oficina"/>
    <s v="Mucho menor que cuando iba todos los días a la oficina"/>
    <s v="Igual que cuando iba todos los días a la oficina"/>
    <s v="Mucho mayor que cuando iba todos los días a la oficina"/>
    <s v="Iguales que cuando iba todos los días a la oficina"/>
    <s v="Igual que cuando iba todos los días a la oficina"/>
    <s v="Iguales que cuando iba todos los días a la oficina"/>
    <s v="Menor que cuando iba todos los días a la oficina"/>
    <s v="Menores que cuando iba todos los días a la oficina"/>
    <s v="Iguales que cuando iba todos los días a la oficina"/>
    <s v="Igual que cuando iba todos los días a la oficina"/>
    <s v="Menor que cuando iba todos los días a la oficina"/>
    <s v="Iguales que cuando iba todos los días a la oficina"/>
    <s v="Igual que cuando iba todos los días a la oficina"/>
    <s v="Mucho menor que cuando iba todos los días a la oficina"/>
    <s v="Igual que cuando iba todos los días a la oficina"/>
    <s v="Mayores que cuando iba todos los días a la oficina"/>
    <s v="Igual que cuando iba todos los días a la oficina"/>
    <s v="Mucho Mayor que cuando iba todos los días a la oficina"/>
    <s v="Mayor que cuando iba todos los días a la oficina"/>
    <s v="Mucho mayor que cuando iba todos los días a la oficina"/>
    <s v="Menor que cuando iba todos los días a la oficina"/>
    <s v="Igual que cuando iba todos los días a la oficina"/>
    <s v="Igual que cuando iba todos los días a la oficina"/>
    <s v="Mayor que cuando iba todos los días a la oficina"/>
    <s v="Menor que cuando iba todos los días a la oficina"/>
    <s v="Igual que cuando iba todos los días a la oficina"/>
    <s v="Mas que cuando iba todos los días a la oficina"/>
    <s v="Menores que cuando iba todos los días a la oficina"/>
    <s v="Igual que cuando iba todos los días a la oficina"/>
    <s v="Mayor que cuando iba todos los días a la oficina"/>
    <s v="Mayor que cuando iba todos los días a la oficina"/>
    <s v="Igual que cuando iba todos los días a la oficina"/>
    <s v="Menor que cuando iba todos los días a la oficina"/>
    <s v="Igual que cuando iba todos los días a la oficina"/>
    <s v="Igual que cuando iba todos los días a la oficina"/>
    <s v="Mayor que cuando iba todos los días a la oficina"/>
    <s v="Mucho menor que cuando iba todos los días a la oficina"/>
    <s v="Igual que cuando iba todos los días a la oficina"/>
    <s v="Igual que cuando iba todos los días a la oficina"/>
    <s v="Igual que cuando iba todos los días a la oficina"/>
    <s v="Iguales que cuando iba todos los días a la oficina"/>
    <s v="Menor que cuando iba todos los días a la oficina"/>
    <s v="Igual que cuando iba todos los días a la oficina"/>
    <s v="carolinabmen@gmail.com"/>
    <s v="301+ empleados"/>
    <n v="0"/>
  </r>
  <r>
    <s v="México"/>
    <s v="36+ años"/>
    <s v="Masculino"/>
    <s v="Ingenieria"/>
    <s v="11-20 años"/>
    <s v="Gerente de calidad (qa)"/>
    <s v="Performance test lead/manager"/>
    <s v="&gt;500 empleados."/>
    <s v="Empresa que subcontrata (outsourcing) los servicios de otra empresa situada en otro país"/>
    <s v="Multinacional"/>
    <s v="Muy Frecuentemente"/>
    <s v="Alto"/>
    <s v="4-5 días"/>
    <s v="Ninguno"/>
    <s v="Remota ( todos los días en casa)"/>
    <s v="Impuesta por la empresa"/>
    <s v="Totalmente en desacuerdo"/>
    <s v="Igual que cuando iba todos los días a la oficina"/>
    <s v="Igual que cuando iba todos los días a la oficina"/>
    <s v="Igual que cuando iba todos los días a la oficina"/>
    <s v="Muy diferentes que cuando iba todos los días a la oficina, ahora necesito muchas menos horas para hacer lo mismo"/>
    <s v="Todas por videoconferencia"/>
    <s v="Mayor que cuando eran en la oficina"/>
    <s v="Mucho Mayor que cuando iba todos los días a la oficina"/>
    <s v="Mucho Mayor que cuando iba todos los días a la oficina"/>
    <s v="Mayor que cuando iba todos los días a la oficina"/>
    <s v="Mucho Mayor que cuando iba todos los días a la oficina"/>
    <x v="0"/>
    <x v="0"/>
    <x v="2"/>
    <s v="Mucho mayor que cuando iba todos los días a la oficina"/>
    <x v="2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es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Mucho mayor que cuando iba todos los días a la oficina"/>
    <s v="Mucho menores que cuando iba todos los días a la oficina"/>
    <s v="Igual que cuando iba todos los días a la oficina"/>
    <s v="Iguales que cuando iba todos los días a la oficina"/>
    <s v="Igual que cuando iba todos los días a la oficina"/>
    <s v="Iguales que cuando iba todos los días a la oficina"/>
    <s v="Iguales que cuando iba todos los días a la oficina"/>
    <s v="Mucho menos que cuando iba todos los días a la oficina"/>
    <s v="Igual que cuando iba todos los días a la oficina"/>
    <s v="Mucho menores que cuando iba todos los días a la oficina"/>
    <s v="Mucho mayor que cuando iba todos los días a la oficina"/>
    <s v="Igual que cuando iba todos los días a la oficina"/>
    <s v="Igual que cuando iba todos los días a la oficina"/>
    <s v="Iguales que cuando iba todos los días a la oficina"/>
    <s v="Igual que cuando iba todos los días a la oficina"/>
    <s v="Igual que cuando iba todos los días a la oficina"/>
    <s v="Mayor que cuando iba todos los días a la oficina"/>
    <s v="Mucho mayor que cuando iba todos los días a la oficina"/>
    <s v="Igual que cuando iba todos los días a la oficina"/>
    <s v="Igual que cuando iba todos los días a la oficina"/>
    <s v="Mucho Mayor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es que cuando iba todos los días a la oficina"/>
    <s v="Igual que cuando iba todos los días a la oficina"/>
    <s v="Mayor que cuando iba todos los días a la oficina"/>
    <s v="Igual que cuando iba todos los días a la oficina"/>
    <s v="Mucho menor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Mucho Mayor que cuando iba todos los días a la oficina"/>
    <s v="Mucho menor que cuando iba todos los días a la oficina"/>
    <s v="Iguales que cuando iba todos los días a la oficina"/>
    <s v="Igual que cuando iba todos los días a la oficina"/>
    <s v="Mucho mayor que cuando iba todos los días a la oficina"/>
    <m/>
    <s v="301+ empleados"/>
    <n v="1"/>
  </r>
  <r>
    <s v="México"/>
    <s v="36+ años"/>
    <s v="Masculino"/>
    <s v="Licenciatura"/>
    <s v="&lt;5 años"/>
    <s v="Gerente de cuenta"/>
    <s v="Gerente de operaciones"/>
    <s v="&gt;500 empleados."/>
    <s v="Empresa que subcontrata (outsourcing) los servicios de otra empresa situada en otro país"/>
    <s v="Multinacional"/>
    <s v="Muy Frecuentemente"/>
    <s v="Alto"/>
    <s v="4-5 días"/>
    <s v="1-2 días"/>
    <s v="Remota ( todos los días en casa)"/>
    <s v="Consensuada por las dos partes"/>
    <s v="De acuerdo"/>
    <s v="Mayor que cuando iba todos los días a la oficina"/>
    <s v="Mayor que cuando iba todos los días a la oficina"/>
    <s v="Mayor que cuando iba todos los días a la oficina"/>
    <s v="Diferentes que cuando iba todos los días a la oficina, ahora necesito menos horas para hacer lo mismo"/>
    <s v="Casi todas por videoconferencia"/>
    <s v="Mucho menor que cuando eran en la oficina"/>
    <s v="Mucho Mayor que cuando iba todos los días a la oficina"/>
    <s v="Igual que cuando iba todos los días a la oficina"/>
    <s v="Mayor que cuando iba todos los días a la oficina"/>
    <s v="Mayor que cuando iba todos los días a la oficina"/>
    <x v="0"/>
    <x v="0"/>
    <x v="2"/>
    <s v="Mucho mayor que cuando iba todos los días a la oficina"/>
    <x v="2"/>
    <s v="Igual que cuando iba todos los días a la oficina"/>
    <s v="Igual que cuando iba todos los días a la oficina"/>
    <s v="Igual que cuando iba todos los días a la oficina"/>
    <s v="Igual que cuando iba todos los días a la oficina"/>
    <s v="Mucho menos que cuando iba todos los días a la oficina"/>
    <s v="Igual que cuando iba todos los días a la oficina"/>
    <s v="Mucho menos que cuando iba todos los días a la oficina"/>
    <s v="Mucho menos que cuando iba todos los días a la oficina"/>
    <s v="Igual que cuando iba todos los días a la oficina"/>
    <s v="Mayores que cuando iba todos los días a la oficina"/>
    <s v="Mayor que cuando iba todos los días a la oficina"/>
    <s v="Mayor que cuando iba todos los días a la oficina"/>
    <s v="Menor que cuando iba todos los días a la oficina"/>
    <s v="Mucho Mayor que cuando iba todos los días a la oficina"/>
    <s v="Menor que cuando iba todos los días a la oficina"/>
    <s v="Menor que cuando iba todos los días a la oficina"/>
    <s v="Igual que cuando iba todos los días a la oficina"/>
    <s v="Mayor que cuando iba todos los días a la oficina"/>
    <s v="Menores que cuando iba todos los días a la oficina"/>
    <s v="Mayor que cuando iba todos los días a la oficina"/>
    <s v="Iguales que cuando iba todos los días a la oficina"/>
    <s v="Mayor que cuando iba todos los días a la oficina"/>
    <s v="Menores que cuando iba todos los días a la oficina"/>
    <s v="Iguales que cuando iba todos los días a la oficina"/>
    <s v="Mucho menos que cuando iba todos los días a la oficina"/>
    <s v="Igual que cuando iba todos los días a la oficina"/>
    <s v="Iguales que cuando iba todos los días a la oficina"/>
    <s v="Mucho mayor que cuando iba todos los días a la oficina"/>
    <s v="Menor que cuando iba todos los días a la oficina"/>
    <s v="Menos que cuando iba todos los días a la oficina"/>
    <s v="Menores que cuando iba todos los días a la oficina"/>
    <s v="Mucho mejor que cuando iba todos los días a la oficina"/>
    <s v="Mucho Mayor que cuando iba todos los días a la oficina"/>
    <s v="Mucho Mayor que cuando iba todos los días a la oficina"/>
    <s v="Mucho mayor que cuando iba todos los días a la oficina"/>
    <s v="Mucho Mayor que cuando iba todos los días a la oficina"/>
    <s v="Mucho Mayor que cuando iba todos los días a la oficina"/>
    <s v="Mucho Mayor que cuando iba todos los días a la oficina"/>
    <s v="Mucho Mayor que cuando iba todos los días a la oficina"/>
    <s v="Mucho Mayor que cuando iba todos los días a la oficina"/>
    <s v="Menor que cuando iba todos los días a la oficina"/>
    <s v="Igual que cuando iba todos los días a la oficina"/>
    <s v="Iguales que cuando iba todos los días a la oficina"/>
    <s v="Igual que cuando iba todos los días a la oficina"/>
    <s v="Mucho Mayor que cuando iba todos los días a la oficina"/>
    <s v="Mucho Mayor que cuando iba todos los días a la oficina"/>
    <s v="Igual que cuando iba todos los días a la oficina"/>
    <s v="Mayor que cuando iba todos los días a la oficina"/>
    <s v="Igual que cuando iba todos los días a la oficina"/>
    <s v="Igual que cuando iba todos los días a la oficina"/>
    <s v="Mayor que cuando iba todos los días a la oficina"/>
    <s v="Menor que cuando iba todos los días a la oficina"/>
    <s v="Mayor que cuando iba todos los días a la oficina"/>
    <s v="Mayor que cuando iba todos los días a la oficina"/>
    <s v="Menor que cuando iba todos los días a la oficina"/>
    <s v="Menores que cuando iba todos los días a la oficina"/>
    <s v="Igual que cuando iba todos los días a la oficina"/>
    <s v="Mayor que cuando iba todos los días a la oficina"/>
    <m/>
    <s v="301+ empleados"/>
    <n v="1"/>
  </r>
  <r>
    <s v="México"/>
    <s v="36+ años"/>
    <s v="Femenino"/>
    <s v="Licenciatura"/>
    <s v="11-20 años"/>
    <s v="Gerente de Inteligencia de Análisis Datos "/>
    <s v="Gerente de Inteligencia de Análisis Datos"/>
    <s v="&gt;500 empleados."/>
    <s v="Empresa que subcontrata (outsourcing) los servicios de otra empresa situada en otro país"/>
    <s v="Multinacional"/>
    <s v="Muy Frecuentemente"/>
    <s v="Alto"/>
    <s v="4-5 días"/>
    <s v="Ninguno"/>
    <s v="Remota ( todos los días en casa)"/>
    <s v="Consensuada por las dos partes"/>
    <s v="Totalmente de acuerdo"/>
    <s v="Igual que cuando iba todos los días a la oficina"/>
    <s v="Igual que cuando iba todos los días a la oficina"/>
    <s v="Menor que cuando iba todos los días a la oficina"/>
    <s v="Diferentes que cuando iba todos los días a la oficina, ahora necesito menos horas para hacer lo mismo"/>
    <s v="Todas por videoconferencia"/>
    <s v="Igual que cuando eran en la oficina"/>
    <s v="Igual que cuando iba todos los días a la oficina"/>
    <s v="Igual que cuando iba todos los días a la oficina"/>
    <s v="Igual que cuando iba todos los días a la oficina"/>
    <s v="Igual que cuando iba todos los días a la oficina"/>
    <x v="1"/>
    <x v="2"/>
    <x v="0"/>
    <s v="Igual que cuando iba todos los días a la oficina"/>
    <x v="1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Mas que cuando iba todos los días a la oficina"/>
    <s v="Mas que cuando iba todos los días a la oficina"/>
    <s v="Iguales que cuando iba todos los días a la oficina"/>
    <s v="Igual que cuando iba todos los días a la oficina"/>
    <s v="Mayor que cuando iba todos los días a la oficina"/>
    <s v="Menor que cuando iba todos los días a la oficina"/>
    <s v="Igual que cuando iba todos los días a la oficina"/>
    <s v="Menor que cuando iba todos los días a la oficina"/>
    <s v="Menor que cuando iba todos los días a la oficina"/>
    <s v="Igual que cuando iba todos los días a la oficina"/>
    <s v="Mucho mayor que cuando iba todos los días a la oficina"/>
    <s v="Iguales que cuando iba todos los días a la oficina"/>
    <s v="Igual que cuando iba todos los días a la oficina"/>
    <s v="Iguales que cuando iba todos los días a la oficina"/>
    <s v="Igual que cuando iba todos los días a la oficina"/>
    <s v="Mayores que cuando iba todos los días a la oficina"/>
    <s v="Iguales que cuando iba todos los días a la oficina"/>
    <s v="Igual que cuando iba todos los días a la oficina"/>
    <s v="Menor que cuando iba todos los días a la oficina"/>
    <s v="Mayores que cuando iba todos los días a la oficina"/>
    <s v="Mayor que cuando iba todos los días a la oficina"/>
    <s v="Menor que cuando iba todos los días a la oficina"/>
    <s v="Igual que cuando iba todos los días a la oficina"/>
    <s v="Iguales que cuando iba todos los días a la oficina"/>
    <s v="Igual que cuando iba todos los días a la oficina"/>
    <s v="Mayor que cuando iba todos los días a la oficina"/>
    <s v="Igual que cuando iba todos los días a la oficina"/>
    <s v="Mucho mayor que cuando iba todos los días a la oficina"/>
    <s v="Mayor que cuando iba todos los días a la oficina"/>
    <s v="Mayor que cuando iba todos los días a la oficina"/>
    <s v="Igual que cuando iba todos los días a la oficina"/>
    <s v="Igual que cuando iba todos los días a la oficina"/>
    <s v="Mayor que cuando iba todos los días a la oficina"/>
    <s v="Igual que cuando iba todos los días a la oficina"/>
    <s v="Menos que cuando iba todos los días a la oficina"/>
    <s v="Iguales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es que cuando iba todos los días a la oficina"/>
    <s v="Igual que cuando iba todos los días a la oficina"/>
    <s v="Igual que cuando iba todos los días a la oficina"/>
    <m/>
    <s v="301+ empleados"/>
    <n v="1"/>
  </r>
  <r>
    <s v="México"/>
    <s v="36+ años"/>
    <s v="Femenino"/>
    <s v="Licenciada "/>
    <s v="&lt;5 años"/>
    <s v="Ingeniera de inteligencia artificial "/>
    <s v="Software development analyst "/>
    <s v="&gt;500 empleados."/>
    <s v="Empresa que desarrolla software a medida partiendo desde cero"/>
    <s v="Multinacional"/>
    <s v="Muy Frecuentemente"/>
    <s v="Alto"/>
    <s v="4-5 días"/>
    <s v="Ninguno"/>
    <s v="Híbrida casa (más días en casa que en la oficina)"/>
    <s v="Impuesta por la empresa"/>
    <s v="En desacuerdo"/>
    <s v="Igual que cuando iba todos los días a la oficina"/>
    <s v="Mucho Mayor que cuando iba todos los días a la oficina"/>
    <s v="Menor que cuando iba todos los días a la oficina"/>
    <s v="Diferentes que cuando iba todos los días a la oficina, ahora necesito más horas para hacer lo mismo"/>
    <s v="Todas por videoconferencia"/>
    <s v="Mayor que cuando eran en la oficina"/>
    <s v="Mayor que cuando iba todos los días a la oficina"/>
    <s v="Mucho Mayor que cuando iba todos los días a la oficina"/>
    <s v="Mucho Mayor que cuando iba todos los días a la oficina"/>
    <s v="Mayor que cuando iba todos los días a la oficina"/>
    <x v="2"/>
    <x v="0"/>
    <x v="0"/>
    <s v="Mucho mayor que cuando iba todos los días a la oficina"/>
    <x v="2"/>
    <s v="Mucho más que cuando iba todos los días a la oficina"/>
    <s v="Más que cuando iba todos los días a la oficina"/>
    <s v="Menos que cuando iba todos los días a la oficina"/>
    <s v="Mucho menos que cuando iba todos los días a la oficina"/>
    <s v="Mucho más que cuando iba todos los días a la oficina"/>
    <s v="Mucho más que cuando iba todos los días a la oficina"/>
    <s v="Mas que cuando iba todos los días a la oficina"/>
    <s v="Mas que cuando iba todos los días a la oficina"/>
    <s v="Mucho mas que cuando iba todos los días a la oficina"/>
    <s v="Mayores que cuando iba todos los días a la oficina"/>
    <s v="Mayor que cuando iba todos los días a la oficina"/>
    <s v="Mayor que cuando iba todos los días a la oficina"/>
    <s v="Mayor que cuando iba todos los días a la oficina"/>
    <s v="Igual que cuando iba todos los días a la oficina"/>
    <s v="Menor que cuando iba todos los días a la oficina"/>
    <s v="Mayor que cuando iba todos los días a la oficina"/>
    <s v="Mucho mayor que cuando iba todos los días a la oficina"/>
    <s v="Mayor que cuando iba todos los días a la oficina"/>
    <s v="Mayores que cuando iba todos los días a la oficina"/>
    <s v="Mucho mayor que cuando iba todos los días a la oficina"/>
    <s v="Mucho mayores que cuando iba todos los días a la oficina"/>
    <s v="Mayor que cuando iba todos los días a la oficina"/>
    <s v="Mayores que cuando iba todos los días a la oficina"/>
    <s v="Iguales que cuando iba todos los días a la oficina"/>
    <s v="Menos que cuando iba todos los días a la oficina"/>
    <s v="Mayor que cuando iba todos los días a la oficina"/>
    <s v="Mayores que cuando iba todos los días a la oficina"/>
    <s v="Mayor que cuando iba todos los días a la oficina"/>
    <s v="Mucho mayor que cuando iba todos los días a la oficina"/>
    <s v="Más que cuando iba todos los días a la oficina"/>
    <s v="Menores que cuando iba todos los días a la oficina"/>
    <s v="Mejor que cuando iba todos los días a la oficina"/>
    <s v="Igual que cuando iba todos los días a la oficina"/>
    <s v="Mayor que cuando iba todos los días a la oficina"/>
    <s v="Igual que cuando iba todos los días a la oficina"/>
    <s v="Mucho Mayor que cuando iba todos los días a la oficina"/>
    <s v="Igual que cuando iba todos los días a la oficina"/>
    <s v="Mayor que cuando iba todos los días a la oficina"/>
    <s v="Igual que cuando iba todos los días a la oficina"/>
    <s v="Mayor que cuando iba todos los días a la oficina"/>
    <s v="Mucho menor que cuando iba todos los días a la oficina"/>
    <s v="Mas que cuando iba todos los días a la oficina"/>
    <s v="Mayores que cuando iba todos los días a la oficina"/>
    <s v="Mucho Mayor que cuando iba todos los días a la oficina"/>
    <s v="Menor que cuando iba todos los días a la oficina"/>
    <s v="Menor que cuando iba todos los días a la oficina"/>
    <s v="Menor que cuando iba todos los días a la oficina"/>
    <s v="Menor que cuando iba todos los días a la oficina"/>
    <s v="Mayor que cuando iba todos los días a la oficina"/>
    <s v="Mejor que cuando iba todos los días a la oficina"/>
    <s v="Mayor que cuando iba todos los días a la oficina"/>
    <s v="Mayor que cuando iba todos los días a la oficina"/>
    <s v="Mayor que cuando iba todos los días a la oficina"/>
    <s v="Mucho Mayor que cuando iba todos los días a la oficina"/>
    <s v="Mayor que cuando iba todos los días a la oficina"/>
    <s v="Menores que cuando iba todos los días a la oficina"/>
    <s v="Mayor que cuando iba todos los días a la oficina"/>
    <s v="Igual que cuando iba todos los días a la oficina"/>
    <s v="camile.pivac@gmail.com"/>
    <s v="301+ empleados"/>
    <n v="0"/>
  </r>
  <r>
    <s v="México"/>
    <s v="36+ años"/>
    <s v="Masculino"/>
    <s v="Licenciatura"/>
    <s v="5-10 años"/>
    <s v="Ingeniero de datos"/>
    <s v="Ingeniero de cyber seguridad"/>
    <s v="&gt;500 empleados."/>
    <s v="Empresa que desarrolla software a medida partiendo desde cero"/>
    <s v="Multinacional"/>
    <s v="Frecuentemente"/>
    <s v="Alto"/>
    <s v="4-5 días"/>
    <s v="Ninguno"/>
    <s v="Remota ( todos los días en casa)"/>
    <s v="Consensuada por las dos partes"/>
    <s v="Totalmente en desacuerdo"/>
    <s v="Igual que cuando iba todos los días a la oficina"/>
    <s v="Menor que cuando iba todos los días a la oficina"/>
    <s v="Igual que cuando iba todos los días a la oficina"/>
    <s v="Iguales que cuando iba todos los días a la oficina"/>
    <s v="Todas por videoconferencia"/>
    <s v="Menor que cuando eran en la oficina"/>
    <s v="Mayor que cuando iba todos los días a la oficina"/>
    <s v="Mayor que cuando iba todos los días a la oficina"/>
    <s v="Mayor que cuando iba todos los días a la oficina"/>
    <s v="Mayor que cuando iba todos los días a la oficina"/>
    <x v="1"/>
    <x v="1"/>
    <x v="0"/>
    <s v="Menor que cuando iba todos los días a la oficina"/>
    <x v="4"/>
    <s v="Más que cuando iba todos los días a la oficina"/>
    <s v="Más que cuando iba todos los días a la oficina"/>
    <s v="Igual que cuando iba todos los días a la oficina"/>
    <s v="Más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es que cuando iba todos los días a la oficina"/>
    <s v="Igual que cuando iba todos los días a la oficina"/>
    <s v="Mayor que cuando iba todos los días a la oficina"/>
    <s v="Menor que cuando iba todos los días a la oficina"/>
    <s v="Mayor que cuando iba todos los días a la oficina"/>
    <s v="Menor que cuando iba todos los días a la oficina"/>
    <s v="Menor que cuando iba todos los días a la oficina"/>
    <s v="Menor que cuando iba todos los días a la oficina"/>
    <s v="Mayor que cuando iba todos los días a la oficina"/>
    <s v="Mayores que cuando iba todos los días a la oficina"/>
    <s v="Mayor que cuando iba todos los días a la oficina"/>
    <s v="Menores que cuando iba todos los días a la oficina"/>
    <s v="Mayor que cuando iba todos los días a la oficina"/>
    <s v="Mayores que cuando iba todos los días a la oficina"/>
    <s v="Mayores que cuando iba todos los días a la oficina"/>
    <s v="Igual que cuando iba todos los días a la oficina"/>
    <s v="Mayor que cuando iba todos los días a la oficina"/>
    <s v="Menores que cuando iba todos los días a la oficina"/>
    <s v="Mayor que cuando iba todos los días a la oficina"/>
    <s v="Mayor que cuando iba todos los días a la oficina"/>
    <s v="Menos que cuando iba todos los días a la oficina"/>
    <s v="Mayores que cuando iba todos los días a la oficina"/>
    <s v="Igual que cuando iba todos los días a la oficina"/>
    <s v="Mayor que cuando iba todos los días a la oficina"/>
    <s v="Mayor que cuando iba todos los días a la oficina"/>
    <s v="Mucho mayor que cuando iba todos los días a la oficina"/>
    <s v="Mayor que cuando iba todos los días a la oficina"/>
    <s v="Mayor que cuando iba todos los días a la oficina"/>
    <s v="Mayor que cuando iba todos los días a la oficina"/>
    <s v="Mayor que cuando iba todos los días a la oficina"/>
    <s v="Menor que cuando iba todos los días a la oficina"/>
    <s v="Igual que cuando iba todos los días a la oficina"/>
    <s v="Igual que cuando iba todos los días a la oficina"/>
    <s v="Menores que cuando iba todos los días a la oficina"/>
    <s v="Mayor que cuando iba todos los días a la oficina"/>
    <s v="Mucho Mayor que cuando iba todos los días a la oficina"/>
    <s v="Igual que cuando iba todos los días a la oficina"/>
    <s v="Menor que cuando iba todos los días a la oficina"/>
    <s v="Menor que cuando iba todos los días a la oficina"/>
    <s v="Mayor que cuando iba todos los días a la oficina"/>
    <s v="Mejor que cuando iba todos los días a la oficina"/>
    <s v="Mayor que cuando iba todos los días a la oficina"/>
    <s v="Menor que cuando iba todos los días a la oficina"/>
    <s v="Mayor que cuando iba todos los días a la oficina"/>
    <s v="Mayor que cuando iba todos los días a la oficina"/>
    <s v="Menor que cuando iba todos los días a la oficina"/>
    <s v="Menores que cuando iba todos los días a la oficina"/>
    <s v="Mayor que cuando iba todos los días a la oficina"/>
    <s v="Mayor que cuando iba todos los días a la oficina"/>
    <m/>
    <s v="301+ empleados"/>
    <n v="0"/>
  </r>
  <r>
    <s v="México"/>
    <s v="36+ años"/>
    <s v="Masculino"/>
    <s v="Universidad"/>
    <s v="11-20 años"/>
    <s v="Ingeniero de Software"/>
    <s v="Ingeniero de Software"/>
    <s v="&gt;500 empleados."/>
    <s v="Empresa que desarrolla software a medida partiendo desde cero"/>
    <s v="Multinacional"/>
    <s v="Muy Frecuentemente"/>
    <s v="Alto"/>
    <s v="4-5 días"/>
    <s v="Ninguno"/>
    <s v="Híbrida casa (más días en casa que en la oficina)"/>
    <s v="Impuesta por la empresa"/>
    <s v="En desacuerdo"/>
    <s v="Menor que cuando iba todos los días a la oficina"/>
    <s v="Mucho menor que cuando iba todos los días a la oficina"/>
    <s v="Mucho menor que cuando iba todos los días a la oficina"/>
    <s v="Muy diferentes que cuando iba todos los días a la oficina, ahora necesito muchas menos horas para hacer lo mismo"/>
    <s v="Casi todas por videoconferencia"/>
    <s v="Mayor que cuando eran en la oficina"/>
    <s v="Igual que cuando iba todos los días a la oficina"/>
    <s v="Igual que cuando iba todos los días a la oficina"/>
    <s v="Igual que cuando iba todos los días a la oficina"/>
    <s v="Igual que cuando iba todos los días a la oficina"/>
    <x v="0"/>
    <x v="1"/>
    <x v="0"/>
    <s v="Menor que cuando iba todos los días a la oficina"/>
    <x v="2"/>
    <s v="Más que cuando iba todos los días a la oficina"/>
    <s v="Igual que cuando iba todos los días a la oficina"/>
    <s v="Igual que cuando iba todos los días a la oficina"/>
    <s v="Mucho menos que cuando iba todos los días a la oficina"/>
    <s v="Mucho más que cuando iba todos los días a la oficina"/>
    <s v="Igual que cuando iba todos los días a la oficina"/>
    <s v="Mucho más que cuando iba todos los días a la oficina"/>
    <s v="Mucho mas que cuando iba todos los días a la oficina"/>
    <s v="Mas que cuando iba todos los días a la oficina"/>
    <s v="Iguales que cuando iba todos los días a la oficina"/>
    <s v="Igual que cuando iba todos los días a la oficina"/>
    <s v="Igual que cuando iba todos los días a la oficina"/>
    <s v="Menor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Mucho mayor que cuando iba todos los días a la oficina"/>
    <s v="Iguales que cuando iba todos los días a la oficina"/>
    <s v="Igual que cuando iba todos los días a la oficina"/>
    <s v="Iguales que cuando iba todos los días a la oficina"/>
    <s v="Igual que cuando iba todos los días a la oficina"/>
    <s v="Iguales que cuando iba todos los días a la oficina"/>
    <s v="Iguales que cuando iba todos los días a la oficina"/>
    <s v="Igual que cuando iba todos los días a la oficina"/>
    <s v="Menor que cuando iba todos los días a la oficina"/>
    <s v="Menores que cuando iba todos los días a la oficina"/>
    <s v="Igual que cuando iba todos los días a la oficina"/>
    <s v="Igual que cuando iba todos los días a la oficina"/>
    <s v="Igual que cuando iba todos los días a la oficina"/>
    <s v="Iguales que cuando iba todos los días a la oficina"/>
    <s v="Igual que cuando iba todos los días a la oficina"/>
    <s v="Igual que cuando iba todos los días a la oficina"/>
    <s v="Mayor que cuando iba todos los días a la oficina"/>
    <s v="Mucho mayor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Mucho menores que cuando iba todos los días a la oficina"/>
    <s v="Igual que cuando iba todos los días a la oficina"/>
    <s v="Mucho Mayor que cuando iba todos los días a la oficina"/>
    <s v="Igual que cuando iba todos los días a la oficina"/>
    <s v="Menor que cuando iba todos los días a la oficina"/>
    <s v="Igual que cuando iba todos los días a la oficina"/>
    <s v="Igual que cuando iba todos los días a la oficina"/>
    <s v="Igual que cuando iba todos los días a la oficina"/>
    <s v="Mayor que cuando iba todos los días a la oficina"/>
    <s v="Mucho menor que cuando iba todos los días a la oficina"/>
    <s v="Igual que cuando iba todos los días a la oficina"/>
    <s v="Igual que cuando iba todos los días a la oficina"/>
    <s v="Igual que cuando iba todos los días a la oficina"/>
    <s v="Iguales que cuando iba todos los días a la oficina"/>
    <s v="Menor que cuando iba todos los días a la oficina"/>
    <s v="Igual que cuando iba todos los días a la oficina"/>
    <s v="arturovm@outlook.com"/>
    <s v="301+ empleados"/>
    <n v="0"/>
  </r>
  <r>
    <s v="México"/>
    <s v="36+ años"/>
    <s v="Masculino"/>
    <s v="Licenciatura Universitaria"/>
    <s v="&lt;5 años"/>
    <s v="Ingeniero de Software"/>
    <s v="Ingeniero de Software"/>
    <s v="&gt;500 empleados."/>
    <s v="Empresa que desarrolla software a medida partiendo desde cero"/>
    <s v="Multinacional"/>
    <s v="Muy Frecuentemente"/>
    <s v="Alto"/>
    <s v="4-5 días"/>
    <s v="Ninguno"/>
    <s v="Remota ( todos los días en casa)"/>
    <s v="Consensuada por las dos partes"/>
    <s v="De acuerdo"/>
    <s v="Igual que cuando iba todos los días a la oficina"/>
    <s v="Menor que cuando iba todos los días a la oficina"/>
    <s v="Mayor que cuando iba todos los días a la oficina"/>
    <s v="Diferentes que cuando iba todos los días a la oficina, ahora necesito menos horas para hacer lo mismo"/>
    <s v="Todas por videoconferencia"/>
    <s v="Menor que cuando eran en la oficina"/>
    <s v="Mucho Mayor que cuando iba todos los días a la oficina"/>
    <s v="Mucho Mayor que cuando iba todos los días a la oficina"/>
    <s v="Mucho Mayor que cuando iba todos los días a la oficina"/>
    <s v="Mayor que cuando iba todos los días a la oficina"/>
    <x v="0"/>
    <x v="0"/>
    <x v="0"/>
    <s v="Menor que cuando iba todos los días a la oficina"/>
    <x v="4"/>
    <s v="Igual que cuando iba todos los días a la oficina"/>
    <s v="Igual que cuando iba todos los días a la oficina"/>
    <s v="Igual que cuando iba todos los días a la oficina"/>
    <s v="Igual que cuando iba todos los días a la oficina"/>
    <s v="Menos que cuando iba todos los días a la oficina"/>
    <s v="Igual que cuando iba todos los días a la oficina"/>
    <s v="Igual que cuando iba todos los días a la oficina"/>
    <s v="Menos que cuando iba todos los días a la oficina"/>
    <s v="Menos que cuando iba todos los días a la oficina"/>
    <s v="Mucho Mayores que cuando iba todos los días a la oficina"/>
    <s v="Mucho Mayor que cuando iba todos los días a la oficina"/>
    <s v="Mucho Mayor que cuando iba todos los días a la oficina"/>
    <s v="Mucho menor que cuando iba todos los días a la oficina"/>
    <s v="Mucho Mayor que cuando iba todos los días a la oficina"/>
    <s v="Menor que cuando iba todos los días a la oficina"/>
    <s v="Menor que cuando iba todos los días a la oficina"/>
    <s v="Menor que cuando iba todos los días a la oficina"/>
    <s v="Mucho mayor que cuando iba todos los días a la oficina"/>
    <s v="Iguales que cuando iba todos los días a la oficina"/>
    <s v="Igual que cuando iba todos los días a la oficina"/>
    <s v="Iguales que cuando iba todos los días a la oficina"/>
    <s v="Mucho mayor que cuando iba todos los días a la oficina"/>
    <s v="Mayores que cuando iba todos los días a la oficina"/>
    <s v="Iguales que cuando iba todos los días a la oficina"/>
    <s v="Igual que cuando iba todos los días a la oficina"/>
    <s v="Mayor que cuando iba todos los días a la oficina"/>
    <s v="Mucho menores que cuando iba todos los días a la oficina"/>
    <s v="Mucho menor que cuando iba todos los días a la oficina"/>
    <s v="Mayor que cuando iba todos los días a la oficina"/>
    <s v="Igual que cuando iba todos los días a la oficina"/>
    <s v="Menores que cuando iba todos los días a la oficina"/>
    <s v="Mucho mejor que cuando iba todos los días a la oficina"/>
    <s v="Mayor que cuando iba todos los días a la oficina"/>
    <s v="Mayor que cuando iba todos los días a la oficina"/>
    <s v="Mucho mayor que cuando iba todos los días a la oficina"/>
    <s v="Igual que cuando iba todos los días a la oficina"/>
    <s v="Mayor que cuando iba todos los días a la oficina"/>
    <s v="Mayor que cuando iba todos los días a la oficina"/>
    <s v="Mucho Mayor que cuando iba todos los días a la oficina"/>
    <s v="Mucho Mayor que cuando iba todos los días a la oficina"/>
    <s v="Igual que cuando iba todos los días a la oficina"/>
    <s v="Igual que cuando iba todos los días a la oficina"/>
    <s v="Iguales que cuando iba todos los días a la oficina"/>
    <s v="Mucho Mayor que cuando iba todos los días a la oficina"/>
    <s v="Mucho Mayor que cuando iba todos los días a la oficina"/>
    <s v="Igual que cuando iba todos los días a la oficina"/>
    <s v="Menor que cuando iba todos los días a la oficina"/>
    <s v="Menor que cuando iba todos los días a la oficina"/>
    <s v="Mucho Mayor que cuando iba todos los días a la oficina"/>
    <s v="Mejor que cuando iba todos los días a la oficina"/>
    <s v="Igual que cuando iba todos los días a la oficina"/>
    <s v="Mucho menor que cuando iba todos los días a la oficina"/>
    <s v="Igual que cuando iba todos los días a la oficina"/>
    <s v="Mayor que cuando iba todos los días a la oficina"/>
    <s v="Igual que cuando iba todos los días a la oficina"/>
    <s v="Menores que cuando iba todos los días a la oficina"/>
    <s v="Menor que cuando iba todos los días a la oficina"/>
    <s v="Mayor que cuando iba todos los días a la oficina"/>
    <m/>
    <s v="301+ empleados"/>
    <n v="0"/>
  </r>
  <r>
    <s v="México"/>
    <s v="36+ años"/>
    <s v="Masculino"/>
    <s v="Licenciatura"/>
    <s v="5-10 años"/>
    <s v="Jr Ingeniero de Software "/>
    <s v="Ingeniero de Software II"/>
    <s v="&gt;500 empleados."/>
    <s v="Empresa que desarrolla software a medida partiendo desde cero"/>
    <s v="Multinacional"/>
    <s v="Muy Frecuentemente"/>
    <s v="Alto"/>
    <s v="4-5 días"/>
    <s v="Ninguno"/>
    <s v="Remota ( todos los días en casa)"/>
    <s v="Decidida por ti"/>
    <s v="De acuerdo"/>
    <s v="Menor que cuando iba todos los días a la oficina"/>
    <s v="Menor que cuando iba todos los días a la oficina"/>
    <s v="Igual que cuando iba todos los días a la oficina"/>
    <s v="Diferentes que cuando iba todos los días a la oficina, ahora necesito menos horas para hacer lo mismo"/>
    <s v="Todas por videoconferencia"/>
    <s v="Igual que cuando eran en la oficina"/>
    <s v="Mayor que cuando iba todos los días a la oficina"/>
    <s v="Igual que cuando iba todos los días a la oficina"/>
    <s v="Igual que cuando iba todos los días a la oficina"/>
    <s v="Menor que cuando iba todos los días a la oficina"/>
    <x v="2"/>
    <x v="0"/>
    <x v="0"/>
    <s v="Igual que cuando iba todos los días a la oficina"/>
    <x v="2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Mayores que cuando iba todos los días a la oficina"/>
    <s v="Mayor que cuando iba todos los días a la oficina"/>
    <s v="Mayor que cuando iba todos los días a la oficina"/>
    <s v="Menor que cuando iba todos los días a la oficina"/>
    <s v="Mayor que cuando iba todos los días a la oficina"/>
    <s v="Igual que cuando iba todos los días a la oficina"/>
    <s v="Igual que cuando iba todos los días a la oficina"/>
    <s v="Igual que cuando iba todos los días a la oficina"/>
    <s v="Mayor que cuando iba todos los días a la oficina"/>
    <s v="Iguales que cuando iba todos los días a la oficina"/>
    <s v="Igual que cuando iba todos los días a la oficina"/>
    <s v="Iguales que cuando iba todos los días a la oficina"/>
    <s v="Mayor que cuando iba todos los días a la oficina"/>
    <s v="Iguales que cuando iba todos los días a la oficina"/>
    <s v="Menores que cuando iba todos los días a la oficina"/>
    <s v="Igual que cuando iba todos los días a la oficina"/>
    <s v="Menor que cuando iba todos los días a la oficina"/>
    <s v="Mayores que cuando iba todos los días a la oficina"/>
    <s v="Menor que cuando iba todos los días a la oficina"/>
    <s v="Igual que cuando iba todos los días a la oficina"/>
    <s v="Más que cuando iba todos los días a la oficina"/>
    <s v="Iguales que cuando iba todos los días a la oficina"/>
    <s v="Igual que cuando iba todos los días a la oficina"/>
    <s v="Igual que cuando iba todos los días a la oficina"/>
    <s v="Igual que cuando iba todos los días a la oficina"/>
    <s v="Mucho mayor que cuando iba todos los días a la oficina"/>
    <s v="Mayor que cuando iba todos los días a la oficina"/>
    <s v="Mayor que cuando iba todos los días a la oficina"/>
    <s v="Mayor que cuando iba todos los días a la oficina"/>
    <s v="Mayor que cuando iba todos los días a la oficina"/>
    <s v="Igual que cuando iba todos los días a la oficina"/>
    <s v="Igual que cuando iba todos los días a la oficina"/>
    <s v="Mas que cuando iba todos los días a la oficina"/>
    <s v="Iguales que cuando iba todos los días a la oficina"/>
    <s v="Mayor que cuando iba todos los días a la oficina"/>
    <s v="Mucho Mayor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Mayor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es que cuando iba todos los días a la oficina"/>
    <s v="Mayor que cuando iba todos los días a la oficina"/>
    <s v="Mayor que cuando iba todos los días a la oficina"/>
    <s v="Franciscogonzalez1307@gmail.com"/>
    <s v="301+ empleados"/>
    <n v="0"/>
  </r>
  <r>
    <s v="México"/>
    <s v="36+ años"/>
    <s v="Masculino"/>
    <s v="Maestria"/>
    <s v="5-10 años"/>
    <s v="Jr, Mid"/>
    <s v="Tech Lead  AI Lab"/>
    <s v="&gt;500 empleados."/>
    <s v="Empresa que desarrolla software a medida partiendo desde cero"/>
    <s v="Multinacional"/>
    <s v="Frecuentemente"/>
    <s v="Alto"/>
    <s v="4-5 días"/>
    <s v="1-2 días"/>
    <s v="Híbrida casa (más días en casa que en la oficina)"/>
    <s v="Decidida por ti"/>
    <s v="Totalmente de acuerdo"/>
    <s v="Mayor que cuando iba todos los días a la oficina"/>
    <s v="Mucho Mayor que cuando iba todos los días a la oficina"/>
    <s v="Mayor que cuando iba todos los días a la oficina"/>
    <s v="Diferentes que cuando iba todos los días a la oficina, ahora necesito menos horas para hacer lo mismo"/>
    <s v="Casi todas por videoconferencia"/>
    <s v="Mucho menor que cuando eran en la oficina"/>
    <s v="Mucho Mayor que cuando iba todos los días a la oficina"/>
    <s v="No tengo la información para contestar a la pregunta"/>
    <s v="No tengo la información para contestar a la pregunta"/>
    <s v="Mucho Mayor que cuando iba todos los días a la oficina"/>
    <x v="0"/>
    <x v="0"/>
    <x v="0"/>
    <s v="Mucho mayor que cuando iba todos los días a la oficina"/>
    <x v="5"/>
    <s v="Mucho menos que cuando iba todos los días a la oficina"/>
    <s v="Igual que cuando iba todos los días a la oficina"/>
    <s v="Mucho más que cuando iba todos los días a la oficina"/>
    <s v="Mucho más que cuando iba todos los días a la oficina"/>
    <s v="Mucho más que cuando iba todos los días a la oficina"/>
    <s v="Mas que cuando iba todos los días a la oficina"/>
    <s v="Mucho más que cuando iba todos los días a la oficina"/>
    <s v="Mas que cuando iba todos los días a la oficina"/>
    <s v="Mas que cuando iba todos los días a la oficina"/>
    <s v="Mayores que cuando iba todos los días a la oficina"/>
    <s v="Mayor que cuando iba todos los días a la oficina"/>
    <s v="Mayor que cuando iba todos los días a la oficina"/>
    <s v="Mucho menor que cuando iba todos los días a la oficina"/>
    <s v="Mucho Mayor que cuando iba todos los días a la oficina"/>
    <s v="Mucho menor que cuando iba todos los días a la oficina"/>
    <s v="Menor que cuando iba todos los días a la oficina"/>
    <s v="Mucho mayor que cuando iba todos los días a la oficina"/>
    <s v="Mayor que cuando iba todos los días a la oficina"/>
    <s v="Mucho mayores que cuando iba todos los días a la oficina"/>
    <s v="Mayor que cuando iba todos los días a la oficina"/>
    <s v="Mayores que cuando iba todos los días a la oficina"/>
    <s v="Mucho mayor que cuando iba todos los días a la oficina"/>
    <s v="Menores que cuando iba todos los días a la oficina"/>
    <s v="Mucho menores que cuando iba todos los días a la oficina"/>
    <s v="Mucho menos que cuando iba todos los días a la oficina"/>
    <s v="Mayor que cuando iba todos los días a la oficina"/>
    <s v="Mucho menores que cuando iba todos los días a la oficina"/>
    <s v="Mucho mayor que cuando iba todos los días a la oficina"/>
    <s v="Igual que cuando iba todos los días a la oficina"/>
    <s v="Mucho menos que cuando iba todos los días a la oficina"/>
    <s v="Menores que cuando iba todos los días a la oficina"/>
    <s v="Mucho mejor que cuando iba todos los días a la oficina"/>
    <s v="Mucho Mayor que cuando iba todos los días a la oficina"/>
    <s v="Mucho Mayor que cuando iba todos los días a la oficina"/>
    <s v="Mucho mayor que cuando iba todos los días a la oficina"/>
    <s v="Mucho Mayor que cuando iba todos los días a la oficina"/>
    <s v="Mucho Mayor que cuando iba todos los días a la oficina"/>
    <s v="Mucho Mayor que cuando iba todos los días a la oficina"/>
    <s v="Mucho Mayor que cuando iba todos los días a la oficina"/>
    <s v="Mucho Mayor que cuando iba todos los días a la oficina"/>
    <s v="Mucho menor que cuando iba todos los días a la oficina"/>
    <s v="Mucho mas que cuando iba todos los días a la oficina"/>
    <s v="Mucho Mayores que cuando iba todos los días a la oficina"/>
    <s v="Mucho Mayor que cuando iba todos los días a la oficina"/>
    <s v="Igual que cuando iba todos los días a la oficina"/>
    <s v="Mucho Mayor que cuando iba todos los días a la oficina"/>
    <s v="Mucho menor que cuando iba todos los días a la oficina"/>
    <s v="Mucho Mayor que cuando iba todos los días a la oficina"/>
    <s v="Mucho menor que cuando iba todos los días a la oficina"/>
    <s v="Mejor que cuando iba todos los días a la oficina"/>
    <s v="Mayor que cuando iba todos los días a la oficina"/>
    <s v="Mayor que cuando iba todos los días a la oficina"/>
    <s v="Mayor que cuando iba todos los días a la oficina"/>
    <s v="Mucho Mayor que cuando iba todos los días a la oficina"/>
    <s v="Mucho menor que cuando iba todos los días a la oficina"/>
    <s v="Mucho menores que cuando iba todos los días a la oficina"/>
    <s v="Mayor que cuando iba todos los días a la oficina"/>
    <s v="Mayor que cuando iba todos los días a la oficina"/>
    <m/>
    <s v="301+ empleados"/>
    <n v="1"/>
  </r>
  <r>
    <s v="México"/>
    <s v="36+ años"/>
    <s v="Femenino"/>
    <s v="Maestría"/>
    <s v="&lt;5 años"/>
    <s v="Junior Data Analyst"/>
    <s v="Business Intelligence Manager"/>
    <s v="151-300 empleados"/>
    <s v="Empresa que desarrolla software a medida partiendo desde cero"/>
    <s v="Multinacional"/>
    <s v="A veces"/>
    <s v="Alto"/>
    <s v="4-5 días"/>
    <s v="Ninguno"/>
    <s v="Remota ( todos los días en casa)"/>
    <s v="Consensuada por las dos partes"/>
    <s v="Totalmente de acuerdo"/>
    <s v="Igual que cuando iba todos los días a la oficina"/>
    <s v="Igual que cuando iba todos los días a la oficina"/>
    <s v="Igual que cuando iba todos los días a la oficina"/>
    <s v="Iguales que cuando iba todos los días a la oficina"/>
    <s v="Todas por videoconferencia"/>
    <s v="Mayor que cuando eran en la oficina"/>
    <s v="Igual que cuando iba todos los días a la oficina"/>
    <s v="Igual que cuando iba todos los días a la oficina"/>
    <s v="Igual que cuando iba todos los días a la oficina"/>
    <s v="Igual que cuando iba todos los días a la oficina"/>
    <x v="1"/>
    <x v="1"/>
    <x v="2"/>
    <s v="Mucho mayor que cuando iba todos los días a la oficina"/>
    <x v="2"/>
    <s v="Igual que cuando iba todos los días a la oficina"/>
    <s v="Igual que cuando iba todos los días a la oficina"/>
    <s v="Más que cuando iba todos los días a la oficina"/>
    <s v="Igual que cuando iba todos los días a la oficina"/>
    <s v="Más que cuando iba todos los días a la oficina"/>
    <s v="Mas que cuando iba todos los días a la oficina"/>
    <s v="Mas que cuando iba todos los días a la oficina"/>
    <s v="Mas que cuando iba todos los días a la oficina"/>
    <s v="Igual que cuando iba todos los días a la oficina"/>
    <s v="Mayores que cuando iba todos los días a la oficina"/>
    <s v="Mayor que cuando iba todos los días a la oficina"/>
    <s v="Menor que cuando iba todos los días a la oficina"/>
    <s v="Mayor que cuando iba todos los días a la oficina"/>
    <s v="Mayor que cuando iba todos los días a la oficina"/>
    <s v="Igual que cuando iba todos los días a la oficina"/>
    <s v="Igual que cuando iba todos los días a la oficina"/>
    <s v="Mayor que cuando iba todos los días a la oficina"/>
    <s v="Mayor que cuando iba todos los días a la oficina"/>
    <s v="Iguales que cuando iba todos los días a la oficina"/>
    <s v="Mayor que cuando iba todos los días a la oficina"/>
    <s v="Iguales que cuando iba todos los días a la oficina"/>
    <s v="Mayor que cuando iba todos los días a la oficina"/>
    <s v="Iguales que cuando iba todos los días a la oficina"/>
    <s v="Iguales que cuando iba todos los días a la oficina"/>
    <s v="Igual que cuando iba todos los días a la oficina"/>
    <s v="Igual que cuando iba todos los días a la oficina"/>
    <s v="Iguales que cuando iba todos los días a la oficina"/>
    <s v="Mayor que cuando iba todos los días a la oficina"/>
    <s v="Igual que cuando iba todos los días a la oficina"/>
    <s v="Igual que cuando iba todos los días a la oficina"/>
    <s v="Iguales que cuando iba todos los días a la oficina"/>
    <s v="Igual que cuando iba todos los días a la oficina"/>
    <s v="Mayor que cuando iba todos los días a la oficina"/>
    <s v="Mayor que cuando iba todos los días a la oficina"/>
    <s v="Mucho mayor que cuando iba todos los días a la oficina"/>
    <s v="Igual que cuando iba todos los días a la oficina"/>
    <s v="Mayor que cuando iba todos los días a la oficina"/>
    <s v="Mucho Mayor que cuando iba todos los días a la oficina"/>
    <s v="Mucho Mayor que cuando iba todos los días a la oficina"/>
    <s v="Mucho Mayor que cuando iba todos los días a la oficina"/>
    <s v="Igual que cuando iba todos los días a la oficina"/>
    <s v="Igual que cuando iba todos los días a la oficina"/>
    <s v="Mayores que cuando iba todos los días a la oficina"/>
    <s v="Igual que cuando iba todos los días a la oficina"/>
    <s v="Mucho Mayor que cuando iba todos los días a la oficina"/>
    <s v="Mayor que cuando iba todos los días a la oficina"/>
    <s v="Igual que cuando iba todos los días a la oficina"/>
    <s v="Menor que cuando iba todos los días a la oficina"/>
    <s v="Mucho menor que cuando iba todos los días a la oficina"/>
    <s v="Mejor que cuando iba todos los días a la oficina"/>
    <s v="Mucho Mayor que cuando iba todos los días a la oficina"/>
    <s v="Igual que cuando iba todos los días a la oficina"/>
    <s v="Igual que cuando iba todos los días a la oficina"/>
    <s v="Mucho Mayor que cuando iba todos los días a la oficina"/>
    <s v="Mayor que cuando iba todos los días a la oficina"/>
    <s v="Iguales que cuando iba todos los días a la oficina"/>
    <s v="Mucho Mayor que cuando iba todos los días a la oficina"/>
    <s v="Mucho mayor que cuando iba todos los días a la oficina"/>
    <s v="marthainesjc17@gmail.com"/>
    <s v="&lt;301 empleados"/>
    <n v="1"/>
  </r>
  <r>
    <s v="México"/>
    <s v="36+ años"/>
    <s v="Masculino"/>
    <s v="Licenciatura"/>
    <s v="5-10 años"/>
    <s v="Lead enginner"/>
    <s v="Lead enginner"/>
    <s v="&gt;500 empleados."/>
    <s v="Empresa que desarrolla software a medida partiendo desde cero"/>
    <s v="Multinacional"/>
    <s v="Frecuentemente"/>
    <s v="Alto"/>
    <s v="4-5 días"/>
    <s v="Ninguno"/>
    <s v="Remota ( todos los días en casa)"/>
    <s v="Impuesta por la empresa"/>
    <s v="Totalmente en desacuerdo"/>
    <s v="Igual que cuando iba todos los días a la oficina"/>
    <s v="Mayor que cuando iba todos los días a la oficina"/>
    <s v="Mayor que cuando iba todos los días a la oficina"/>
    <s v="Diferentes que cuando iba todos los días a la oficina, ahora necesito menos horas para hacer lo mismo"/>
    <s v="Todas por videoconferencia"/>
    <s v="Menor que cuando eran en la oficina"/>
    <s v="Mucho Mayor que cuando iba todos los días a la oficina"/>
    <s v="Mucho Mayor que cuando iba todos los días a la oficina"/>
    <s v="Mucho Mayor que cuando iba todos los días a la oficina"/>
    <s v="Mayor que cuando iba todos los días a la oficina"/>
    <x v="4"/>
    <x v="3"/>
    <x v="2"/>
    <s v="Mayor que cuando iba todos los días a la oficina"/>
    <x v="2"/>
    <s v="No tengo la información para contestar a la pregunta"/>
    <s v="Mucho menos que cuando iba todos los días a la oficina"/>
    <s v="No trabajo con personas con un horario distinto al mío"/>
    <s v="Menos que cuando iba todos los días a la oficina"/>
    <s v="Mucho menos que cuando iba todos los días a la oficina"/>
    <s v="Mucho menos que cuando iba todos los días a la oficina"/>
    <s v="Mucho más que cuando iba todos los días a la oficina"/>
    <s v="Mas que cuando iba todos los días a la oficina"/>
    <s v="Mas que cuando iba todos los días a la oficina"/>
    <s v="Mayores que cuando iba todos los días a la oficina"/>
    <s v="Mayor que cuando iba todos los días a la oficina"/>
    <s v="Mayor que cuando iba todos los días a la oficina"/>
    <s v="Mayor que cuando iba todos los días a la oficina"/>
    <s v="Menor que cuando iba todos los días a la oficina"/>
    <s v="Menor que cuando iba todos los días a la oficina"/>
    <s v="Igual que cuando iba todos los días a la oficina"/>
    <s v="Mayor que cuando iba todos los días a la oficina"/>
    <s v="Mayor que cuando iba todos los días a la oficina"/>
    <s v="Menores que cuando iba todos los días a la oficina"/>
    <s v="Menor que cuando iba todos los días a la oficina"/>
    <s v="Mucho menores que cuando iba todos los días a la oficina"/>
    <s v="Menor que cuando iba todos los días a la oficina"/>
    <s v="Mucho mayores que cuando iba todos los días a la oficina"/>
    <s v="Mucho menores que cuando iba todos los días a la oficina"/>
    <s v="Mucho menos que cuando iba todos los días a la oficina"/>
    <s v="Menor que cuando iba todos los días a la oficina"/>
    <s v="Mucho menores que cuando iba todos los días a la oficina"/>
    <s v="Mucho menor que cuando iba todos los días a la oficina"/>
    <s v="Mucho menor que cuando iba todos los días a la oficina"/>
    <s v="Mucho menos que cuando iba todos los días a la oficina"/>
    <s v="Mucho menores que cuando iba todos los días a la oficina"/>
    <s v="Mucho peor que cuando iba todos los días a la oficina"/>
    <s v="Mucho Mayor que cuando iba todos los días a la oficina"/>
    <s v="Mucho Mayor que cuando iba todos los días a la oficina"/>
    <s v="Mucho mayor que cuando iba todos los días a la oficina"/>
    <s v="Mucho Mayor que cuando iba todos los días a la oficina"/>
    <s v="Mucho Mayor que cuando iba todos los días a la oficina"/>
    <s v="Mucho Mayor que cuando iba todos los días a la oficina"/>
    <s v="Mucho Mayor que cuando iba todos los días a la oficina"/>
    <s v="Mucho Mayor que cuando iba todos los días a la oficina"/>
    <s v="Mucho mayor que cuando iba todos los días a la oficina"/>
    <s v="Mucho mas que cuando iba todos los días a la oficina"/>
    <s v="Mucho Mayores que cuando iba todos los días a la oficina"/>
    <s v="Mucho Mayor que cuando iba todos los días a la oficina"/>
    <s v="Mucho Mayor que cuando iba todos los días a la oficina"/>
    <s v="Mucho Mayor que cuando iba todos los días a la oficina"/>
    <s v="Mucho Mayor que cuando iba todos los días a la oficina"/>
    <s v="Mucho Mayor que cuando iba todos los días a la oficina"/>
    <s v="Mucho Mayor que cuando iba todos los días a la oficina"/>
    <s v="Mucho Mejor que cuando iba todos los días a la oficina"/>
    <s v="Mucho Mayor que cuando iba todos los días a la oficina"/>
    <s v="Mucho Mayor que cuando iba todos los días a la oficina"/>
    <s v="Mucho Mayor que cuando iba todos los días a la oficina"/>
    <s v="Mucho Mayor que cuando iba todos los días a la oficina"/>
    <s v="Mucho Mayor que cuando iba todos los días a la oficina"/>
    <s v="Mucho Mayores que cuando iba todos los días a la oficina"/>
    <s v="Mucho Mayor que cuando iba todos los días a la oficina"/>
    <s v="Mucho mayor que cuando iba todos los días a la oficina"/>
    <m/>
    <s v="301+ empleados"/>
    <n v="1"/>
  </r>
  <r>
    <s v="México"/>
    <s v="36+ años"/>
    <s v="Femenino"/>
    <s v="Maestrua"/>
    <s v="&lt;5 años"/>
    <s v="Planeador/ proyectos"/>
    <s v="Proyectos/ Transformación "/>
    <s v="&gt;500 empleados."/>
    <s v="Empresa que subcontrata (outsourcing) los servicios de otra del mismo país"/>
    <s v="Multinacional"/>
    <s v="Muy Frecuentemente"/>
    <s v="Alto"/>
    <s v="4-5 días"/>
    <s v="1-2 días"/>
    <s v="Remota ( todos los días en casa)"/>
    <s v="Consensuada por las dos partes"/>
    <s v="No sé"/>
    <s v="Igual que cuando iba todos los días a la oficina"/>
    <s v="Menor que cuando iba todos los días a la oficina"/>
    <s v="Igual que cuando iba todos los días a la oficina"/>
    <s v="Diferentes que cuando iba todos los días a la oficina, ahora necesito menos horas para hacer lo mismo"/>
    <s v="Casi todas por videoconferencia"/>
    <s v="Menor que cuando eran en la oficina"/>
    <s v="Mayor que cuando iba todos los días a la oficina"/>
    <s v="Mayor que cuando iba todos los días a la oficina"/>
    <s v="Mucho Mayor que cuando iba todos los días a la oficina"/>
    <s v="Mucho Mayor que cuando iba todos los días a la oficina"/>
    <x v="1"/>
    <x v="1"/>
    <x v="1"/>
    <s v="Igual que cuando iba todos los días a la oficina"/>
    <x v="5"/>
    <s v="Igual que cuando iba todos los días a la oficina"/>
    <s v="Igual que cuando iba todos los días a la oficina"/>
    <s v="Igual que cuando iba todos los días a la oficina"/>
    <s v="Igual que cuando iba todos los días a la oficina"/>
    <s v="Menos que cuando iba todos los días a la oficina"/>
    <s v="Igual que cuando iba todos los días a la oficina"/>
    <s v="Menos que cuando iba todos los días a la oficina"/>
    <s v="Menos que cuando iba todos los días a la oficina"/>
    <s v="Igual que cuando iba todos los días a la oficina"/>
    <s v="Iguales que cuando iba todos los días a la oficina"/>
    <s v="Igual que cuando iba todos los días a la oficina"/>
    <s v="Igual que cuando iba todos los días a la oficina"/>
    <s v="Menor que cuando iba todos los días a la oficina"/>
    <s v="Mayor que cuando iba todos los días a la oficina"/>
    <s v="Mucho menor que cuando iba todos los días a la oficina"/>
    <s v="Menor que cuando iba todos los días a la oficina"/>
    <s v="Menor que cuando iba todos los días a la oficina"/>
    <s v="Mayor que cuando iba todos los días a la oficina"/>
    <s v="Iguales que cuando iba todos los días a la oficina"/>
    <s v="Igual que cuando iba todos los días a la oficina"/>
    <s v="Iguales que cuando iba todos los días a la oficina"/>
    <s v="Igual que cuando iba todos los días a la oficina"/>
    <s v="Iguales que cuando iba todos los días a la oficina"/>
    <s v="Iguales que cuando iba todos los días a la oficina"/>
    <s v="Igual que cuando iba todos los días a la oficina"/>
    <s v="Igual que cuando iba todos los días a la oficina"/>
    <s v="Menores que cuando iba todos los días a la oficina"/>
    <s v="Mayor que cuando iba todos los días a la oficina"/>
    <s v="No tengo la información para contestar a la pregunta"/>
    <s v="No tengo la información para contestar a la pregunta"/>
    <s v="Iguales que cuando iba todos los días a la oficina"/>
    <s v="Mejor que cuando iba todos los días a la oficina"/>
    <s v="Mayor que cuando iba todos los días a la oficina"/>
    <s v="Mayor que cuando iba todos los días a la oficina"/>
    <s v="Mucho mayor que cuando iba todos los días a la oficina"/>
    <s v="Mayor que cuando iba todos los días a la oficina"/>
    <s v="Igual que cuando iba todos los días a la oficina"/>
    <s v="Igual que cuando iba todos los días a la oficina"/>
    <s v="Mayor que cuando iba todos los días a la oficina"/>
    <s v="Mayor que cuando iba todos los días a la oficina"/>
    <s v="Igual que cuando iba todos los días a la oficina"/>
    <s v="Mas que cuando iba todos los días a la oficina"/>
    <s v="Menores que cuando iba todos los días a la oficina"/>
    <s v="Igual que cuando iba todos los días a la oficina"/>
    <s v="Mucho Mayor que cuando iba todos los días a la oficina"/>
    <s v="Igual que cuando iba todos los días a la oficina"/>
    <s v="Menor que cuando iba todos los días a la oficina"/>
    <s v="Igual que cuando iba todos los días a la oficina"/>
    <s v="Igual que cuando iba todos los días a la oficina"/>
    <s v="Mejor que cuando iba todos los días a la oficina"/>
    <s v="Menor que cuando iba todos los días a la oficina"/>
    <s v="Menor que cuando iba todos los días a la oficina"/>
    <s v="Igual que cuando iba todos los días a la oficina"/>
    <s v="Igual que cuando iba todos los días a la oficina"/>
    <s v="Menor que cuando iba todos los días a la oficina"/>
    <s v="Iguales que cuando iba todos los días a la oficina"/>
    <s v="Mayor que cuando iba todos los días a la oficina"/>
    <s v="Mucho mayor que cuando iba todos los días a la oficina"/>
    <m/>
    <s v="301+ empleados"/>
    <n v="0"/>
  </r>
  <r>
    <s v="México"/>
    <s v="36+ años"/>
    <s v="Masculino"/>
    <s v="Licenciatura"/>
    <s v="5-10 años"/>
    <s v="Software developer"/>
    <s v="Software developer"/>
    <s v="&gt;500 empleados."/>
    <s v="Fábrica de Software"/>
    <s v="Multinacional"/>
    <s v="Frecuentemente"/>
    <s v="Alto"/>
    <s v="4-5 días"/>
    <s v="Ninguno"/>
    <s v="Remota ( todos los días en casa)"/>
    <s v="Consensuada por las dos partes"/>
    <s v="Totalmente de acuerdo"/>
    <s v="Igual que cuando iba todos los días a la oficina"/>
    <s v="Igual que cuando iba todos los días a la oficina"/>
    <s v="Igual que cuando iba todos los días a la oficina"/>
    <s v="Iguales que cuando iba todos los días a la oficina"/>
    <s v="Todas por videoconferencia"/>
    <s v="Menor que cuando eran en la oficina"/>
    <s v="Mayor que cuando iba todos los días a la oficina"/>
    <s v="Mayor que cuando iba todos los días a la oficina"/>
    <s v="Igual que cuando iba todos los días a la oficina"/>
    <s v="Igual que cuando iba todos los días a la oficina"/>
    <x v="4"/>
    <x v="3"/>
    <x v="1"/>
    <s v="Igual que cuando iba todos los días a la oficina"/>
    <x v="2"/>
    <s v="Igual que cuando iba todos los días a la oficina"/>
    <s v="Mucho menos que cuando iba todos los días a la oficina"/>
    <s v="Mucho menos que cuando iba todos los días a la oficina"/>
    <s v="Mucho menos que cuando iba todos los días a la oficina"/>
    <s v="Menos que cuando iba todos los días a la oficina"/>
    <s v="Menos que cuando iba todos los días a la oficina"/>
    <s v="Mas que cuando iba todos los días a la oficina"/>
    <s v="Igual que cuando iba todos los días a la oficina"/>
    <s v="Igual que cuando iba todos los días a la oficina"/>
    <s v="Iguales que cuando iba todos los días a la oficina"/>
    <s v="Mayor que cuando iba todos los días a la oficina"/>
    <s v="Igual que cuando iba todos los días a la oficina"/>
    <s v="Menor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es que cuando iba todos los días a la oficina"/>
    <s v="Menor que cuando iba todos los días a la oficina"/>
    <s v="Mayores que cuando iba todos los días a la oficina"/>
    <s v="Igual que cuando iba todos los días a la oficina"/>
    <s v="Mayores que cuando iba todos los días a la oficina"/>
    <s v="Mayores que cuando iba todos los días a la oficina"/>
    <s v="Más que cuando iba todos los días a la oficina"/>
    <s v="Igual que cuando iba todos los días a la oficina"/>
    <s v="Iguales que cuando iba todos los días a la oficina"/>
    <s v="Igual que cuando iba todos los días a la oficina"/>
    <s v="Igual que cuando iba todos los días a la oficina"/>
    <s v="Igual que cuando iba todos los días a la oficina"/>
    <s v="Iguales que cuando iba todos los días a la oficina"/>
    <s v="Igual que cuando iba todos los días a la oficina"/>
    <s v="Mayor que cuando iba todos los días a la oficina"/>
    <s v="Mayor que cuando iba todos los días a la oficina"/>
    <s v="Mayor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es que cuando iba todos los días a la oficina"/>
    <s v="Igual que cuando iba todos los días a la oficina"/>
    <s v="Mayor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es que cuando iba todos los días a la oficina"/>
    <s v="Mayor que cuando iba todos los días a la oficina"/>
    <s v="Mayor que cuando iba todos los días a la oficina"/>
    <m/>
    <s v="301+ empleados"/>
    <n v="0"/>
  </r>
  <r>
    <s v="México"/>
    <s v="36+ años"/>
    <s v="Masculino"/>
    <s v="Licenciatura"/>
    <s v="&lt;5 años"/>
    <s v="SUPERVISOR DE CUENTAS POR COBRAR"/>
    <s v="SUPERVISOR DE CUENTAS POR COBRAR"/>
    <s v="&gt;500 empleados."/>
    <s v="Empresa que subcontrata (outsourcing) los servicios de otra empresa situada en otro país"/>
    <s v="Multinacional"/>
    <s v="Muy Frecuentemente"/>
    <s v="Alto"/>
    <s v="4-5 días"/>
    <s v="Ninguno"/>
    <s v="Híbrida casa (más días en casa que en la oficina)"/>
    <s v="Impuesta por la empresa"/>
    <s v="En desacuerdo"/>
    <s v="Igual que cuando iba todos los días a la oficina"/>
    <s v="Igual que cuando iba todos los días a la oficina"/>
    <s v="Menor que cuando iba todos los días a la oficina"/>
    <s v="Muy diferentes que cuando iba todos los días a la oficina, ahora necesito muchas menos horas para hacer lo mismo"/>
    <s v="Todas por videoconferencia"/>
    <s v="Mucho menor que cuando eran en la oficina"/>
    <s v="Mayor que cuando iba todos los días a la oficina"/>
    <s v="Mayor que cuando iba todos los días a la oficina"/>
    <s v="Mayor que cuando iba todos los días a la oficina"/>
    <s v="Mayor que cuando iba todos los días a la oficina"/>
    <x v="0"/>
    <x v="0"/>
    <x v="2"/>
    <s v="Mayor que cuando iba todos los días a la oficina"/>
    <x v="2"/>
    <s v="Igual que cuando iba todos los días a la oficina"/>
    <s v="Igual que cuando iba todos los días a la oficina"/>
    <s v="Menos que cuando iba todos los días a la oficina"/>
    <s v="Igual que cuando iba todos los días a la oficina"/>
    <s v="Igual que cuando iba todos los días a la oficina"/>
    <s v="Igual que cuando iba todos los días a la oficina"/>
    <s v="Mas que cuando iba todos los días a la oficina"/>
    <s v="Igual que cuando iba todos los días a la oficina"/>
    <s v="Mas que cuando iba todos los días a la oficina"/>
    <s v="Iguales que cuando iba todos los días a la oficina"/>
    <s v="Igual que cuando iba todos los días a la oficina"/>
    <s v="Menor que cuando iba todos los días a la oficina"/>
    <s v="Menor que cuando iba todos los días a la oficina"/>
    <s v="Menor que cuando iba todos los días a la oficina"/>
    <s v="Mucho menor que cuando iba todos los días a la oficina"/>
    <s v="Menor que cuando iba todos los días a la oficina"/>
    <s v="Igual que cuando iba todos los días a la oficina"/>
    <s v="Igual que cuando iba todos los días a la oficina"/>
    <s v="Menores que cuando iba todos los días a la oficina"/>
    <s v="Igual que cuando iba todos los días a la oficina"/>
    <s v="Menores que cuando iba todos los días a la oficina"/>
    <s v="Igual que cuando iba todos los días a la oficina"/>
    <s v="Mayores que cuando iba todos los días a la oficina"/>
    <s v="Menores que cuando iba todos los días a la oficina"/>
    <s v="Menos que cuando iba todos los días a la oficina"/>
    <s v="Igual que cuando iba todos los días a la oficina"/>
    <s v="Mucho menores que cuando iba todos los días a la oficina"/>
    <s v="Mayor que cuando iba todos los días a la oficina"/>
    <s v="Igual que cuando iba todos los días a la oficina"/>
    <s v="Menos que cuando iba todos los días a la oficina"/>
    <s v="Menores que cuando iba todos los días a la oficina"/>
    <s v="Peor que cuando iba todos los días a la oficina"/>
    <s v="Igual que cuando iba todos los días a la oficina"/>
    <s v="Igual que cuando iba todos los días a la oficina"/>
    <s v="Mucho mayor que cuando iba todos los días a la oficina"/>
    <s v="Mucho Mayor que cuando iba todos los días a la oficina"/>
    <s v="Mucho Mayor que cuando iba todos los días a la oficina"/>
    <s v="Mucho Mayor que cuando iba todos los días a la oficina"/>
    <s v="Mayor que cuando iba todos los días a la oficina"/>
    <s v="Igual que cuando iba todos los días a la oficina"/>
    <s v="Igual que cuando iba todos los días a la oficina"/>
    <s v="Igual que cuando iba todos los días a la oficina"/>
    <s v="Iguales que cuando iba todos los días a la oficina"/>
    <s v="Igual que cuando iba todos los días a la oficina"/>
    <s v="Mayor que cuando iba todos los días a la oficina"/>
    <s v="Igual que cuando iba todos los días a la oficina"/>
    <s v="Mucho menor que cuando iba todos los días a la oficina"/>
    <s v="Igual que cuando iba todos los días a la oficina"/>
    <s v="Menor que cuando iba todos los días a la oficina"/>
    <s v="Mejor que cuando iba todos los días a la oficina"/>
    <s v="Mayor que cuando iba todos los días a la oficina"/>
    <s v="Mayor que cuando iba todos los días a la oficina"/>
    <s v="Mayor que cuando iba todos los días a la oficina"/>
    <s v="Igual que cuando iba todos los días a la oficina"/>
    <s v="Menor que cuando iba todos los días a la oficina"/>
    <s v="Mayores que cuando iba todos los días a la oficina"/>
    <s v="Igual que cuando iba todos los días a la oficina"/>
    <s v="Igual que cuando iba todos los días a la oficina"/>
    <s v="MANUELINX@GMAIL.COM"/>
    <s v="301+ empleados"/>
    <n v="1"/>
  </r>
  <r>
    <s v="México"/>
    <s v="36+ años"/>
    <s v="Masculino"/>
    <s v="Estudiante de Maestría"/>
    <s v="11-20 años"/>
    <s v="Trainer"/>
    <s v="Growth Lead"/>
    <s v="&lt;50 empleados"/>
    <s v="Fábrica de Software"/>
    <s v="Multinacional"/>
    <s v="Frecuentemente"/>
    <s v="Alto"/>
    <s v="4-5 días"/>
    <s v="Ninguno"/>
    <s v="Híbrida casa (más días en casa que en la oficina)"/>
    <s v="Impuesta por la empresa"/>
    <s v="En desacuerdo"/>
    <s v="Menor que cuando iba todos los días a la oficina"/>
    <s v="Menor que cuando iba todos los días a la oficina"/>
    <s v="Igual que cuando iba todos los días a la oficina"/>
    <s v="Iguales que cuando iba todos los días a la oficina"/>
    <s v="Todas por videoconferencia"/>
    <s v="Mayor que cuando eran en la oficina"/>
    <s v="Menor cuando iba todos los días a la oficina"/>
    <s v="Igual que cuando iba todos los días a la oficina"/>
    <s v="Menor que cuando iba todos los días a la oficina"/>
    <s v="Igual que cuando iba todos los días a la oficina"/>
    <x v="3"/>
    <x v="2"/>
    <x v="0"/>
    <s v="Menor que cuando iba todos los días a la oficina"/>
    <x v="4"/>
    <s v="No tengo la información para contestar a la pregunta"/>
    <s v="No trabajo con personas de distintas culturas"/>
    <s v="Igual que cuando iba todos los días a la oficina"/>
    <s v="Igual que cuando iba todos los días a la oficina"/>
    <s v="Igual que cuando iba todos los días a la oficina"/>
    <s v="Igual que cuando iba todos los días a la oficina"/>
    <s v="Mucho más que cuando iba todos los días a la oficina"/>
    <s v="Mas que cuando iba todos los días a la oficina"/>
    <s v="Mas que cuando iba todos los días a la oficina"/>
    <s v="Iguales que cuando iba todos los días a la oficina"/>
    <s v="Igual que cuando iba todos los días a la oficina"/>
    <s v="Igual que cuando iba todos los días a la oficina"/>
    <s v="Menor que cuando iba todos los días a la oficina"/>
    <s v="Menor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Iguales que cuando iba todos los días a la oficina"/>
    <s v="Igual que cuando iba todos los días a la oficina"/>
    <s v="No hay diferencias culturales en mi equipo"/>
    <s v="Igual que cuando iba todos los días a la oficina"/>
    <s v="Iguales que cuando iba todos los días a la oficina"/>
    <s v="Iguales que cuando iba todos los días a la oficina"/>
    <s v="Más que cuando iba todos los días a la oficina"/>
    <s v="Igual que cuando iba todos los días a la oficina"/>
    <s v="Iguales que cuando iba todos los días a la oficina"/>
    <s v="Menor que cuando iba todos los días a la oficina"/>
    <s v="Mayor que cuando iba todos los días a la oficina"/>
    <s v="Más que cuando iba todos los días a la oficina"/>
    <s v="Iguales que cuando iba todos los días a la oficina"/>
    <s v="Igual que cuando iba todos los días a la oficina"/>
    <s v="Menor que cuando iba todos los días a la oficina"/>
    <s v="Menor que cuando iba todos los días a la oficina"/>
    <s v="Menor que cuando iba todos los días a la oficina"/>
    <s v="Igual que cuando iba todos los días a la oficina"/>
    <s v="Igual que cuando iba todos los días a la oficina"/>
    <s v="Igual que cuando iba todos los días a la oficina"/>
    <s v="Igual que cuando iba todos los días a la oficina"/>
    <s v="Mucho menor que cuando iba todos los días a la oficina"/>
    <s v="Menor que cuando iba todos los días a la oficina"/>
    <s v="Igual que cuando iba todos los días a la oficina"/>
    <s v="Menores que cuando iba todos los días a la oficina"/>
    <s v="Igual que cuando iba todos los días a la oficina"/>
    <s v="Igual que cuando iba todos los días a la oficina"/>
    <s v="Menor que cuando iba todos los días a la oficina"/>
    <s v="Mayor que cuando iba todos los días a la oficina"/>
    <s v="Menor que cuando iba todos los días a la oficina"/>
    <s v="Menor que cuando iba todos los días a la oficina"/>
    <s v="Igual que cuando iba todos los días a la oficina"/>
    <s v="Menor que cuando iba todos los días a la oficina"/>
    <s v="Menor que cuando iba todos los días a la oficina"/>
    <s v="Menor que cuando iba todos los días a la oficina"/>
    <s v="Mucho Mayor que cuando iba todos los días a la oficina"/>
    <s v="Menor que cuando iba todos los días a la oficina"/>
    <s v="Iguales que cuando iba todos los días a la oficina"/>
    <s v="Menor que cuando iba todos los días a la oficina"/>
    <s v="Menor que cuando iba todos los días a la oficina"/>
    <m/>
    <s v="&lt;301 empleados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21D7C7-A0F9-4B7A-8ADD-7551EB5932D6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1:B27" firstHeaderRow="1" firstDataRow="1" firstDataCol="1"/>
  <pivotFields count="93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1"/>
        <item x="2"/>
        <item x="4"/>
        <item x="0"/>
        <item x="3"/>
        <item t="default"/>
      </items>
    </pivotField>
    <pivotField showAll="0"/>
    <pivotField showAll="0">
      <items count="5">
        <item x="3"/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¿En qué país resides?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F2520C-884C-4637-8805-B67BBF8E355F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2:B19" firstHeaderRow="1" firstDataRow="1" firstDataCol="1"/>
  <pivotFields count="93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6">
        <item x="1"/>
        <item x="0"/>
        <item x="4"/>
        <item x="3"/>
        <item x="2"/>
        <item t="default"/>
      </items>
    </pivotField>
    <pivotField showAll="0">
      <items count="5">
        <item x="3"/>
        <item x="0"/>
        <item x="2"/>
        <item x="1"/>
        <item t="default"/>
      </items>
    </pivotField>
    <pivotField showAll="0"/>
    <pivotField axis="axisRow" showAll="0">
      <items count="7">
        <item x="2"/>
        <item x="1"/>
        <item x="4"/>
        <item x="0"/>
        <item x="5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¿En qué país resides?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3DA96C-9AF8-4CAF-A625-A60F128947BA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93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3"/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9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¿En qué país resides?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23588-B33B-4DA3-802D-5D540EB0FA30}">
  <dimension ref="A3:B27"/>
  <sheetViews>
    <sheetView workbookViewId="0">
      <selection activeCell="B16" activeCellId="1" sqref="B14 B16"/>
    </sheetView>
  </sheetViews>
  <sheetFormatPr defaultRowHeight="13.2" x14ac:dyDescent="0.25"/>
  <cols>
    <col min="1" max="1" width="47.33203125" bestFit="1" customWidth="1"/>
    <col min="2" max="2" width="28.88671875" bestFit="1" customWidth="1"/>
  </cols>
  <sheetData>
    <row r="3" spans="1:2" x14ac:dyDescent="0.25">
      <c r="A3" s="117" t="s">
        <v>1849</v>
      </c>
      <c r="B3" t="s">
        <v>1851</v>
      </c>
    </row>
    <row r="4" spans="1:2" x14ac:dyDescent="0.25">
      <c r="A4" s="118" t="s">
        <v>185</v>
      </c>
      <c r="B4">
        <v>11</v>
      </c>
    </row>
    <row r="5" spans="1:2" x14ac:dyDescent="0.25">
      <c r="A5" s="118" t="s">
        <v>118</v>
      </c>
      <c r="B5">
        <v>99</v>
      </c>
    </row>
    <row r="6" spans="1:2" x14ac:dyDescent="0.25">
      <c r="A6" s="118" t="s">
        <v>167</v>
      </c>
      <c r="B6">
        <v>37</v>
      </c>
    </row>
    <row r="7" spans="1:2" x14ac:dyDescent="0.25">
      <c r="A7" s="118" t="s">
        <v>138</v>
      </c>
      <c r="B7">
        <v>85</v>
      </c>
    </row>
    <row r="8" spans="1:2" x14ac:dyDescent="0.25">
      <c r="A8" s="118" t="s">
        <v>1850</v>
      </c>
      <c r="B8">
        <v>232</v>
      </c>
    </row>
    <row r="12" spans="1:2" x14ac:dyDescent="0.25">
      <c r="A12" s="117" t="s">
        <v>1849</v>
      </c>
      <c r="B12" t="s">
        <v>1851</v>
      </c>
    </row>
    <row r="13" spans="1:2" x14ac:dyDescent="0.25">
      <c r="A13" s="118" t="s">
        <v>110</v>
      </c>
      <c r="B13">
        <v>88</v>
      </c>
    </row>
    <row r="14" spans="1:2" x14ac:dyDescent="0.25">
      <c r="A14" s="118" t="s">
        <v>111</v>
      </c>
      <c r="B14">
        <v>52</v>
      </c>
    </row>
    <row r="15" spans="1:2" x14ac:dyDescent="0.25">
      <c r="A15" s="118" t="s">
        <v>119</v>
      </c>
      <c r="B15">
        <v>37</v>
      </c>
    </row>
    <row r="16" spans="1:2" x14ac:dyDescent="0.25">
      <c r="A16" s="118" t="s">
        <v>120</v>
      </c>
      <c r="B16">
        <v>18</v>
      </c>
    </row>
    <row r="17" spans="1:2" x14ac:dyDescent="0.25">
      <c r="A17" s="118" t="s">
        <v>129</v>
      </c>
      <c r="B17">
        <v>9</v>
      </c>
    </row>
    <row r="18" spans="1:2" x14ac:dyDescent="0.25">
      <c r="A18" s="118" t="s">
        <v>168</v>
      </c>
      <c r="B18">
        <v>28</v>
      </c>
    </row>
    <row r="19" spans="1:2" x14ac:dyDescent="0.25">
      <c r="A19" s="118" t="s">
        <v>1850</v>
      </c>
      <c r="B19">
        <v>232</v>
      </c>
    </row>
    <row r="21" spans="1:2" x14ac:dyDescent="0.25">
      <c r="A21" s="117" t="s">
        <v>1849</v>
      </c>
      <c r="B21" t="s">
        <v>1851</v>
      </c>
    </row>
    <row r="22" spans="1:2" x14ac:dyDescent="0.25">
      <c r="A22" s="118" t="s">
        <v>110</v>
      </c>
      <c r="B22">
        <v>86</v>
      </c>
    </row>
    <row r="23" spans="1:2" x14ac:dyDescent="0.25">
      <c r="A23" s="118" t="s">
        <v>111</v>
      </c>
      <c r="B23">
        <v>59</v>
      </c>
    </row>
    <row r="24" spans="1:2" x14ac:dyDescent="0.25">
      <c r="A24" s="118" t="s">
        <v>119</v>
      </c>
      <c r="B24">
        <v>22</v>
      </c>
    </row>
    <row r="25" spans="1:2" x14ac:dyDescent="0.25">
      <c r="A25" s="118" t="s">
        <v>116</v>
      </c>
      <c r="B25">
        <v>61</v>
      </c>
    </row>
    <row r="26" spans="1:2" x14ac:dyDescent="0.25">
      <c r="A26" s="118" t="s">
        <v>129</v>
      </c>
      <c r="B26">
        <v>4</v>
      </c>
    </row>
    <row r="27" spans="1:2" x14ac:dyDescent="0.25">
      <c r="A27" s="118" t="s">
        <v>1850</v>
      </c>
      <c r="B27">
        <v>232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 summaryRight="0"/>
  </sheetPr>
  <dimension ref="A1:CP1000"/>
  <sheetViews>
    <sheetView tabSelected="1" topLeftCell="B1" zoomScale="101" workbookViewId="0">
      <pane ySplit="1" topLeftCell="A2" activePane="bottomLeft" state="frozen"/>
      <selection pane="bottomLeft" activeCell="D90" sqref="D90"/>
    </sheetView>
  </sheetViews>
  <sheetFormatPr defaultColWidth="12.6640625" defaultRowHeight="15.75" customHeight="1" x14ac:dyDescent="0.25"/>
  <cols>
    <col min="1" max="1" width="12.6640625" hidden="1"/>
    <col min="2" max="2" width="10" customWidth="1"/>
    <col min="3" max="3" width="10.44140625" customWidth="1"/>
    <col min="4" max="4" width="9.21875" customWidth="1"/>
    <col min="5" max="9" width="12.6640625" customWidth="1"/>
    <col min="10" max="10" width="70.109375" customWidth="1"/>
    <col min="11" max="11" width="12.6640625" customWidth="1"/>
    <col min="12" max="12" width="12.6640625" style="85" customWidth="1"/>
    <col min="13" max="13" width="10.109375" customWidth="1"/>
    <col min="14" max="15" width="12.6640625" style="85" customWidth="1"/>
    <col min="16" max="16" width="12.6640625" customWidth="1"/>
    <col min="17" max="17" width="12.6640625" style="116" customWidth="1"/>
    <col min="18" max="18" width="12.6640625" style="85" customWidth="1"/>
    <col min="19" max="21" width="12.6640625" customWidth="1"/>
    <col min="22" max="23" width="12.6640625" style="85" customWidth="1"/>
    <col min="24" max="24" width="12.6640625" style="116" customWidth="1"/>
    <col min="29" max="31" width="12.6640625" style="85"/>
    <col min="32" max="32" width="12.6640625" style="97"/>
    <col min="33" max="33" width="12.6640625" style="85"/>
    <col min="35" max="37" width="12.6640625" style="85"/>
    <col min="39" max="41" width="12.6640625" style="85"/>
    <col min="43" max="45" width="12.6640625" style="85"/>
    <col min="52" max="55" width="12.6640625" style="85"/>
    <col min="56" max="56" width="12.6640625" style="97"/>
    <col min="57" max="58" width="12.6640625" style="85"/>
    <col min="60" max="60" width="12.6640625" style="85"/>
    <col min="62" max="62" width="12.6640625" style="85"/>
    <col min="71" max="71" width="12.6640625" style="85"/>
    <col min="77" max="77" width="12.6640625" style="85"/>
    <col min="86" max="86" width="12.6640625" style="85"/>
    <col min="91" max="91" width="42.33203125" customWidth="1"/>
    <col min="94" max="94" width="15.44140625" customWidth="1"/>
  </cols>
  <sheetData>
    <row r="1" spans="1:94" ht="15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74" t="s">
        <v>11</v>
      </c>
      <c r="M1" s="2" t="s">
        <v>12</v>
      </c>
      <c r="N1" s="74" t="s">
        <v>13</v>
      </c>
      <c r="O1" s="74" t="s">
        <v>14</v>
      </c>
      <c r="P1" s="74" t="s">
        <v>15</v>
      </c>
      <c r="Q1" s="105" t="s">
        <v>16</v>
      </c>
      <c r="R1" s="74" t="s">
        <v>17</v>
      </c>
      <c r="S1" s="1" t="s">
        <v>18</v>
      </c>
      <c r="T1" s="1" t="s">
        <v>19</v>
      </c>
      <c r="U1" s="1" t="s">
        <v>20</v>
      </c>
      <c r="V1" s="74" t="s">
        <v>21</v>
      </c>
      <c r="W1" s="74" t="s">
        <v>22</v>
      </c>
      <c r="X1" s="105" t="s">
        <v>23</v>
      </c>
      <c r="Y1" s="70" t="s">
        <v>24</v>
      </c>
      <c r="Z1" s="1" t="s">
        <v>25</v>
      </c>
      <c r="AA1" s="1" t="s">
        <v>26</v>
      </c>
      <c r="AB1" s="1" t="s">
        <v>27</v>
      </c>
      <c r="AC1" s="74" t="s">
        <v>28</v>
      </c>
      <c r="AD1" s="74" t="s">
        <v>29</v>
      </c>
      <c r="AE1" s="74" t="s">
        <v>30</v>
      </c>
      <c r="AF1" s="86" t="s">
        <v>31</v>
      </c>
      <c r="AG1" s="74" t="s">
        <v>32</v>
      </c>
      <c r="AH1" s="1" t="s">
        <v>33</v>
      </c>
      <c r="AI1" s="74" t="s">
        <v>34</v>
      </c>
      <c r="AJ1" s="74" t="s">
        <v>35</v>
      </c>
      <c r="AK1" s="74" t="s">
        <v>36</v>
      </c>
      <c r="AL1" s="1" t="s">
        <v>37</v>
      </c>
      <c r="AM1" s="1" t="s">
        <v>38</v>
      </c>
      <c r="AN1" s="1" t="s">
        <v>39</v>
      </c>
      <c r="AO1" s="74" t="s">
        <v>40</v>
      </c>
      <c r="AP1" s="1" t="s">
        <v>41</v>
      </c>
      <c r="AQ1" s="74" t="s">
        <v>42</v>
      </c>
      <c r="AR1" s="74" t="s">
        <v>43</v>
      </c>
      <c r="AS1" s="1" t="s">
        <v>44</v>
      </c>
      <c r="AT1" s="3" t="s">
        <v>45</v>
      </c>
      <c r="AU1" s="4" t="s">
        <v>46</v>
      </c>
      <c r="AV1" s="1" t="s">
        <v>788</v>
      </c>
      <c r="AW1" s="1" t="s">
        <v>47</v>
      </c>
      <c r="AX1" s="1" t="s">
        <v>48</v>
      </c>
      <c r="AY1" s="1" t="s">
        <v>49</v>
      </c>
      <c r="AZ1" s="74" t="s">
        <v>50</v>
      </c>
      <c r="BA1" s="74" t="s">
        <v>51</v>
      </c>
      <c r="BB1" s="74" t="s">
        <v>52</v>
      </c>
      <c r="BC1" s="74" t="s">
        <v>53</v>
      </c>
      <c r="BD1" s="86" t="s">
        <v>54</v>
      </c>
      <c r="BE1" s="74" t="s">
        <v>55</v>
      </c>
      <c r="BF1" s="74" t="s">
        <v>56</v>
      </c>
      <c r="BG1" s="1" t="s">
        <v>57</v>
      </c>
      <c r="BH1" s="74" t="s">
        <v>58</v>
      </c>
      <c r="BI1" s="1" t="s">
        <v>59</v>
      </c>
      <c r="BJ1" s="74" t="s">
        <v>60</v>
      </c>
      <c r="BK1" s="1" t="s">
        <v>61</v>
      </c>
      <c r="BL1" s="1" t="s">
        <v>62</v>
      </c>
      <c r="BM1" s="1" t="s">
        <v>63</v>
      </c>
      <c r="BN1" s="5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74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74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74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66" t="s">
        <v>787</v>
      </c>
      <c r="CP1" s="66" t="s">
        <v>784</v>
      </c>
    </row>
    <row r="2" spans="1:94" ht="15.75" hidden="1" customHeight="1" x14ac:dyDescent="0.3">
      <c r="A2" s="6">
        <v>45594.110789398153</v>
      </c>
      <c r="B2" s="7" t="s">
        <v>91</v>
      </c>
      <c r="C2" s="7" t="s">
        <v>782</v>
      </c>
      <c r="D2" s="7" t="s">
        <v>93</v>
      </c>
      <c r="E2" s="7" t="s">
        <v>94</v>
      </c>
      <c r="F2" s="7" t="s">
        <v>96</v>
      </c>
      <c r="G2" s="7" t="s">
        <v>98</v>
      </c>
      <c r="H2" s="7" t="s">
        <v>99</v>
      </c>
      <c r="I2" s="7" t="s">
        <v>100</v>
      </c>
      <c r="J2" s="7" t="s">
        <v>101</v>
      </c>
      <c r="K2" s="7" t="s">
        <v>102</v>
      </c>
      <c r="L2" s="75" t="s">
        <v>103</v>
      </c>
      <c r="M2" s="8" t="s">
        <v>104</v>
      </c>
      <c r="N2" s="75" t="s">
        <v>105</v>
      </c>
      <c r="O2" s="75" t="s">
        <v>106</v>
      </c>
      <c r="P2" s="75" t="s">
        <v>107</v>
      </c>
      <c r="Q2" s="106" t="s">
        <v>108</v>
      </c>
      <c r="R2" s="7" t="s">
        <v>109</v>
      </c>
      <c r="S2" s="7" t="s">
        <v>110</v>
      </c>
      <c r="T2" s="7" t="s">
        <v>110</v>
      </c>
      <c r="U2" s="7" t="s">
        <v>111</v>
      </c>
      <c r="V2" s="75" t="s">
        <v>112</v>
      </c>
      <c r="W2" s="75" t="s">
        <v>113</v>
      </c>
      <c r="X2" s="106" t="s">
        <v>114</v>
      </c>
      <c r="Y2" s="71" t="s">
        <v>111</v>
      </c>
      <c r="Z2" s="7" t="s">
        <v>111</v>
      </c>
      <c r="AA2" s="7" t="s">
        <v>111</v>
      </c>
      <c r="AB2" s="7" t="s">
        <v>115</v>
      </c>
      <c r="AC2" s="75" t="s">
        <v>116</v>
      </c>
      <c r="AD2" s="75" t="s">
        <v>117</v>
      </c>
      <c r="AE2" s="75" t="s">
        <v>118</v>
      </c>
      <c r="AF2" s="87" t="s">
        <v>119</v>
      </c>
      <c r="AG2" s="75" t="s">
        <v>120</v>
      </c>
      <c r="AH2" s="7" t="s">
        <v>110</v>
      </c>
      <c r="AI2" s="75" t="s">
        <v>110</v>
      </c>
      <c r="AJ2" s="75" t="s">
        <v>121</v>
      </c>
      <c r="AK2" s="75" t="s">
        <v>121</v>
      </c>
      <c r="AL2" s="7" t="s">
        <v>122</v>
      </c>
      <c r="AM2" s="7" t="s">
        <v>110</v>
      </c>
      <c r="AN2" s="7" t="s">
        <v>123</v>
      </c>
      <c r="AO2" s="75" t="s">
        <v>110</v>
      </c>
      <c r="AP2" s="7" t="s">
        <v>123</v>
      </c>
      <c r="AQ2" s="75" t="s">
        <v>124</v>
      </c>
      <c r="AR2" s="75" t="s">
        <v>115</v>
      </c>
      <c r="AS2" s="7" t="s">
        <v>115</v>
      </c>
      <c r="AT2" s="9" t="s">
        <v>110</v>
      </c>
      <c r="AU2" s="10" t="s">
        <v>111</v>
      </c>
      <c r="AV2" s="7" t="s">
        <v>119</v>
      </c>
      <c r="AW2" s="7" t="s">
        <v>119</v>
      </c>
      <c r="AX2" s="7" t="s">
        <v>111</v>
      </c>
      <c r="AY2" s="7" t="s">
        <v>120</v>
      </c>
      <c r="AZ2" s="75" t="s">
        <v>125</v>
      </c>
      <c r="BA2" s="75" t="s">
        <v>120</v>
      </c>
      <c r="BB2" s="75" t="s">
        <v>126</v>
      </c>
      <c r="BC2" s="75" t="s">
        <v>120</v>
      </c>
      <c r="BD2" s="87" t="s">
        <v>125</v>
      </c>
      <c r="BE2" s="75" t="s">
        <v>125</v>
      </c>
      <c r="BF2" s="75" t="s">
        <v>110</v>
      </c>
      <c r="BG2" s="7" t="s">
        <v>119</v>
      </c>
      <c r="BH2" s="75" t="s">
        <v>124</v>
      </c>
      <c r="BI2" s="7" t="s">
        <v>120</v>
      </c>
      <c r="BJ2" s="75" t="s">
        <v>119</v>
      </c>
      <c r="BK2" s="7" t="s">
        <v>110</v>
      </c>
      <c r="BL2" s="7" t="s">
        <v>126</v>
      </c>
      <c r="BM2" s="7" t="s">
        <v>127</v>
      </c>
      <c r="BN2" s="11" t="s">
        <v>115</v>
      </c>
      <c r="BO2" s="7" t="s">
        <v>111</v>
      </c>
      <c r="BP2" s="7" t="s">
        <v>111</v>
      </c>
      <c r="BQ2" s="7" t="s">
        <v>119</v>
      </c>
      <c r="BR2" s="7" t="s">
        <v>111</v>
      </c>
      <c r="BS2" s="75" t="s">
        <v>110</v>
      </c>
      <c r="BT2" s="7" t="s">
        <v>115</v>
      </c>
      <c r="BU2" s="7" t="s">
        <v>110</v>
      </c>
      <c r="BV2" s="7" t="s">
        <v>111</v>
      </c>
      <c r="BW2" s="7" t="s">
        <v>128</v>
      </c>
      <c r="BX2" s="7" t="s">
        <v>126</v>
      </c>
      <c r="BY2" s="75" t="s">
        <v>111</v>
      </c>
      <c r="BZ2" s="7" t="s">
        <v>115</v>
      </c>
      <c r="CA2" s="7" t="s">
        <v>111</v>
      </c>
      <c r="CB2" s="7" t="s">
        <v>119</v>
      </c>
      <c r="CC2" s="7" t="s">
        <v>111</v>
      </c>
      <c r="CD2" s="7" t="s">
        <v>111</v>
      </c>
      <c r="CE2" s="7" t="s">
        <v>110</v>
      </c>
      <c r="CF2" s="7" t="s">
        <v>119</v>
      </c>
      <c r="CG2" s="7" t="s">
        <v>119</v>
      </c>
      <c r="CH2" s="75" t="s">
        <v>111</v>
      </c>
      <c r="CI2" s="7" t="s">
        <v>115</v>
      </c>
      <c r="CJ2" s="7" t="s">
        <v>129</v>
      </c>
      <c r="CK2" s="7" t="s">
        <v>125</v>
      </c>
      <c r="CL2" s="7" t="s">
        <v>110</v>
      </c>
      <c r="CM2" s="7" t="s">
        <v>110</v>
      </c>
      <c r="CN2" s="12" t="s">
        <v>130</v>
      </c>
      <c r="CO2" t="s">
        <v>786</v>
      </c>
      <c r="CP2">
        <f>IFERROR(VLOOKUP(H2,'Lista Lideres'!$A$1:$B$350,2,0),0)</f>
        <v>1</v>
      </c>
    </row>
    <row r="3" spans="1:94" ht="15.75" hidden="1" customHeight="1" x14ac:dyDescent="0.3">
      <c r="A3" s="13">
        <v>45569.678467800928</v>
      </c>
      <c r="B3" s="7" t="s">
        <v>91</v>
      </c>
      <c r="C3" s="14" t="s">
        <v>782</v>
      </c>
      <c r="D3" s="14" t="s">
        <v>131</v>
      </c>
      <c r="E3" s="14" t="s">
        <v>132</v>
      </c>
      <c r="F3" s="14" t="s">
        <v>97</v>
      </c>
      <c r="G3" s="14" t="s">
        <v>133</v>
      </c>
      <c r="H3" s="14" t="s">
        <v>134</v>
      </c>
      <c r="I3" s="14" t="s">
        <v>100</v>
      </c>
      <c r="J3" s="14" t="s">
        <v>101</v>
      </c>
      <c r="K3" s="14" t="s">
        <v>102</v>
      </c>
      <c r="L3" s="76" t="s">
        <v>135</v>
      </c>
      <c r="M3" s="8" t="s">
        <v>104</v>
      </c>
      <c r="N3" s="76" t="s">
        <v>105</v>
      </c>
      <c r="O3" s="76" t="s">
        <v>106</v>
      </c>
      <c r="P3" s="76" t="s">
        <v>107</v>
      </c>
      <c r="Q3" s="107" t="s">
        <v>108</v>
      </c>
      <c r="R3" s="14" t="s">
        <v>109</v>
      </c>
      <c r="S3" s="14" t="s">
        <v>110</v>
      </c>
      <c r="T3" s="14" t="s">
        <v>110</v>
      </c>
      <c r="U3" s="14" t="s">
        <v>110</v>
      </c>
      <c r="V3" s="76" t="s">
        <v>136</v>
      </c>
      <c r="W3" s="76" t="s">
        <v>113</v>
      </c>
      <c r="X3" s="107" t="s">
        <v>114</v>
      </c>
      <c r="Y3" s="72" t="s">
        <v>111</v>
      </c>
      <c r="Z3" s="14" t="s">
        <v>115</v>
      </c>
      <c r="AA3" s="14" t="s">
        <v>115</v>
      </c>
      <c r="AB3" s="14" t="s">
        <v>115</v>
      </c>
      <c r="AC3" s="76" t="s">
        <v>110</v>
      </c>
      <c r="AD3" s="76" t="s">
        <v>137</v>
      </c>
      <c r="AE3" s="76" t="s">
        <v>138</v>
      </c>
      <c r="AF3" s="88" t="s">
        <v>111</v>
      </c>
      <c r="AG3" s="76" t="s">
        <v>111</v>
      </c>
      <c r="AH3" s="14" t="s">
        <v>110</v>
      </c>
      <c r="AI3" s="76" t="s">
        <v>110</v>
      </c>
      <c r="AJ3" s="76" t="s">
        <v>110</v>
      </c>
      <c r="AK3" s="76" t="s">
        <v>110</v>
      </c>
      <c r="AL3" s="14" t="s">
        <v>110</v>
      </c>
      <c r="AM3" s="14" t="s">
        <v>128</v>
      </c>
      <c r="AN3" s="14" t="s">
        <v>110</v>
      </c>
      <c r="AO3" s="76" t="s">
        <v>110</v>
      </c>
      <c r="AP3" s="14" t="s">
        <v>110</v>
      </c>
      <c r="AQ3" s="76" t="s">
        <v>124</v>
      </c>
      <c r="AR3" s="76" t="s">
        <v>110</v>
      </c>
      <c r="AS3" s="14" t="s">
        <v>111</v>
      </c>
      <c r="AT3" s="16" t="s">
        <v>119</v>
      </c>
      <c r="AU3" s="17" t="s">
        <v>111</v>
      </c>
      <c r="AV3" s="14" t="s">
        <v>110</v>
      </c>
      <c r="AW3" s="14" t="s">
        <v>119</v>
      </c>
      <c r="AX3" s="14" t="s">
        <v>110</v>
      </c>
      <c r="AY3" s="14" t="s">
        <v>120</v>
      </c>
      <c r="AZ3" s="76" t="s">
        <v>126</v>
      </c>
      <c r="BA3" s="76" t="s">
        <v>111</v>
      </c>
      <c r="BB3" s="76" t="s">
        <v>139</v>
      </c>
      <c r="BC3" s="76" t="s">
        <v>111</v>
      </c>
      <c r="BD3" s="88" t="s">
        <v>126</v>
      </c>
      <c r="BE3" s="76" t="s">
        <v>140</v>
      </c>
      <c r="BF3" s="76" t="s">
        <v>141</v>
      </c>
      <c r="BG3" s="14" t="s">
        <v>110</v>
      </c>
      <c r="BH3" s="76" t="s">
        <v>142</v>
      </c>
      <c r="BI3" s="14" t="s">
        <v>120</v>
      </c>
      <c r="BJ3" s="76" t="s">
        <v>119</v>
      </c>
      <c r="BK3" s="14" t="s">
        <v>121</v>
      </c>
      <c r="BL3" s="14" t="s">
        <v>126</v>
      </c>
      <c r="BM3" s="14" t="s">
        <v>127</v>
      </c>
      <c r="BN3" s="18" t="s">
        <v>111</v>
      </c>
      <c r="BO3" s="14" t="s">
        <v>115</v>
      </c>
      <c r="BP3" s="14" t="s">
        <v>120</v>
      </c>
      <c r="BQ3" s="14" t="s">
        <v>111</v>
      </c>
      <c r="BR3" s="14" t="s">
        <v>110</v>
      </c>
      <c r="BS3" s="76" t="s">
        <v>111</v>
      </c>
      <c r="BT3" s="14" t="s">
        <v>111</v>
      </c>
      <c r="BU3" s="14" t="s">
        <v>110</v>
      </c>
      <c r="BV3" s="14" t="s">
        <v>119</v>
      </c>
      <c r="BW3" s="14" t="s">
        <v>110</v>
      </c>
      <c r="BX3" s="14" t="s">
        <v>126</v>
      </c>
      <c r="BY3" s="76" t="s">
        <v>111</v>
      </c>
      <c r="BZ3" s="14" t="s">
        <v>115</v>
      </c>
      <c r="CA3" s="14" t="s">
        <v>110</v>
      </c>
      <c r="CB3" s="14" t="s">
        <v>110</v>
      </c>
      <c r="CC3" s="14" t="s">
        <v>110</v>
      </c>
      <c r="CD3" s="14" t="s">
        <v>110</v>
      </c>
      <c r="CE3" s="14" t="s">
        <v>127</v>
      </c>
      <c r="CF3" s="14" t="s">
        <v>110</v>
      </c>
      <c r="CG3" s="14" t="s">
        <v>110</v>
      </c>
      <c r="CH3" s="76" t="s">
        <v>110</v>
      </c>
      <c r="CI3" s="14" t="s">
        <v>115</v>
      </c>
      <c r="CJ3" s="14" t="s">
        <v>110</v>
      </c>
      <c r="CK3" s="14" t="s">
        <v>126</v>
      </c>
      <c r="CL3" s="14" t="s">
        <v>110</v>
      </c>
      <c r="CM3" s="14" t="s">
        <v>110</v>
      </c>
      <c r="CN3" s="19"/>
      <c r="CO3" t="s">
        <v>786</v>
      </c>
      <c r="CP3">
        <f>IFERROR(VLOOKUP(H3,'Lista Lideres'!$A$1:$B$350,2,0),0)</f>
        <v>0</v>
      </c>
    </row>
    <row r="4" spans="1:94" ht="15.75" hidden="1" customHeight="1" x14ac:dyDescent="0.3">
      <c r="A4" s="6">
        <v>45572.097800243057</v>
      </c>
      <c r="B4" s="7" t="s">
        <v>91</v>
      </c>
      <c r="C4" s="7" t="s">
        <v>782</v>
      </c>
      <c r="D4" s="7" t="s">
        <v>131</v>
      </c>
      <c r="E4" s="7" t="s">
        <v>144</v>
      </c>
      <c r="F4" s="7" t="s">
        <v>146</v>
      </c>
      <c r="G4" s="7" t="s">
        <v>147</v>
      </c>
      <c r="H4" s="7" t="s">
        <v>148</v>
      </c>
      <c r="I4" s="7" t="s">
        <v>149</v>
      </c>
      <c r="J4" s="7" t="s">
        <v>101</v>
      </c>
      <c r="K4" s="7" t="s">
        <v>102</v>
      </c>
      <c r="L4" s="75" t="s">
        <v>150</v>
      </c>
      <c r="M4" s="8" t="s">
        <v>104</v>
      </c>
      <c r="N4" s="75" t="s">
        <v>105</v>
      </c>
      <c r="O4" s="75" t="s">
        <v>106</v>
      </c>
      <c r="P4" s="75" t="s">
        <v>107</v>
      </c>
      <c r="Q4" s="106" t="s">
        <v>151</v>
      </c>
      <c r="R4" s="7" t="s">
        <v>109</v>
      </c>
      <c r="S4" s="7" t="s">
        <v>111</v>
      </c>
      <c r="T4" s="7" t="s">
        <v>111</v>
      </c>
      <c r="U4" s="7" t="s">
        <v>111</v>
      </c>
      <c r="V4" s="75" t="s">
        <v>112</v>
      </c>
      <c r="W4" s="75" t="s">
        <v>152</v>
      </c>
      <c r="X4" s="106" t="s">
        <v>153</v>
      </c>
      <c r="Y4" s="71" t="s">
        <v>111</v>
      </c>
      <c r="Z4" s="7" t="s">
        <v>115</v>
      </c>
      <c r="AA4" s="7" t="s">
        <v>115</v>
      </c>
      <c r="AB4" s="7" t="s">
        <v>111</v>
      </c>
      <c r="AC4" s="75" t="s">
        <v>116</v>
      </c>
      <c r="AD4" s="75" t="s">
        <v>117</v>
      </c>
      <c r="AE4" s="75" t="s">
        <v>138</v>
      </c>
      <c r="AF4" s="87" t="s">
        <v>110</v>
      </c>
      <c r="AG4" s="75" t="s">
        <v>110</v>
      </c>
      <c r="AH4" s="7" t="s">
        <v>110</v>
      </c>
      <c r="AI4" s="75" t="s">
        <v>154</v>
      </c>
      <c r="AJ4" s="75" t="s">
        <v>121</v>
      </c>
      <c r="AK4" s="75" t="s">
        <v>121</v>
      </c>
      <c r="AL4" s="7" t="s">
        <v>110</v>
      </c>
      <c r="AM4" s="7" t="s">
        <v>110</v>
      </c>
      <c r="AN4" s="7" t="s">
        <v>110</v>
      </c>
      <c r="AO4" s="75" t="s">
        <v>110</v>
      </c>
      <c r="AP4" s="7" t="s">
        <v>110</v>
      </c>
      <c r="AQ4" s="75" t="s">
        <v>125</v>
      </c>
      <c r="AR4" s="75" t="s">
        <v>110</v>
      </c>
      <c r="AS4" s="7" t="s">
        <v>110</v>
      </c>
      <c r="AT4" s="9" t="s">
        <v>129</v>
      </c>
      <c r="AU4" s="10" t="s">
        <v>110</v>
      </c>
      <c r="AV4" s="7" t="s">
        <v>110</v>
      </c>
      <c r="AW4" s="7" t="s">
        <v>110</v>
      </c>
      <c r="AX4" s="7" t="s">
        <v>110</v>
      </c>
      <c r="AY4" s="7" t="s">
        <v>120</v>
      </c>
      <c r="AZ4" s="75" t="s">
        <v>142</v>
      </c>
      <c r="BA4" s="75" t="s">
        <v>129</v>
      </c>
      <c r="BB4" s="75" t="s">
        <v>139</v>
      </c>
      <c r="BC4" s="75" t="s">
        <v>111</v>
      </c>
      <c r="BD4" s="87" t="s">
        <v>126</v>
      </c>
      <c r="BE4" s="75" t="s">
        <v>140</v>
      </c>
      <c r="BF4" s="75" t="s">
        <v>128</v>
      </c>
      <c r="BG4" s="7" t="s">
        <v>110</v>
      </c>
      <c r="BH4" s="75" t="s">
        <v>142</v>
      </c>
      <c r="BI4" s="7" t="s">
        <v>120</v>
      </c>
      <c r="BJ4" s="75" t="s">
        <v>119</v>
      </c>
      <c r="BK4" s="7" t="s">
        <v>128</v>
      </c>
      <c r="BL4" s="7" t="s">
        <v>125</v>
      </c>
      <c r="BM4" s="7" t="s">
        <v>110</v>
      </c>
      <c r="BN4" s="11" t="s">
        <v>111</v>
      </c>
      <c r="BO4" s="7" t="s">
        <v>111</v>
      </c>
      <c r="BP4" s="7" t="s">
        <v>111</v>
      </c>
      <c r="BQ4" s="7" t="s">
        <v>110</v>
      </c>
      <c r="BR4" s="7" t="s">
        <v>110</v>
      </c>
      <c r="BS4" s="75" t="s">
        <v>110</v>
      </c>
      <c r="BT4" s="7" t="s">
        <v>111</v>
      </c>
      <c r="BU4" s="7" t="s">
        <v>110</v>
      </c>
      <c r="BV4" s="7" t="s">
        <v>110</v>
      </c>
      <c r="BW4" s="7" t="s">
        <v>128</v>
      </c>
      <c r="BX4" s="7" t="s">
        <v>126</v>
      </c>
      <c r="BY4" s="75" t="s">
        <v>111</v>
      </c>
      <c r="BZ4" s="7" t="s">
        <v>115</v>
      </c>
      <c r="CA4" s="7" t="s">
        <v>111</v>
      </c>
      <c r="CB4" s="7" t="s">
        <v>119</v>
      </c>
      <c r="CC4" s="7" t="s">
        <v>119</v>
      </c>
      <c r="CD4" s="7" t="s">
        <v>119</v>
      </c>
      <c r="CE4" s="7" t="s">
        <v>127</v>
      </c>
      <c r="CF4" s="7" t="s">
        <v>111</v>
      </c>
      <c r="CG4" s="7" t="s">
        <v>110</v>
      </c>
      <c r="CH4" s="75" t="s">
        <v>111</v>
      </c>
      <c r="CI4" s="7" t="s">
        <v>111</v>
      </c>
      <c r="CJ4" s="7" t="s">
        <v>119</v>
      </c>
      <c r="CK4" s="7" t="s">
        <v>125</v>
      </c>
      <c r="CL4" s="7" t="s">
        <v>119</v>
      </c>
      <c r="CM4" s="7" t="s">
        <v>111</v>
      </c>
      <c r="CN4" s="12" t="s">
        <v>155</v>
      </c>
      <c r="CO4" t="s">
        <v>785</v>
      </c>
      <c r="CP4">
        <f>IFERROR(VLOOKUP(H4,'Lista Lideres'!$A$1:$B$350,2,0),0)</f>
        <v>1</v>
      </c>
    </row>
    <row r="5" spans="1:94" ht="15.75" hidden="1" customHeight="1" x14ac:dyDescent="0.3">
      <c r="A5" s="13">
        <v>45596.597350601849</v>
      </c>
      <c r="B5" s="7" t="s">
        <v>91</v>
      </c>
      <c r="C5" s="20" t="s">
        <v>782</v>
      </c>
      <c r="D5" s="20" t="s">
        <v>93</v>
      </c>
      <c r="E5" s="20" t="s">
        <v>156</v>
      </c>
      <c r="F5" s="20" t="s">
        <v>96</v>
      </c>
      <c r="G5" s="20" t="s">
        <v>159</v>
      </c>
      <c r="H5" s="20" t="s">
        <v>160</v>
      </c>
      <c r="I5" s="20" t="s">
        <v>161</v>
      </c>
      <c r="J5" s="20" t="s">
        <v>101</v>
      </c>
      <c r="K5" s="20" t="s">
        <v>102</v>
      </c>
      <c r="L5" s="77" t="s">
        <v>162</v>
      </c>
      <c r="M5" s="8" t="s">
        <v>104</v>
      </c>
      <c r="N5" s="77" t="s">
        <v>105</v>
      </c>
      <c r="O5" s="77" t="s">
        <v>106</v>
      </c>
      <c r="P5" s="77" t="s">
        <v>107</v>
      </c>
      <c r="Q5" s="108" t="s">
        <v>163</v>
      </c>
      <c r="R5" s="20" t="s">
        <v>164</v>
      </c>
      <c r="S5" s="20" t="s">
        <v>120</v>
      </c>
      <c r="T5" s="20" t="s">
        <v>119</v>
      </c>
      <c r="U5" s="20" t="s">
        <v>110</v>
      </c>
      <c r="V5" s="77" t="s">
        <v>126</v>
      </c>
      <c r="W5" s="77" t="s">
        <v>113</v>
      </c>
      <c r="X5" s="108" t="s">
        <v>165</v>
      </c>
      <c r="Y5" s="73" t="s">
        <v>115</v>
      </c>
      <c r="Z5" s="20" t="s">
        <v>111</v>
      </c>
      <c r="AA5" s="20" t="s">
        <v>111</v>
      </c>
      <c r="AB5" s="20" t="s">
        <v>115</v>
      </c>
      <c r="AC5" s="77" t="s">
        <v>116</v>
      </c>
      <c r="AD5" s="77" t="s">
        <v>166</v>
      </c>
      <c r="AE5" s="77" t="s">
        <v>167</v>
      </c>
      <c r="AF5" s="89" t="s">
        <v>120</v>
      </c>
      <c r="AG5" s="77" t="s">
        <v>110</v>
      </c>
      <c r="AH5" s="20" t="s">
        <v>110</v>
      </c>
      <c r="AI5" s="77" t="s">
        <v>121</v>
      </c>
      <c r="AJ5" s="77" t="s">
        <v>121</v>
      </c>
      <c r="AK5" s="77" t="s">
        <v>121</v>
      </c>
      <c r="AL5" s="20" t="s">
        <v>168</v>
      </c>
      <c r="AM5" s="20" t="s">
        <v>110</v>
      </c>
      <c r="AN5" s="20" t="s">
        <v>121</v>
      </c>
      <c r="AO5" s="77" t="s">
        <v>110</v>
      </c>
      <c r="AP5" s="20" t="s">
        <v>110</v>
      </c>
      <c r="AQ5" s="77" t="s">
        <v>124</v>
      </c>
      <c r="AR5" s="77" t="s">
        <v>111</v>
      </c>
      <c r="AS5" s="20" t="s">
        <v>110</v>
      </c>
      <c r="AT5" s="22" t="s">
        <v>129</v>
      </c>
      <c r="AU5" s="23" t="s">
        <v>115</v>
      </c>
      <c r="AV5" s="20" t="s">
        <v>129</v>
      </c>
      <c r="AW5" s="20" t="s">
        <v>129</v>
      </c>
      <c r="AX5" s="20" t="s">
        <v>110</v>
      </c>
      <c r="AY5" s="20" t="s">
        <v>111</v>
      </c>
      <c r="AZ5" s="77" t="s">
        <v>125</v>
      </c>
      <c r="BA5" s="77" t="s">
        <v>111</v>
      </c>
      <c r="BB5" s="77" t="s">
        <v>125</v>
      </c>
      <c r="BC5" s="77" t="s">
        <v>110</v>
      </c>
      <c r="BD5" s="89" t="s">
        <v>126</v>
      </c>
      <c r="BE5" s="77" t="s">
        <v>142</v>
      </c>
      <c r="BF5" s="77" t="s">
        <v>128</v>
      </c>
      <c r="BG5" s="20" t="s">
        <v>110</v>
      </c>
      <c r="BH5" s="77" t="s">
        <v>142</v>
      </c>
      <c r="BI5" s="20" t="s">
        <v>120</v>
      </c>
      <c r="BJ5" s="77" t="s">
        <v>110</v>
      </c>
      <c r="BK5" s="20" t="s">
        <v>110</v>
      </c>
      <c r="BL5" s="20" t="s">
        <v>126</v>
      </c>
      <c r="BM5" s="20" t="s">
        <v>110</v>
      </c>
      <c r="BN5" s="24" t="s">
        <v>115</v>
      </c>
      <c r="BO5" s="20" t="s">
        <v>110</v>
      </c>
      <c r="BP5" s="20" t="s">
        <v>120</v>
      </c>
      <c r="BQ5" s="20" t="s">
        <v>115</v>
      </c>
      <c r="BR5" s="20" t="s">
        <v>110</v>
      </c>
      <c r="BS5" s="77" t="s">
        <v>115</v>
      </c>
      <c r="BT5" s="20" t="s">
        <v>115</v>
      </c>
      <c r="BU5" s="20" t="s">
        <v>119</v>
      </c>
      <c r="BV5" s="20" t="s">
        <v>111</v>
      </c>
      <c r="BW5" s="20" t="s">
        <v>110</v>
      </c>
      <c r="BX5" s="20" t="s">
        <v>126</v>
      </c>
      <c r="BY5" s="77" t="s">
        <v>115</v>
      </c>
      <c r="BZ5" s="20" t="s">
        <v>115</v>
      </c>
      <c r="CA5" s="20" t="s">
        <v>110</v>
      </c>
      <c r="CB5" s="20" t="s">
        <v>119</v>
      </c>
      <c r="CC5" s="20" t="s">
        <v>110</v>
      </c>
      <c r="CD5" s="20" t="s">
        <v>111</v>
      </c>
      <c r="CE5" s="20" t="s">
        <v>127</v>
      </c>
      <c r="CF5" s="20" t="s">
        <v>119</v>
      </c>
      <c r="CG5" s="20" t="s">
        <v>129</v>
      </c>
      <c r="CH5" s="77" t="s">
        <v>110</v>
      </c>
      <c r="CI5" s="20" t="s">
        <v>111</v>
      </c>
      <c r="CJ5" s="20" t="s">
        <v>110</v>
      </c>
      <c r="CK5" s="20" t="s">
        <v>126</v>
      </c>
      <c r="CL5" s="20" t="s">
        <v>110</v>
      </c>
      <c r="CM5" s="20" t="s">
        <v>120</v>
      </c>
      <c r="CN5" s="21"/>
      <c r="CO5" t="s">
        <v>785</v>
      </c>
      <c r="CP5">
        <f>IFERROR(VLOOKUP(H5,'Lista Lideres'!$A$1:$B$350,2,0),0)</f>
        <v>0</v>
      </c>
    </row>
    <row r="6" spans="1:94" ht="15.75" hidden="1" customHeight="1" x14ac:dyDescent="0.3">
      <c r="A6" s="25">
        <v>45573.742751666665</v>
      </c>
      <c r="B6" s="26" t="s">
        <v>169</v>
      </c>
      <c r="C6" s="27" t="s">
        <v>782</v>
      </c>
      <c r="D6" s="27" t="s">
        <v>93</v>
      </c>
      <c r="E6" s="27" t="s">
        <v>170</v>
      </c>
      <c r="F6" s="27" t="s">
        <v>171</v>
      </c>
      <c r="G6" s="27" t="s">
        <v>172</v>
      </c>
      <c r="H6" s="27" t="s">
        <v>172</v>
      </c>
      <c r="I6" s="27" t="s">
        <v>100</v>
      </c>
      <c r="J6" s="27" t="s">
        <v>173</v>
      </c>
      <c r="K6" s="27" t="s">
        <v>174</v>
      </c>
      <c r="L6" s="78" t="s">
        <v>135</v>
      </c>
      <c r="M6" s="8" t="s">
        <v>104</v>
      </c>
      <c r="N6" s="78" t="s">
        <v>105</v>
      </c>
      <c r="O6" s="78" t="s">
        <v>106</v>
      </c>
      <c r="P6" s="78" t="s">
        <v>175</v>
      </c>
      <c r="Q6" s="109" t="s">
        <v>151</v>
      </c>
      <c r="R6" s="27" t="s">
        <v>176</v>
      </c>
      <c r="S6" s="27" t="s">
        <v>119</v>
      </c>
      <c r="T6" s="27" t="s">
        <v>110</v>
      </c>
      <c r="U6" s="27" t="s">
        <v>110</v>
      </c>
      <c r="V6" s="78" t="s">
        <v>126</v>
      </c>
      <c r="W6" s="78" t="s">
        <v>113</v>
      </c>
      <c r="X6" s="109" t="s">
        <v>114</v>
      </c>
      <c r="Y6" s="27" t="s">
        <v>110</v>
      </c>
      <c r="Z6" s="27" t="s">
        <v>110</v>
      </c>
      <c r="AA6" s="27" t="s">
        <v>119</v>
      </c>
      <c r="AB6" s="27" t="s">
        <v>110</v>
      </c>
      <c r="AC6" s="78" t="s">
        <v>116</v>
      </c>
      <c r="AD6" s="78" t="s">
        <v>117</v>
      </c>
      <c r="AE6" s="78" t="s">
        <v>138</v>
      </c>
      <c r="AF6" s="90" t="s">
        <v>111</v>
      </c>
      <c r="AG6" s="78" t="s">
        <v>111</v>
      </c>
      <c r="AH6" s="27" t="s">
        <v>122</v>
      </c>
      <c r="AI6" s="78" t="s">
        <v>110</v>
      </c>
      <c r="AJ6" s="78" t="s">
        <v>177</v>
      </c>
      <c r="AK6" s="78" t="s">
        <v>177</v>
      </c>
      <c r="AL6" s="27" t="s">
        <v>110</v>
      </c>
      <c r="AM6" s="27" t="s">
        <v>110</v>
      </c>
      <c r="AN6" s="27" t="s">
        <v>123</v>
      </c>
      <c r="AO6" s="78" t="s">
        <v>123</v>
      </c>
      <c r="AP6" s="27" t="s">
        <v>178</v>
      </c>
      <c r="AQ6" s="78" t="s">
        <v>125</v>
      </c>
      <c r="AR6" s="78" t="s">
        <v>110</v>
      </c>
      <c r="AS6" s="27" t="s">
        <v>110</v>
      </c>
      <c r="AT6" s="22" t="s">
        <v>110</v>
      </c>
      <c r="AU6" s="23" t="s">
        <v>110</v>
      </c>
      <c r="AV6" s="27" t="s">
        <v>110</v>
      </c>
      <c r="AW6" s="27" t="s">
        <v>110</v>
      </c>
      <c r="AX6" s="27" t="s">
        <v>110</v>
      </c>
      <c r="AY6" s="27" t="s">
        <v>120</v>
      </c>
      <c r="AZ6" s="78" t="s">
        <v>126</v>
      </c>
      <c r="BA6" s="78" t="s">
        <v>120</v>
      </c>
      <c r="BB6" s="78" t="s">
        <v>126</v>
      </c>
      <c r="BC6" s="78" t="s">
        <v>110</v>
      </c>
      <c r="BD6" s="90" t="s">
        <v>124</v>
      </c>
      <c r="BE6" s="78" t="s">
        <v>126</v>
      </c>
      <c r="BF6" s="78" t="s">
        <v>122</v>
      </c>
      <c r="BG6" s="27" t="s">
        <v>110</v>
      </c>
      <c r="BH6" s="78" t="s">
        <v>126</v>
      </c>
      <c r="BI6" s="27" t="s">
        <v>111</v>
      </c>
      <c r="BJ6" s="78" t="s">
        <v>110</v>
      </c>
      <c r="BK6" s="27" t="s">
        <v>177</v>
      </c>
      <c r="BL6" s="27" t="s">
        <v>126</v>
      </c>
      <c r="BM6" s="27" t="s">
        <v>110</v>
      </c>
      <c r="BN6" s="24" t="s">
        <v>110</v>
      </c>
      <c r="BO6" s="27" t="s">
        <v>110</v>
      </c>
      <c r="BP6" s="27" t="s">
        <v>120</v>
      </c>
      <c r="BQ6" s="27" t="s">
        <v>110</v>
      </c>
      <c r="BR6" s="27" t="s">
        <v>110</v>
      </c>
      <c r="BS6" s="78" t="s">
        <v>110</v>
      </c>
      <c r="BT6" s="27" t="s">
        <v>115</v>
      </c>
      <c r="BU6" s="27" t="s">
        <v>110</v>
      </c>
      <c r="BV6" s="27" t="s">
        <v>110</v>
      </c>
      <c r="BW6" s="27" t="s">
        <v>110</v>
      </c>
      <c r="BX6" s="27" t="s">
        <v>126</v>
      </c>
      <c r="BY6" s="78" t="s">
        <v>110</v>
      </c>
      <c r="BZ6" s="27" t="s">
        <v>115</v>
      </c>
      <c r="CA6" s="27" t="s">
        <v>110</v>
      </c>
      <c r="CB6" s="27" t="s">
        <v>110</v>
      </c>
      <c r="CC6" s="27" t="s">
        <v>110</v>
      </c>
      <c r="CD6" s="27" t="s">
        <v>110</v>
      </c>
      <c r="CE6" s="27" t="s">
        <v>110</v>
      </c>
      <c r="CF6" s="27" t="s">
        <v>110</v>
      </c>
      <c r="CG6" s="27" t="s">
        <v>110</v>
      </c>
      <c r="CH6" s="78" t="s">
        <v>110</v>
      </c>
      <c r="CI6" s="27" t="s">
        <v>110</v>
      </c>
      <c r="CJ6" s="27" t="s">
        <v>110</v>
      </c>
      <c r="CK6" s="27" t="s">
        <v>126</v>
      </c>
      <c r="CL6" s="27" t="s">
        <v>110</v>
      </c>
      <c r="CM6" s="27" t="s">
        <v>111</v>
      </c>
      <c r="CN6" s="27" t="s">
        <v>179</v>
      </c>
      <c r="CO6" t="s">
        <v>786</v>
      </c>
      <c r="CP6">
        <f>IFERROR(VLOOKUP(H6,'Lista Lideres'!$A$1:$B$350,2,0),0)</f>
        <v>0</v>
      </c>
    </row>
    <row r="7" spans="1:94" ht="15.75" hidden="1" customHeight="1" x14ac:dyDescent="0.3">
      <c r="A7" s="29">
        <v>45572.984845185187</v>
      </c>
      <c r="B7" s="26" t="s">
        <v>169</v>
      </c>
      <c r="C7" s="30" t="s">
        <v>782</v>
      </c>
      <c r="D7" s="30" t="s">
        <v>93</v>
      </c>
      <c r="E7" s="30" t="s">
        <v>180</v>
      </c>
      <c r="F7" s="30" t="s">
        <v>96</v>
      </c>
      <c r="G7" s="30" t="s">
        <v>182</v>
      </c>
      <c r="H7" s="30" t="s">
        <v>159</v>
      </c>
      <c r="I7" s="30" t="s">
        <v>161</v>
      </c>
      <c r="J7" s="30" t="s">
        <v>183</v>
      </c>
      <c r="K7" s="30" t="s">
        <v>102</v>
      </c>
      <c r="L7" s="79" t="s">
        <v>150</v>
      </c>
      <c r="M7" s="8" t="s">
        <v>104</v>
      </c>
      <c r="N7" s="79" t="s">
        <v>105</v>
      </c>
      <c r="O7" s="79" t="s">
        <v>106</v>
      </c>
      <c r="P7" s="79" t="s">
        <v>107</v>
      </c>
      <c r="Q7" s="110" t="s">
        <v>163</v>
      </c>
      <c r="R7" s="79" t="s">
        <v>184</v>
      </c>
      <c r="S7" s="30" t="s">
        <v>119</v>
      </c>
      <c r="T7" s="30" t="s">
        <v>115</v>
      </c>
      <c r="U7" s="30" t="s">
        <v>115</v>
      </c>
      <c r="V7" s="79" t="s">
        <v>136</v>
      </c>
      <c r="W7" s="79" t="s">
        <v>113</v>
      </c>
      <c r="X7" s="110" t="s">
        <v>165</v>
      </c>
      <c r="Y7" s="30" t="s">
        <v>115</v>
      </c>
      <c r="Z7" s="30" t="s">
        <v>115</v>
      </c>
      <c r="AA7" s="30" t="s">
        <v>115</v>
      </c>
      <c r="AB7" s="30" t="s">
        <v>119</v>
      </c>
      <c r="AC7" s="79" t="s">
        <v>116</v>
      </c>
      <c r="AD7" s="79" t="s">
        <v>117</v>
      </c>
      <c r="AE7" s="79" t="s">
        <v>185</v>
      </c>
      <c r="AF7" s="91" t="s">
        <v>110</v>
      </c>
      <c r="AG7" s="79" t="s">
        <v>168</v>
      </c>
      <c r="AH7" s="30" t="s">
        <v>121</v>
      </c>
      <c r="AI7" s="79" t="s">
        <v>122</v>
      </c>
      <c r="AJ7" s="79" t="s">
        <v>122</v>
      </c>
      <c r="AK7" s="79" t="s">
        <v>128</v>
      </c>
      <c r="AL7" s="30" t="s">
        <v>177</v>
      </c>
      <c r="AM7" s="30" t="s">
        <v>123</v>
      </c>
      <c r="AN7" s="30" t="s">
        <v>177</v>
      </c>
      <c r="AO7" s="79" t="s">
        <v>110</v>
      </c>
      <c r="AP7" s="30" t="s">
        <v>110</v>
      </c>
      <c r="AQ7" s="79" t="s">
        <v>126</v>
      </c>
      <c r="AR7" s="79" t="s">
        <v>110</v>
      </c>
      <c r="AS7" s="30" t="s">
        <v>115</v>
      </c>
      <c r="AT7" s="16" t="s">
        <v>129</v>
      </c>
      <c r="AU7" s="17" t="s">
        <v>115</v>
      </c>
      <c r="AV7" s="30" t="s">
        <v>129</v>
      </c>
      <c r="AW7" s="30" t="s">
        <v>129</v>
      </c>
      <c r="AX7" s="30" t="s">
        <v>129</v>
      </c>
      <c r="AY7" s="30" t="s">
        <v>120</v>
      </c>
      <c r="AZ7" s="79" t="s">
        <v>142</v>
      </c>
      <c r="BA7" s="79" t="s">
        <v>120</v>
      </c>
      <c r="BB7" s="79" t="s">
        <v>126</v>
      </c>
      <c r="BC7" s="79" t="s">
        <v>120</v>
      </c>
      <c r="BD7" s="91" t="s">
        <v>124</v>
      </c>
      <c r="BE7" s="79" t="s">
        <v>140</v>
      </c>
      <c r="BF7" s="79" t="s">
        <v>122</v>
      </c>
      <c r="BG7" s="30" t="s">
        <v>119</v>
      </c>
      <c r="BH7" s="79" t="s">
        <v>142</v>
      </c>
      <c r="BI7" s="30" t="s">
        <v>120</v>
      </c>
      <c r="BJ7" s="79" t="s">
        <v>110</v>
      </c>
      <c r="BK7" s="30" t="s">
        <v>121</v>
      </c>
      <c r="BL7" s="30" t="s">
        <v>125</v>
      </c>
      <c r="BM7" s="30" t="s">
        <v>186</v>
      </c>
      <c r="BN7" s="18" t="s">
        <v>115</v>
      </c>
      <c r="BO7" s="30" t="s">
        <v>110</v>
      </c>
      <c r="BP7" s="30" t="s">
        <v>120</v>
      </c>
      <c r="BQ7" s="30" t="s">
        <v>115</v>
      </c>
      <c r="BR7" s="30" t="s">
        <v>115</v>
      </c>
      <c r="BS7" s="79" t="s">
        <v>115</v>
      </c>
      <c r="BT7" s="30" t="s">
        <v>115</v>
      </c>
      <c r="BU7" s="30" t="s">
        <v>129</v>
      </c>
      <c r="BV7" s="30" t="s">
        <v>129</v>
      </c>
      <c r="BW7" s="30" t="s">
        <v>121</v>
      </c>
      <c r="BX7" s="30" t="s">
        <v>142</v>
      </c>
      <c r="BY7" s="79" t="s">
        <v>115</v>
      </c>
      <c r="BZ7" s="30" t="s">
        <v>115</v>
      </c>
      <c r="CA7" s="30" t="s">
        <v>110</v>
      </c>
      <c r="CB7" s="30" t="s">
        <v>129</v>
      </c>
      <c r="CC7" s="30" t="s">
        <v>119</v>
      </c>
      <c r="CD7" s="30" t="s">
        <v>111</v>
      </c>
      <c r="CE7" s="30" t="s">
        <v>116</v>
      </c>
      <c r="CF7" s="30" t="s">
        <v>115</v>
      </c>
      <c r="CG7" s="30" t="s">
        <v>129</v>
      </c>
      <c r="CH7" s="79" t="s">
        <v>129</v>
      </c>
      <c r="CI7" s="30" t="s">
        <v>115</v>
      </c>
      <c r="CJ7" s="30" t="s">
        <v>129</v>
      </c>
      <c r="CK7" s="30" t="s">
        <v>142</v>
      </c>
      <c r="CL7" s="30" t="s">
        <v>129</v>
      </c>
      <c r="CM7" s="30" t="s">
        <v>120</v>
      </c>
      <c r="CN7" s="31"/>
      <c r="CO7" t="s">
        <v>785</v>
      </c>
      <c r="CP7">
        <f>IFERROR(VLOOKUP(H7,'Lista Lideres'!$A$1:$B$350,2,0),0)</f>
        <v>0</v>
      </c>
    </row>
    <row r="8" spans="1:94" ht="15.75" hidden="1" customHeight="1" x14ac:dyDescent="0.3">
      <c r="A8" s="25">
        <v>45573.063303043979</v>
      </c>
      <c r="B8" s="26" t="s">
        <v>169</v>
      </c>
      <c r="C8" s="26" t="s">
        <v>782</v>
      </c>
      <c r="D8" s="26" t="s">
        <v>93</v>
      </c>
      <c r="E8" s="26" t="s">
        <v>187</v>
      </c>
      <c r="F8" s="26" t="s">
        <v>96</v>
      </c>
      <c r="G8" s="26" t="s">
        <v>188</v>
      </c>
      <c r="H8" s="26" t="s">
        <v>189</v>
      </c>
      <c r="I8" s="26" t="s">
        <v>190</v>
      </c>
      <c r="J8" s="26" t="s">
        <v>101</v>
      </c>
      <c r="K8" s="26" t="s">
        <v>191</v>
      </c>
      <c r="L8" s="80" t="s">
        <v>150</v>
      </c>
      <c r="M8" s="8" t="s">
        <v>104</v>
      </c>
      <c r="N8" s="80" t="s">
        <v>105</v>
      </c>
      <c r="O8" s="80" t="s">
        <v>106</v>
      </c>
      <c r="P8" s="80" t="s">
        <v>107</v>
      </c>
      <c r="Q8" s="111" t="s">
        <v>163</v>
      </c>
      <c r="R8" s="80" t="s">
        <v>184</v>
      </c>
      <c r="S8" s="26" t="s">
        <v>110</v>
      </c>
      <c r="T8" s="26" t="s">
        <v>110</v>
      </c>
      <c r="U8" s="26" t="s">
        <v>110</v>
      </c>
      <c r="V8" s="80" t="s">
        <v>126</v>
      </c>
      <c r="W8" s="80" t="s">
        <v>113</v>
      </c>
      <c r="X8" s="111" t="s">
        <v>114</v>
      </c>
      <c r="Y8" s="26" t="s">
        <v>111</v>
      </c>
      <c r="Z8" s="26" t="s">
        <v>115</v>
      </c>
      <c r="AA8" s="26" t="s">
        <v>111</v>
      </c>
      <c r="AB8" s="26" t="s">
        <v>111</v>
      </c>
      <c r="AC8" s="80" t="s">
        <v>110</v>
      </c>
      <c r="AD8" s="80" t="s">
        <v>137</v>
      </c>
      <c r="AE8" s="80" t="s">
        <v>118</v>
      </c>
      <c r="AF8" s="92" t="s">
        <v>110</v>
      </c>
      <c r="AG8" s="80" t="s">
        <v>110</v>
      </c>
      <c r="AH8" s="26" t="s">
        <v>110</v>
      </c>
      <c r="AI8" s="80" t="s">
        <v>110</v>
      </c>
      <c r="AJ8" s="80" t="s">
        <v>110</v>
      </c>
      <c r="AK8" s="80" t="s">
        <v>110</v>
      </c>
      <c r="AL8" s="26" t="s">
        <v>110</v>
      </c>
      <c r="AM8" s="26" t="s">
        <v>110</v>
      </c>
      <c r="AN8" s="26" t="s">
        <v>110</v>
      </c>
      <c r="AO8" s="80" t="s">
        <v>110</v>
      </c>
      <c r="AP8" s="26" t="s">
        <v>110</v>
      </c>
      <c r="AQ8" s="80" t="s">
        <v>126</v>
      </c>
      <c r="AR8" s="80" t="s">
        <v>110</v>
      </c>
      <c r="AS8" s="26" t="s">
        <v>110</v>
      </c>
      <c r="AT8" s="9" t="s">
        <v>110</v>
      </c>
      <c r="AU8" s="10" t="s">
        <v>110</v>
      </c>
      <c r="AV8" s="26" t="s">
        <v>110</v>
      </c>
      <c r="AW8" s="26" t="s">
        <v>110</v>
      </c>
      <c r="AX8" s="26" t="s">
        <v>110</v>
      </c>
      <c r="AY8" s="26" t="s">
        <v>110</v>
      </c>
      <c r="AZ8" s="80" t="s">
        <v>126</v>
      </c>
      <c r="BA8" s="80" t="s">
        <v>110</v>
      </c>
      <c r="BB8" s="80" t="s">
        <v>126</v>
      </c>
      <c r="BC8" s="80" t="s">
        <v>111</v>
      </c>
      <c r="BD8" s="92" t="s">
        <v>126</v>
      </c>
      <c r="BE8" s="80" t="s">
        <v>126</v>
      </c>
      <c r="BF8" s="80" t="s">
        <v>110</v>
      </c>
      <c r="BG8" s="26" t="s">
        <v>110</v>
      </c>
      <c r="BH8" s="80" t="s">
        <v>126</v>
      </c>
      <c r="BI8" s="26" t="s">
        <v>110</v>
      </c>
      <c r="BJ8" s="80" t="s">
        <v>110</v>
      </c>
      <c r="BK8" s="26" t="s">
        <v>110</v>
      </c>
      <c r="BL8" s="26" t="s">
        <v>126</v>
      </c>
      <c r="BM8" s="26" t="s">
        <v>110</v>
      </c>
      <c r="BN8" s="11" t="s">
        <v>110</v>
      </c>
      <c r="BO8" s="26" t="s">
        <v>111</v>
      </c>
      <c r="BP8" s="26" t="s">
        <v>111</v>
      </c>
      <c r="BQ8" s="26" t="s">
        <v>110</v>
      </c>
      <c r="BR8" s="26" t="s">
        <v>110</v>
      </c>
      <c r="BS8" s="80" t="s">
        <v>110</v>
      </c>
      <c r="BT8" s="26" t="s">
        <v>110</v>
      </c>
      <c r="BU8" s="26" t="s">
        <v>110</v>
      </c>
      <c r="BV8" s="26" t="s">
        <v>110</v>
      </c>
      <c r="BW8" s="26" t="s">
        <v>110</v>
      </c>
      <c r="BX8" s="26" t="s">
        <v>126</v>
      </c>
      <c r="BY8" s="80" t="s">
        <v>110</v>
      </c>
      <c r="BZ8" s="26" t="s">
        <v>110</v>
      </c>
      <c r="CA8" s="26" t="s">
        <v>110</v>
      </c>
      <c r="CB8" s="26" t="s">
        <v>110</v>
      </c>
      <c r="CC8" s="26" t="s">
        <v>110</v>
      </c>
      <c r="CD8" s="26" t="s">
        <v>110</v>
      </c>
      <c r="CE8" s="26" t="s">
        <v>110</v>
      </c>
      <c r="CF8" s="26" t="s">
        <v>110</v>
      </c>
      <c r="CG8" s="26" t="s">
        <v>110</v>
      </c>
      <c r="CH8" s="80" t="s">
        <v>110</v>
      </c>
      <c r="CI8" s="26" t="s">
        <v>110</v>
      </c>
      <c r="CJ8" s="26" t="s">
        <v>110</v>
      </c>
      <c r="CK8" s="26" t="s">
        <v>126</v>
      </c>
      <c r="CL8" s="26" t="s">
        <v>110</v>
      </c>
      <c r="CM8" s="26" t="s">
        <v>110</v>
      </c>
      <c r="CN8" s="32" t="s">
        <v>192</v>
      </c>
      <c r="CO8" t="s">
        <v>785</v>
      </c>
      <c r="CP8">
        <f>IFERROR(VLOOKUP(H8,'Lista Lideres'!$A$1:$B$350,2,0),0)</f>
        <v>1</v>
      </c>
    </row>
    <row r="9" spans="1:94" ht="15.75" hidden="1" customHeight="1" x14ac:dyDescent="0.3">
      <c r="A9" s="29">
        <v>45562.000754305554</v>
      </c>
      <c r="B9" s="26" t="s">
        <v>169</v>
      </c>
      <c r="C9" s="30" t="s">
        <v>782</v>
      </c>
      <c r="D9" s="30" t="s">
        <v>93</v>
      </c>
      <c r="E9" s="30" t="s">
        <v>193</v>
      </c>
      <c r="F9" s="30" t="s">
        <v>96</v>
      </c>
      <c r="G9" s="30" t="s">
        <v>98</v>
      </c>
      <c r="H9" s="30" t="s">
        <v>194</v>
      </c>
      <c r="I9" s="30" t="s">
        <v>195</v>
      </c>
      <c r="J9" s="30" t="s">
        <v>196</v>
      </c>
      <c r="K9" s="30" t="s">
        <v>191</v>
      </c>
      <c r="L9" s="79" t="s">
        <v>150</v>
      </c>
      <c r="M9" s="8" t="s">
        <v>104</v>
      </c>
      <c r="N9" s="79" t="s">
        <v>105</v>
      </c>
      <c r="O9" s="79" t="s">
        <v>106</v>
      </c>
      <c r="P9" s="79" t="s">
        <v>107</v>
      </c>
      <c r="Q9" s="110" t="s">
        <v>108</v>
      </c>
      <c r="R9" s="30" t="s">
        <v>164</v>
      </c>
      <c r="S9" s="30" t="s">
        <v>110</v>
      </c>
      <c r="T9" s="30" t="s">
        <v>110</v>
      </c>
      <c r="U9" s="30" t="s">
        <v>110</v>
      </c>
      <c r="V9" s="79" t="s">
        <v>126</v>
      </c>
      <c r="W9" s="79" t="s">
        <v>152</v>
      </c>
      <c r="X9" s="110" t="s">
        <v>153</v>
      </c>
      <c r="Y9" s="30" t="s">
        <v>111</v>
      </c>
      <c r="Z9" s="30" t="s">
        <v>110</v>
      </c>
      <c r="AA9" s="30" t="s">
        <v>110</v>
      </c>
      <c r="AB9" s="30" t="s">
        <v>110</v>
      </c>
      <c r="AC9" s="79" t="s">
        <v>116</v>
      </c>
      <c r="AD9" s="79" t="s">
        <v>137</v>
      </c>
      <c r="AE9" s="79" t="s">
        <v>138</v>
      </c>
      <c r="AF9" s="91" t="s">
        <v>110</v>
      </c>
      <c r="AG9" s="79" t="s">
        <v>119</v>
      </c>
      <c r="AH9" s="30" t="s">
        <v>110</v>
      </c>
      <c r="AI9" s="79" t="s">
        <v>110</v>
      </c>
      <c r="AJ9" s="79" t="s">
        <v>197</v>
      </c>
      <c r="AK9" s="79" t="s">
        <v>110</v>
      </c>
      <c r="AL9" s="30" t="s">
        <v>168</v>
      </c>
      <c r="AM9" s="30" t="s">
        <v>128</v>
      </c>
      <c r="AN9" s="30" t="s">
        <v>110</v>
      </c>
      <c r="AO9" s="79" t="s">
        <v>110</v>
      </c>
      <c r="AP9" s="30" t="s">
        <v>110</v>
      </c>
      <c r="AQ9" s="79" t="s">
        <v>126</v>
      </c>
      <c r="AR9" s="79" t="s">
        <v>110</v>
      </c>
      <c r="AS9" s="30" t="s">
        <v>110</v>
      </c>
      <c r="AT9" s="16" t="s">
        <v>119</v>
      </c>
      <c r="AU9" s="17" t="s">
        <v>111</v>
      </c>
      <c r="AV9" s="30" t="s">
        <v>119</v>
      </c>
      <c r="AW9" s="30" t="s">
        <v>119</v>
      </c>
      <c r="AX9" s="30" t="s">
        <v>110</v>
      </c>
      <c r="AY9" s="30" t="s">
        <v>120</v>
      </c>
      <c r="AZ9" s="79" t="s">
        <v>142</v>
      </c>
      <c r="BA9" s="79" t="s">
        <v>110</v>
      </c>
      <c r="BB9" s="79" t="s">
        <v>139</v>
      </c>
      <c r="BC9" s="79" t="s">
        <v>110</v>
      </c>
      <c r="BD9" s="91" t="s">
        <v>126</v>
      </c>
      <c r="BE9" s="79" t="s">
        <v>140</v>
      </c>
      <c r="BF9" s="79" t="s">
        <v>141</v>
      </c>
      <c r="BG9" s="30" t="s">
        <v>110</v>
      </c>
      <c r="BH9" s="79" t="s">
        <v>142</v>
      </c>
      <c r="BI9" s="30" t="s">
        <v>120</v>
      </c>
      <c r="BJ9" s="79" t="s">
        <v>110</v>
      </c>
      <c r="BK9" s="30" t="s">
        <v>168</v>
      </c>
      <c r="BL9" s="30" t="s">
        <v>126</v>
      </c>
      <c r="BM9" s="30" t="s">
        <v>110</v>
      </c>
      <c r="BN9" s="18" t="s">
        <v>115</v>
      </c>
      <c r="BO9" s="30" t="s">
        <v>115</v>
      </c>
      <c r="BP9" s="30" t="s">
        <v>120</v>
      </c>
      <c r="BQ9" s="30" t="s">
        <v>111</v>
      </c>
      <c r="BR9" s="30" t="s">
        <v>110</v>
      </c>
      <c r="BS9" s="79" t="s">
        <v>111</v>
      </c>
      <c r="BT9" s="30" t="s">
        <v>115</v>
      </c>
      <c r="BU9" s="30" t="s">
        <v>115</v>
      </c>
      <c r="BV9" s="30" t="s">
        <v>110</v>
      </c>
      <c r="BW9" s="30" t="s">
        <v>110</v>
      </c>
      <c r="BX9" s="30" t="s">
        <v>125</v>
      </c>
      <c r="BY9" s="79" t="s">
        <v>110</v>
      </c>
      <c r="BZ9" s="30" t="s">
        <v>111</v>
      </c>
      <c r="CA9" s="30" t="s">
        <v>110</v>
      </c>
      <c r="CB9" s="30" t="s">
        <v>119</v>
      </c>
      <c r="CC9" s="30" t="s">
        <v>110</v>
      </c>
      <c r="CD9" s="30" t="s">
        <v>110</v>
      </c>
      <c r="CE9" s="30" t="s">
        <v>127</v>
      </c>
      <c r="CF9" s="30" t="s">
        <v>110</v>
      </c>
      <c r="CG9" s="30" t="s">
        <v>110</v>
      </c>
      <c r="CH9" s="79" t="s">
        <v>110</v>
      </c>
      <c r="CI9" s="30" t="s">
        <v>115</v>
      </c>
      <c r="CJ9" s="30" t="s">
        <v>129</v>
      </c>
      <c r="CK9" s="30" t="s">
        <v>126</v>
      </c>
      <c r="CL9" s="30" t="s">
        <v>110</v>
      </c>
      <c r="CM9" s="30" t="s">
        <v>120</v>
      </c>
      <c r="CN9" s="27" t="s">
        <v>198</v>
      </c>
      <c r="CO9" t="s">
        <v>786</v>
      </c>
      <c r="CP9">
        <f>IFERROR(VLOOKUP(H9,'Lista Lideres'!$A$1:$B$350,2,0),0)</f>
        <v>1</v>
      </c>
    </row>
    <row r="10" spans="1:94" ht="15.75" hidden="1" customHeight="1" x14ac:dyDescent="0.3">
      <c r="A10" s="25">
        <v>45572.954423067131</v>
      </c>
      <c r="B10" s="26" t="s">
        <v>169</v>
      </c>
      <c r="C10" s="26" t="s">
        <v>782</v>
      </c>
      <c r="D10" s="26" t="s">
        <v>93</v>
      </c>
      <c r="E10" s="26" t="s">
        <v>199</v>
      </c>
      <c r="F10" s="26" t="s">
        <v>96</v>
      </c>
      <c r="G10" s="26" t="s">
        <v>98</v>
      </c>
      <c r="H10" s="26" t="s">
        <v>200</v>
      </c>
      <c r="I10" s="26" t="s">
        <v>100</v>
      </c>
      <c r="J10" s="26" t="s">
        <v>196</v>
      </c>
      <c r="K10" s="26" t="s">
        <v>102</v>
      </c>
      <c r="L10" s="80" t="s">
        <v>103</v>
      </c>
      <c r="M10" s="8" t="s">
        <v>104</v>
      </c>
      <c r="N10" s="80" t="s">
        <v>105</v>
      </c>
      <c r="O10" s="80" t="s">
        <v>106</v>
      </c>
      <c r="P10" s="80" t="s">
        <v>107</v>
      </c>
      <c r="Q10" s="111" t="s">
        <v>151</v>
      </c>
      <c r="R10" s="26" t="s">
        <v>176</v>
      </c>
      <c r="S10" s="26" t="s">
        <v>110</v>
      </c>
      <c r="T10" s="26" t="s">
        <v>110</v>
      </c>
      <c r="U10" s="26" t="s">
        <v>110</v>
      </c>
      <c r="V10" s="80" t="s">
        <v>126</v>
      </c>
      <c r="W10" s="80" t="s">
        <v>113</v>
      </c>
      <c r="X10" s="111" t="s">
        <v>202</v>
      </c>
      <c r="Y10" s="26" t="s">
        <v>115</v>
      </c>
      <c r="Z10" s="26" t="s">
        <v>115</v>
      </c>
      <c r="AA10" s="26" t="s">
        <v>111</v>
      </c>
      <c r="AB10" s="26" t="s">
        <v>111</v>
      </c>
      <c r="AC10" s="80" t="s">
        <v>111</v>
      </c>
      <c r="AD10" s="80" t="s">
        <v>166</v>
      </c>
      <c r="AE10" s="80" t="s">
        <v>167</v>
      </c>
      <c r="AF10" s="92" t="s">
        <v>110</v>
      </c>
      <c r="AG10" s="80" t="s">
        <v>120</v>
      </c>
      <c r="AH10" s="26" t="s">
        <v>121</v>
      </c>
      <c r="AI10" s="80" t="s">
        <v>110</v>
      </c>
      <c r="AJ10" s="80" t="s">
        <v>121</v>
      </c>
      <c r="AK10" s="80" t="s">
        <v>121</v>
      </c>
      <c r="AL10" s="26" t="s">
        <v>177</v>
      </c>
      <c r="AM10" s="26" t="s">
        <v>128</v>
      </c>
      <c r="AN10" s="26" t="s">
        <v>128</v>
      </c>
      <c r="AO10" s="80" t="s">
        <v>128</v>
      </c>
      <c r="AP10" s="26" t="s">
        <v>178</v>
      </c>
      <c r="AQ10" s="80" t="s">
        <v>203</v>
      </c>
      <c r="AR10" s="80" t="s">
        <v>115</v>
      </c>
      <c r="AS10" s="26" t="s">
        <v>115</v>
      </c>
      <c r="AT10" s="9" t="s">
        <v>129</v>
      </c>
      <c r="AU10" s="10" t="s">
        <v>115</v>
      </c>
      <c r="AV10" s="26" t="s">
        <v>129</v>
      </c>
      <c r="AW10" s="26" t="s">
        <v>129</v>
      </c>
      <c r="AX10" s="26" t="s">
        <v>129</v>
      </c>
      <c r="AY10" s="26" t="s">
        <v>120</v>
      </c>
      <c r="AZ10" s="80" t="s">
        <v>142</v>
      </c>
      <c r="BA10" s="80" t="s">
        <v>120</v>
      </c>
      <c r="BB10" s="80" t="s">
        <v>139</v>
      </c>
      <c r="BC10" s="80" t="s">
        <v>120</v>
      </c>
      <c r="BD10" s="92" t="s">
        <v>142</v>
      </c>
      <c r="BE10" s="80" t="s">
        <v>142</v>
      </c>
      <c r="BF10" s="80" t="s">
        <v>121</v>
      </c>
      <c r="BG10" s="26" t="s">
        <v>119</v>
      </c>
      <c r="BH10" s="80" t="s">
        <v>125</v>
      </c>
      <c r="BI10" s="26" t="s">
        <v>120</v>
      </c>
      <c r="BJ10" s="80" t="s">
        <v>110</v>
      </c>
      <c r="BK10" s="26" t="s">
        <v>128</v>
      </c>
      <c r="BL10" s="26" t="s">
        <v>125</v>
      </c>
      <c r="BM10" s="26" t="s">
        <v>110</v>
      </c>
      <c r="BN10" s="11" t="s">
        <v>115</v>
      </c>
      <c r="BO10" s="26" t="s">
        <v>115</v>
      </c>
      <c r="BP10" s="26" t="s">
        <v>120</v>
      </c>
      <c r="BQ10" s="26" t="s">
        <v>115</v>
      </c>
      <c r="BR10" s="26" t="s">
        <v>115</v>
      </c>
      <c r="BS10" s="80" t="s">
        <v>115</v>
      </c>
      <c r="BT10" s="26" t="s">
        <v>115</v>
      </c>
      <c r="BU10" s="26" t="s">
        <v>119</v>
      </c>
      <c r="BV10" s="26" t="s">
        <v>119</v>
      </c>
      <c r="BW10" s="26" t="s">
        <v>178</v>
      </c>
      <c r="BX10" s="26" t="s">
        <v>203</v>
      </c>
      <c r="BY10" s="80" t="s">
        <v>115</v>
      </c>
      <c r="BZ10" s="26" t="s">
        <v>115</v>
      </c>
      <c r="CA10" s="26" t="s">
        <v>115</v>
      </c>
      <c r="CB10" s="26" t="s">
        <v>119</v>
      </c>
      <c r="CC10" s="26" t="s">
        <v>115</v>
      </c>
      <c r="CD10" s="26" t="s">
        <v>119</v>
      </c>
      <c r="CE10" s="26" t="s">
        <v>116</v>
      </c>
      <c r="CF10" s="26" t="s">
        <v>115</v>
      </c>
      <c r="CG10" s="26" t="s">
        <v>115</v>
      </c>
      <c r="CH10" s="80" t="s">
        <v>115</v>
      </c>
      <c r="CI10" s="26" t="s">
        <v>115</v>
      </c>
      <c r="CJ10" s="26" t="s">
        <v>115</v>
      </c>
      <c r="CK10" s="26" t="s">
        <v>203</v>
      </c>
      <c r="CL10" s="26" t="s">
        <v>115</v>
      </c>
      <c r="CM10" s="26" t="s">
        <v>120</v>
      </c>
      <c r="CN10" s="28"/>
      <c r="CO10" t="s">
        <v>786</v>
      </c>
      <c r="CP10">
        <f>IFERROR(VLOOKUP(H10,'Lista Lideres'!$A$1:$B$350,2,0),0)</f>
        <v>0</v>
      </c>
    </row>
    <row r="11" spans="1:94" ht="15.75" hidden="1" customHeight="1" x14ac:dyDescent="0.3">
      <c r="A11" s="29">
        <v>45572.984975625004</v>
      </c>
      <c r="B11" s="26" t="s">
        <v>169</v>
      </c>
      <c r="C11" s="30" t="s">
        <v>782</v>
      </c>
      <c r="D11" s="30" t="s">
        <v>131</v>
      </c>
      <c r="E11" s="30" t="s">
        <v>204</v>
      </c>
      <c r="F11" s="30" t="s">
        <v>96</v>
      </c>
      <c r="G11" s="30" t="s">
        <v>205</v>
      </c>
      <c r="H11" s="30" t="s">
        <v>205</v>
      </c>
      <c r="I11" s="30" t="s">
        <v>100</v>
      </c>
      <c r="J11" s="30" t="s">
        <v>101</v>
      </c>
      <c r="K11" s="30" t="s">
        <v>102</v>
      </c>
      <c r="L11" s="79" t="s">
        <v>103</v>
      </c>
      <c r="M11" s="8" t="s">
        <v>104</v>
      </c>
      <c r="N11" s="79" t="s">
        <v>105</v>
      </c>
      <c r="O11" s="79" t="s">
        <v>106</v>
      </c>
      <c r="P11" s="79" t="s">
        <v>107</v>
      </c>
      <c r="Q11" s="110" t="s">
        <v>108</v>
      </c>
      <c r="R11" s="30" t="s">
        <v>176</v>
      </c>
      <c r="S11" s="30" t="s">
        <v>110</v>
      </c>
      <c r="T11" s="30" t="s">
        <v>110</v>
      </c>
      <c r="U11" s="30" t="s">
        <v>110</v>
      </c>
      <c r="V11" s="79" t="s">
        <v>112</v>
      </c>
      <c r="W11" s="79" t="s">
        <v>113</v>
      </c>
      <c r="X11" s="110" t="s">
        <v>153</v>
      </c>
      <c r="Y11" s="30" t="s">
        <v>115</v>
      </c>
      <c r="Z11" s="30" t="s">
        <v>168</v>
      </c>
      <c r="AA11" s="30" t="s">
        <v>111</v>
      </c>
      <c r="AB11" s="30" t="s">
        <v>111</v>
      </c>
      <c r="AC11" s="79" t="s">
        <v>110</v>
      </c>
      <c r="AD11" s="79" t="s">
        <v>137</v>
      </c>
      <c r="AE11" s="79" t="s">
        <v>118</v>
      </c>
      <c r="AF11" s="91" t="s">
        <v>111</v>
      </c>
      <c r="AG11" s="79" t="s">
        <v>168</v>
      </c>
      <c r="AH11" s="30" t="s">
        <v>168</v>
      </c>
      <c r="AI11" s="79" t="s">
        <v>121</v>
      </c>
      <c r="AJ11" s="79" t="s">
        <v>110</v>
      </c>
      <c r="AK11" s="79" t="s">
        <v>110</v>
      </c>
      <c r="AL11" s="30" t="s">
        <v>110</v>
      </c>
      <c r="AM11" s="30" t="s">
        <v>110</v>
      </c>
      <c r="AN11" s="30" t="s">
        <v>110</v>
      </c>
      <c r="AO11" s="79" t="s">
        <v>110</v>
      </c>
      <c r="AP11" s="30" t="s">
        <v>110</v>
      </c>
      <c r="AQ11" s="79" t="s">
        <v>203</v>
      </c>
      <c r="AR11" s="79" t="s">
        <v>110</v>
      </c>
      <c r="AS11" s="30" t="s">
        <v>111</v>
      </c>
      <c r="AT11" s="16" t="s">
        <v>129</v>
      </c>
      <c r="AU11" s="17" t="s">
        <v>110</v>
      </c>
      <c r="AV11" s="30" t="s">
        <v>119</v>
      </c>
      <c r="AW11" s="30" t="s">
        <v>119</v>
      </c>
      <c r="AX11" s="30" t="s">
        <v>111</v>
      </c>
      <c r="AY11" s="30" t="s">
        <v>120</v>
      </c>
      <c r="AZ11" s="79" t="s">
        <v>126</v>
      </c>
      <c r="BA11" s="79" t="s">
        <v>110</v>
      </c>
      <c r="BB11" s="79" t="s">
        <v>126</v>
      </c>
      <c r="BC11" s="79" t="s">
        <v>120</v>
      </c>
      <c r="BD11" s="91" t="s">
        <v>125</v>
      </c>
      <c r="BE11" s="79" t="s">
        <v>125</v>
      </c>
      <c r="BF11" s="79" t="s">
        <v>121</v>
      </c>
      <c r="BG11" s="30" t="s">
        <v>110</v>
      </c>
      <c r="BH11" s="79" t="s">
        <v>125</v>
      </c>
      <c r="BI11" s="30" t="s">
        <v>120</v>
      </c>
      <c r="BJ11" s="79" t="s">
        <v>111</v>
      </c>
      <c r="BK11" s="30" t="s">
        <v>128</v>
      </c>
      <c r="BL11" s="30" t="s">
        <v>125</v>
      </c>
      <c r="BM11" s="30" t="s">
        <v>110</v>
      </c>
      <c r="BN11" s="18" t="s">
        <v>115</v>
      </c>
      <c r="BO11" s="30" t="s">
        <v>115</v>
      </c>
      <c r="BP11" s="30" t="s">
        <v>120</v>
      </c>
      <c r="BQ11" s="30" t="s">
        <v>110</v>
      </c>
      <c r="BR11" s="30" t="s">
        <v>110</v>
      </c>
      <c r="BS11" s="79" t="s">
        <v>110</v>
      </c>
      <c r="BT11" s="30" t="s">
        <v>115</v>
      </c>
      <c r="BU11" s="30" t="s">
        <v>129</v>
      </c>
      <c r="BV11" s="30" t="s">
        <v>111</v>
      </c>
      <c r="BW11" s="30" t="s">
        <v>110</v>
      </c>
      <c r="BX11" s="30" t="s">
        <v>126</v>
      </c>
      <c r="BY11" s="79" t="s">
        <v>115</v>
      </c>
      <c r="BZ11" s="30" t="s">
        <v>115</v>
      </c>
      <c r="CA11" s="30" t="s">
        <v>110</v>
      </c>
      <c r="CB11" s="30" t="s">
        <v>129</v>
      </c>
      <c r="CC11" s="30" t="s">
        <v>119</v>
      </c>
      <c r="CD11" s="30" t="s">
        <v>111</v>
      </c>
      <c r="CE11" s="30" t="s">
        <v>127</v>
      </c>
      <c r="CF11" s="30" t="s">
        <v>111</v>
      </c>
      <c r="CG11" s="30" t="s">
        <v>119</v>
      </c>
      <c r="CH11" s="79" t="s">
        <v>110</v>
      </c>
      <c r="CI11" s="30" t="s">
        <v>115</v>
      </c>
      <c r="CJ11" s="30" t="s">
        <v>110</v>
      </c>
      <c r="CK11" s="30" t="s">
        <v>126</v>
      </c>
      <c r="CL11" s="30" t="s">
        <v>110</v>
      </c>
      <c r="CM11" s="30" t="s">
        <v>120</v>
      </c>
      <c r="CN11" s="28"/>
      <c r="CO11" t="s">
        <v>786</v>
      </c>
      <c r="CP11">
        <f>IFERROR(VLOOKUP(H11,'Lista Lideres'!$A$1:$B$350,2,0),0)</f>
        <v>0</v>
      </c>
    </row>
    <row r="12" spans="1:94" ht="15.75" hidden="1" customHeight="1" x14ac:dyDescent="0.3">
      <c r="A12" s="25">
        <v>45573.206232997683</v>
      </c>
      <c r="B12" s="26" t="s">
        <v>169</v>
      </c>
      <c r="C12" s="26" t="s">
        <v>782</v>
      </c>
      <c r="D12" s="26" t="s">
        <v>93</v>
      </c>
      <c r="E12" s="26" t="s">
        <v>187</v>
      </c>
      <c r="F12" s="26" t="s">
        <v>96</v>
      </c>
      <c r="G12" s="26" t="s">
        <v>205</v>
      </c>
      <c r="H12" s="26" t="s">
        <v>205</v>
      </c>
      <c r="I12" s="26" t="s">
        <v>100</v>
      </c>
      <c r="J12" s="26" t="s">
        <v>196</v>
      </c>
      <c r="K12" s="26" t="s">
        <v>102</v>
      </c>
      <c r="L12" s="80" t="s">
        <v>162</v>
      </c>
      <c r="M12" s="8" t="s">
        <v>104</v>
      </c>
      <c r="N12" s="80" t="s">
        <v>105</v>
      </c>
      <c r="O12" s="80" t="s">
        <v>106</v>
      </c>
      <c r="P12" s="80" t="s">
        <v>107</v>
      </c>
      <c r="Q12" s="111" t="s">
        <v>163</v>
      </c>
      <c r="R12" s="26" t="s">
        <v>164</v>
      </c>
      <c r="S12" s="26" t="s">
        <v>119</v>
      </c>
      <c r="T12" s="26" t="s">
        <v>129</v>
      </c>
      <c r="U12" s="26" t="s">
        <v>119</v>
      </c>
      <c r="V12" s="80" t="s">
        <v>112</v>
      </c>
      <c r="W12" s="80" t="s">
        <v>113</v>
      </c>
      <c r="X12" s="111" t="s">
        <v>153</v>
      </c>
      <c r="Y12" s="26" t="s">
        <v>206</v>
      </c>
      <c r="Z12" s="26" t="s">
        <v>110</v>
      </c>
      <c r="AA12" s="26" t="s">
        <v>110</v>
      </c>
      <c r="AB12" s="26" t="s">
        <v>119</v>
      </c>
      <c r="AC12" s="80" t="s">
        <v>111</v>
      </c>
      <c r="AD12" s="80" t="s">
        <v>117</v>
      </c>
      <c r="AE12" s="80" t="s">
        <v>118</v>
      </c>
      <c r="AF12" s="92" t="s">
        <v>119</v>
      </c>
      <c r="AG12" s="80" t="s">
        <v>119</v>
      </c>
      <c r="AH12" s="26" t="s">
        <v>122</v>
      </c>
      <c r="AI12" s="80" t="s">
        <v>110</v>
      </c>
      <c r="AJ12" s="80" t="s">
        <v>122</v>
      </c>
      <c r="AK12" s="80" t="s">
        <v>122</v>
      </c>
      <c r="AL12" s="26" t="s">
        <v>122</v>
      </c>
      <c r="AM12" s="26" t="s">
        <v>128</v>
      </c>
      <c r="AN12" s="26" t="s">
        <v>128</v>
      </c>
      <c r="AO12" s="80" t="s">
        <v>128</v>
      </c>
      <c r="AP12" s="26" t="s">
        <v>128</v>
      </c>
      <c r="AQ12" s="80" t="s">
        <v>124</v>
      </c>
      <c r="AR12" s="80" t="s">
        <v>110</v>
      </c>
      <c r="AS12" s="26" t="s">
        <v>111</v>
      </c>
      <c r="AT12" s="9" t="s">
        <v>119</v>
      </c>
      <c r="AU12" s="10" t="s">
        <v>111</v>
      </c>
      <c r="AV12" s="26" t="s">
        <v>119</v>
      </c>
      <c r="AW12" s="26" t="s">
        <v>119</v>
      </c>
      <c r="AX12" s="26" t="s">
        <v>119</v>
      </c>
      <c r="AY12" s="26" t="s">
        <v>111</v>
      </c>
      <c r="AZ12" s="80" t="s">
        <v>125</v>
      </c>
      <c r="BA12" s="80" t="s">
        <v>119</v>
      </c>
      <c r="BB12" s="80" t="s">
        <v>126</v>
      </c>
      <c r="BC12" s="80" t="s">
        <v>110</v>
      </c>
      <c r="BD12" s="92" t="s">
        <v>126</v>
      </c>
      <c r="BE12" s="80" t="s">
        <v>124</v>
      </c>
      <c r="BF12" s="80" t="s">
        <v>128</v>
      </c>
      <c r="BG12" s="26" t="s">
        <v>119</v>
      </c>
      <c r="BH12" s="80" t="s">
        <v>125</v>
      </c>
      <c r="BI12" s="26" t="s">
        <v>111</v>
      </c>
      <c r="BJ12" s="80" t="s">
        <v>110</v>
      </c>
      <c r="BK12" s="26" t="s">
        <v>128</v>
      </c>
      <c r="BL12" s="26" t="s">
        <v>125</v>
      </c>
      <c r="BM12" s="26" t="s">
        <v>127</v>
      </c>
      <c r="BN12" s="11" t="s">
        <v>111</v>
      </c>
      <c r="BO12" s="26" t="s">
        <v>129</v>
      </c>
      <c r="BP12" s="26" t="s">
        <v>111</v>
      </c>
      <c r="BQ12" s="26" t="s">
        <v>119</v>
      </c>
      <c r="BR12" s="26" t="s">
        <v>111</v>
      </c>
      <c r="BS12" s="80" t="s">
        <v>111</v>
      </c>
      <c r="BT12" s="26" t="s">
        <v>111</v>
      </c>
      <c r="BU12" s="26" t="s">
        <v>111</v>
      </c>
      <c r="BV12" s="26" t="s">
        <v>119</v>
      </c>
      <c r="BW12" s="26" t="s">
        <v>123</v>
      </c>
      <c r="BX12" s="26" t="s">
        <v>125</v>
      </c>
      <c r="BY12" s="80" t="s">
        <v>111</v>
      </c>
      <c r="BZ12" s="26" t="s">
        <v>111</v>
      </c>
      <c r="CA12" s="26" t="s">
        <v>111</v>
      </c>
      <c r="CB12" s="26" t="s">
        <v>111</v>
      </c>
      <c r="CC12" s="26" t="s">
        <v>119</v>
      </c>
      <c r="CD12" s="26" t="s">
        <v>129</v>
      </c>
      <c r="CE12" s="26" t="s">
        <v>127</v>
      </c>
      <c r="CF12" s="26" t="s">
        <v>111</v>
      </c>
      <c r="CG12" s="26" t="s">
        <v>129</v>
      </c>
      <c r="CH12" s="80" t="s">
        <v>111</v>
      </c>
      <c r="CI12" s="26" t="s">
        <v>111</v>
      </c>
      <c r="CJ12" s="26" t="s">
        <v>119</v>
      </c>
      <c r="CK12" s="26" t="s">
        <v>125</v>
      </c>
      <c r="CL12" s="26" t="s">
        <v>111</v>
      </c>
      <c r="CM12" s="26" t="s">
        <v>111</v>
      </c>
      <c r="CN12" s="33"/>
      <c r="CO12" t="s">
        <v>786</v>
      </c>
      <c r="CP12">
        <f>IFERROR(VLOOKUP(H12,'Lista Lideres'!$A$1:$B$350,2,0),0)</f>
        <v>0</v>
      </c>
    </row>
    <row r="13" spans="1:94" ht="15.75" hidden="1" customHeight="1" x14ac:dyDescent="0.3">
      <c r="A13" s="29">
        <v>45581.71915981482</v>
      </c>
      <c r="B13" s="26" t="s">
        <v>169</v>
      </c>
      <c r="C13" s="30" t="s">
        <v>783</v>
      </c>
      <c r="D13" s="30" t="s">
        <v>93</v>
      </c>
      <c r="E13" s="30" t="s">
        <v>207</v>
      </c>
      <c r="F13" s="30" t="s">
        <v>96</v>
      </c>
      <c r="G13" s="30" t="s">
        <v>205</v>
      </c>
      <c r="H13" s="30" t="s">
        <v>208</v>
      </c>
      <c r="I13" s="30" t="s">
        <v>149</v>
      </c>
      <c r="J13" s="30" t="s">
        <v>101</v>
      </c>
      <c r="K13" s="30" t="s">
        <v>191</v>
      </c>
      <c r="L13" s="79" t="s">
        <v>162</v>
      </c>
      <c r="M13" s="8" t="s">
        <v>104</v>
      </c>
      <c r="N13" s="79" t="s">
        <v>105</v>
      </c>
      <c r="O13" s="79" t="s">
        <v>106</v>
      </c>
      <c r="P13" s="79" t="s">
        <v>175</v>
      </c>
      <c r="Q13" s="110" t="s">
        <v>163</v>
      </c>
      <c r="R13" s="30" t="s">
        <v>176</v>
      </c>
      <c r="S13" s="30" t="s">
        <v>119</v>
      </c>
      <c r="T13" s="30" t="s">
        <v>129</v>
      </c>
      <c r="U13" s="30" t="s">
        <v>111</v>
      </c>
      <c r="V13" s="79" t="s">
        <v>112</v>
      </c>
      <c r="W13" s="79" t="s">
        <v>113</v>
      </c>
      <c r="X13" s="110" t="s">
        <v>165</v>
      </c>
      <c r="Y13" s="30" t="s">
        <v>111</v>
      </c>
      <c r="Z13" s="30" t="s">
        <v>111</v>
      </c>
      <c r="AA13" s="30" t="s">
        <v>111</v>
      </c>
      <c r="AB13" s="30" t="s">
        <v>119</v>
      </c>
      <c r="AC13" s="79" t="s">
        <v>116</v>
      </c>
      <c r="AD13" s="79" t="s">
        <v>117</v>
      </c>
      <c r="AE13" s="79" t="s">
        <v>118</v>
      </c>
      <c r="AF13" s="91" t="s">
        <v>119</v>
      </c>
      <c r="AG13" s="79" t="s">
        <v>110</v>
      </c>
      <c r="AH13" s="30" t="s">
        <v>128</v>
      </c>
      <c r="AI13" s="79" t="s">
        <v>128</v>
      </c>
      <c r="AJ13" s="79" t="s">
        <v>197</v>
      </c>
      <c r="AK13" s="79" t="s">
        <v>122</v>
      </c>
      <c r="AL13" s="30" t="s">
        <v>110</v>
      </c>
      <c r="AM13" s="30" t="s">
        <v>110</v>
      </c>
      <c r="AN13" s="30" t="s">
        <v>123</v>
      </c>
      <c r="AO13" s="79" t="s">
        <v>123</v>
      </c>
      <c r="AP13" s="30" t="s">
        <v>110</v>
      </c>
      <c r="AQ13" s="79" t="s">
        <v>125</v>
      </c>
      <c r="AR13" s="79" t="s">
        <v>119</v>
      </c>
      <c r="AS13" s="30" t="s">
        <v>111</v>
      </c>
      <c r="AT13" s="16" t="s">
        <v>111</v>
      </c>
      <c r="AU13" s="17" t="s">
        <v>111</v>
      </c>
      <c r="AV13" s="30" t="s">
        <v>119</v>
      </c>
      <c r="AW13" s="30" t="s">
        <v>119</v>
      </c>
      <c r="AX13" s="30" t="s">
        <v>111</v>
      </c>
      <c r="AY13" s="30" t="s">
        <v>120</v>
      </c>
      <c r="AZ13" s="79" t="s">
        <v>126</v>
      </c>
      <c r="BA13" s="79" t="s">
        <v>110</v>
      </c>
      <c r="BB13" s="79" t="s">
        <v>139</v>
      </c>
      <c r="BC13" s="79" t="s">
        <v>119</v>
      </c>
      <c r="BD13" s="91" t="s">
        <v>125</v>
      </c>
      <c r="BE13" s="79" t="s">
        <v>126</v>
      </c>
      <c r="BF13" s="79" t="s">
        <v>110</v>
      </c>
      <c r="BG13" s="30" t="s">
        <v>119</v>
      </c>
      <c r="BH13" s="79" t="s">
        <v>126</v>
      </c>
      <c r="BI13" s="30" t="s">
        <v>111</v>
      </c>
      <c r="BJ13" s="79" t="s">
        <v>111</v>
      </c>
      <c r="BK13" s="30" t="s">
        <v>110</v>
      </c>
      <c r="BL13" s="30" t="s">
        <v>124</v>
      </c>
      <c r="BM13" s="30" t="s">
        <v>209</v>
      </c>
      <c r="BN13" s="18" t="s">
        <v>110</v>
      </c>
      <c r="BO13" s="30" t="s">
        <v>111</v>
      </c>
      <c r="BP13" s="30" t="s">
        <v>120</v>
      </c>
      <c r="BQ13" s="30" t="s">
        <v>111</v>
      </c>
      <c r="BR13" s="30" t="s">
        <v>111</v>
      </c>
      <c r="BS13" s="79" t="s">
        <v>111</v>
      </c>
      <c r="BT13" s="30" t="s">
        <v>119</v>
      </c>
      <c r="BU13" s="30" t="s">
        <v>119</v>
      </c>
      <c r="BV13" s="30" t="s">
        <v>111</v>
      </c>
      <c r="BW13" s="30" t="s">
        <v>110</v>
      </c>
      <c r="BX13" s="30" t="s">
        <v>125</v>
      </c>
      <c r="BY13" s="79" t="s">
        <v>111</v>
      </c>
      <c r="BZ13" s="30" t="s">
        <v>119</v>
      </c>
      <c r="CA13" s="30" t="s">
        <v>119</v>
      </c>
      <c r="CB13" s="30" t="s">
        <v>110</v>
      </c>
      <c r="CC13" s="30" t="s">
        <v>119</v>
      </c>
      <c r="CD13" s="30" t="s">
        <v>110</v>
      </c>
      <c r="CE13" s="30" t="s">
        <v>209</v>
      </c>
      <c r="CF13" s="30" t="s">
        <v>119</v>
      </c>
      <c r="CG13" s="30" t="s">
        <v>129</v>
      </c>
      <c r="CH13" s="79" t="s">
        <v>110</v>
      </c>
      <c r="CI13" s="30" t="s">
        <v>115</v>
      </c>
      <c r="CJ13" s="30" t="s">
        <v>129</v>
      </c>
      <c r="CK13" s="30" t="s">
        <v>125</v>
      </c>
      <c r="CL13" s="30" t="s">
        <v>119</v>
      </c>
      <c r="CM13" s="30" t="s">
        <v>119</v>
      </c>
      <c r="CN13" s="34" t="s">
        <v>210</v>
      </c>
      <c r="CO13" t="s">
        <v>785</v>
      </c>
      <c r="CP13">
        <f>IFERROR(VLOOKUP(H13,'Lista Lideres'!$A$1:$B$350,2,0),0)</f>
        <v>0</v>
      </c>
    </row>
    <row r="14" spans="1:94" ht="15.75" hidden="1" customHeight="1" x14ac:dyDescent="0.3">
      <c r="A14" s="25">
        <v>45576.605403645837</v>
      </c>
      <c r="B14" s="26" t="s">
        <v>169</v>
      </c>
      <c r="C14" s="26" t="s">
        <v>783</v>
      </c>
      <c r="D14" s="26" t="s">
        <v>131</v>
      </c>
      <c r="E14" s="26" t="s">
        <v>211</v>
      </c>
      <c r="F14" s="26" t="s">
        <v>97</v>
      </c>
      <c r="G14" s="26" t="s">
        <v>212</v>
      </c>
      <c r="H14" s="26" t="s">
        <v>212</v>
      </c>
      <c r="I14" s="26" t="s">
        <v>195</v>
      </c>
      <c r="J14" s="26" t="s">
        <v>196</v>
      </c>
      <c r="K14" s="26" t="s">
        <v>174</v>
      </c>
      <c r="L14" s="80" t="s">
        <v>213</v>
      </c>
      <c r="M14" s="8" t="s">
        <v>104</v>
      </c>
      <c r="N14" s="80" t="s">
        <v>105</v>
      </c>
      <c r="O14" s="80" t="s">
        <v>106</v>
      </c>
      <c r="P14" s="80" t="s">
        <v>107</v>
      </c>
      <c r="Q14" s="111" t="s">
        <v>163</v>
      </c>
      <c r="R14" s="80" t="s">
        <v>184</v>
      </c>
      <c r="S14" s="26" t="s">
        <v>129</v>
      </c>
      <c r="T14" s="26" t="s">
        <v>110</v>
      </c>
      <c r="U14" s="26" t="s">
        <v>115</v>
      </c>
      <c r="V14" s="80" t="s">
        <v>136</v>
      </c>
      <c r="W14" s="80" t="s">
        <v>113</v>
      </c>
      <c r="X14" s="111" t="s">
        <v>165</v>
      </c>
      <c r="Y14" s="26" t="s">
        <v>115</v>
      </c>
      <c r="Z14" s="26" t="s">
        <v>115</v>
      </c>
      <c r="AA14" s="26" t="s">
        <v>115</v>
      </c>
      <c r="AB14" s="26" t="s">
        <v>111</v>
      </c>
      <c r="AC14" s="80" t="s">
        <v>116</v>
      </c>
      <c r="AD14" s="80" t="s">
        <v>117</v>
      </c>
      <c r="AE14" s="80" t="s">
        <v>167</v>
      </c>
      <c r="AF14" s="92" t="s">
        <v>111</v>
      </c>
      <c r="AG14" s="80" t="s">
        <v>120</v>
      </c>
      <c r="AH14" s="26" t="s">
        <v>177</v>
      </c>
      <c r="AI14" s="80" t="s">
        <v>154</v>
      </c>
      <c r="AJ14" s="80" t="s">
        <v>197</v>
      </c>
      <c r="AK14" s="80" t="s">
        <v>121</v>
      </c>
      <c r="AL14" s="26" t="s">
        <v>110</v>
      </c>
      <c r="AM14" s="26" t="s">
        <v>128</v>
      </c>
      <c r="AN14" s="26" t="s">
        <v>177</v>
      </c>
      <c r="AO14" s="80" t="s">
        <v>123</v>
      </c>
      <c r="AP14" s="26" t="s">
        <v>178</v>
      </c>
      <c r="AQ14" s="80" t="s">
        <v>203</v>
      </c>
      <c r="AR14" s="80" t="s">
        <v>111</v>
      </c>
      <c r="AS14" s="26" t="s">
        <v>110</v>
      </c>
      <c r="AT14" s="9" t="s">
        <v>129</v>
      </c>
      <c r="AU14" s="10" t="s">
        <v>111</v>
      </c>
      <c r="AV14" s="26" t="s">
        <v>111</v>
      </c>
      <c r="AW14" s="26" t="s">
        <v>111</v>
      </c>
      <c r="AX14" s="26" t="s">
        <v>129</v>
      </c>
      <c r="AY14" s="26" t="s">
        <v>111</v>
      </c>
      <c r="AZ14" s="80" t="s">
        <v>126</v>
      </c>
      <c r="BA14" s="80" t="s">
        <v>110</v>
      </c>
      <c r="BB14" s="80" t="s">
        <v>139</v>
      </c>
      <c r="BC14" s="80" t="s">
        <v>111</v>
      </c>
      <c r="BD14" s="92" t="s">
        <v>214</v>
      </c>
      <c r="BE14" s="80" t="s">
        <v>126</v>
      </c>
      <c r="BF14" s="80" t="s">
        <v>141</v>
      </c>
      <c r="BG14" s="26" t="s">
        <v>110</v>
      </c>
      <c r="BH14" s="80" t="s">
        <v>142</v>
      </c>
      <c r="BI14" s="26" t="s">
        <v>120</v>
      </c>
      <c r="BJ14" s="80" t="s">
        <v>110</v>
      </c>
      <c r="BK14" s="26" t="s">
        <v>177</v>
      </c>
      <c r="BL14" s="26" t="s">
        <v>126</v>
      </c>
      <c r="BM14" s="26" t="s">
        <v>110</v>
      </c>
      <c r="BN14" s="11" t="s">
        <v>111</v>
      </c>
      <c r="BO14" s="26" t="s">
        <v>115</v>
      </c>
      <c r="BP14" s="26" t="s">
        <v>120</v>
      </c>
      <c r="BQ14" s="26" t="s">
        <v>115</v>
      </c>
      <c r="BR14" s="26" t="s">
        <v>115</v>
      </c>
      <c r="BS14" s="80" t="s">
        <v>115</v>
      </c>
      <c r="BT14" s="26" t="s">
        <v>110</v>
      </c>
      <c r="BU14" s="26" t="s">
        <v>129</v>
      </c>
      <c r="BV14" s="26" t="s">
        <v>110</v>
      </c>
      <c r="BW14" s="26" t="s">
        <v>121</v>
      </c>
      <c r="BX14" s="26" t="s">
        <v>142</v>
      </c>
      <c r="BY14" s="80" t="s">
        <v>111</v>
      </c>
      <c r="BZ14" s="26" t="s">
        <v>115</v>
      </c>
      <c r="CA14" s="26" t="s">
        <v>110</v>
      </c>
      <c r="CB14" s="26" t="s">
        <v>119</v>
      </c>
      <c r="CC14" s="26" t="s">
        <v>111</v>
      </c>
      <c r="CD14" s="26" t="s">
        <v>111</v>
      </c>
      <c r="CE14" s="26" t="s">
        <v>127</v>
      </c>
      <c r="CF14" s="26" t="s">
        <v>115</v>
      </c>
      <c r="CG14" s="26" t="s">
        <v>129</v>
      </c>
      <c r="CH14" s="80" t="s">
        <v>110</v>
      </c>
      <c r="CI14" s="26" t="s">
        <v>115</v>
      </c>
      <c r="CJ14" s="26" t="s">
        <v>115</v>
      </c>
      <c r="CK14" s="26" t="s">
        <v>124</v>
      </c>
      <c r="CL14" s="26" t="s">
        <v>129</v>
      </c>
      <c r="CM14" s="26" t="s">
        <v>120</v>
      </c>
      <c r="CN14" s="33"/>
      <c r="CO14" t="s">
        <v>786</v>
      </c>
      <c r="CP14">
        <f>IFERROR(VLOOKUP(H14,'Lista Lideres'!$A$1:$B$350,2,0),0)</f>
        <v>0</v>
      </c>
    </row>
    <row r="15" spans="1:94" ht="15.75" hidden="1" customHeight="1" x14ac:dyDescent="0.3">
      <c r="A15" s="29">
        <v>45572.966293634257</v>
      </c>
      <c r="B15" s="26" t="s">
        <v>169</v>
      </c>
      <c r="C15" s="30" t="s">
        <v>782</v>
      </c>
      <c r="D15" s="30" t="s">
        <v>93</v>
      </c>
      <c r="E15" s="30" t="s">
        <v>187</v>
      </c>
      <c r="F15" s="30" t="s">
        <v>96</v>
      </c>
      <c r="G15" s="30" t="s">
        <v>215</v>
      </c>
      <c r="H15" s="30" t="s">
        <v>216</v>
      </c>
      <c r="I15" s="30" t="s">
        <v>100</v>
      </c>
      <c r="J15" s="30" t="s">
        <v>196</v>
      </c>
      <c r="K15" s="30" t="s">
        <v>102</v>
      </c>
      <c r="L15" s="79" t="s">
        <v>103</v>
      </c>
      <c r="M15" s="8" t="s">
        <v>104</v>
      </c>
      <c r="N15" s="79" t="s">
        <v>105</v>
      </c>
      <c r="O15" s="79" t="s">
        <v>106</v>
      </c>
      <c r="P15" s="79" t="s">
        <v>175</v>
      </c>
      <c r="Q15" s="110" t="s">
        <v>163</v>
      </c>
      <c r="R15" s="30" t="s">
        <v>109</v>
      </c>
      <c r="S15" s="30" t="s">
        <v>119</v>
      </c>
      <c r="T15" s="30" t="s">
        <v>110</v>
      </c>
      <c r="U15" s="30" t="s">
        <v>119</v>
      </c>
      <c r="V15" s="79" t="s">
        <v>112</v>
      </c>
      <c r="W15" s="79" t="s">
        <v>113</v>
      </c>
      <c r="X15" s="110" t="s">
        <v>153</v>
      </c>
      <c r="Y15" s="30" t="s">
        <v>110</v>
      </c>
      <c r="Z15" s="30" t="s">
        <v>110</v>
      </c>
      <c r="AA15" s="30" t="s">
        <v>110</v>
      </c>
      <c r="AB15" s="30" t="s">
        <v>110</v>
      </c>
      <c r="AC15" s="79" t="s">
        <v>110</v>
      </c>
      <c r="AD15" s="79" t="s">
        <v>137</v>
      </c>
      <c r="AE15" s="79" t="s">
        <v>138</v>
      </c>
      <c r="AF15" s="91" t="s">
        <v>111</v>
      </c>
      <c r="AG15" s="79" t="s">
        <v>119</v>
      </c>
      <c r="AH15" s="30" t="s">
        <v>128</v>
      </c>
      <c r="AI15" s="79" t="s">
        <v>122</v>
      </c>
      <c r="AJ15" s="79" t="s">
        <v>128</v>
      </c>
      <c r="AK15" s="79" t="s">
        <v>128</v>
      </c>
      <c r="AL15" s="30" t="s">
        <v>110</v>
      </c>
      <c r="AM15" s="30" t="s">
        <v>110</v>
      </c>
      <c r="AN15" s="30" t="s">
        <v>123</v>
      </c>
      <c r="AO15" s="79" t="s">
        <v>110</v>
      </c>
      <c r="AP15" s="30" t="s">
        <v>110</v>
      </c>
      <c r="AQ15" s="79" t="s">
        <v>124</v>
      </c>
      <c r="AR15" s="79" t="s">
        <v>111</v>
      </c>
      <c r="AS15" s="30" t="s">
        <v>111</v>
      </c>
      <c r="AT15" s="16" t="s">
        <v>129</v>
      </c>
      <c r="AU15" s="17" t="s">
        <v>111</v>
      </c>
      <c r="AV15" s="30" t="s">
        <v>119</v>
      </c>
      <c r="AW15" s="30" t="s">
        <v>119</v>
      </c>
      <c r="AX15" s="30" t="s">
        <v>119</v>
      </c>
      <c r="AY15" s="30" t="s">
        <v>111</v>
      </c>
      <c r="AZ15" s="79" t="s">
        <v>125</v>
      </c>
      <c r="BA15" s="79" t="s">
        <v>111</v>
      </c>
      <c r="BB15" s="79" t="s">
        <v>125</v>
      </c>
      <c r="BC15" s="79" t="s">
        <v>111</v>
      </c>
      <c r="BD15" s="91" t="s">
        <v>126</v>
      </c>
      <c r="BE15" s="79" t="s">
        <v>125</v>
      </c>
      <c r="BF15" s="79" t="s">
        <v>121</v>
      </c>
      <c r="BG15" s="30" t="s">
        <v>111</v>
      </c>
      <c r="BH15" s="79" t="s">
        <v>125</v>
      </c>
      <c r="BI15" s="30" t="s">
        <v>119</v>
      </c>
      <c r="BJ15" s="79" t="s">
        <v>111</v>
      </c>
      <c r="BK15" s="30" t="s">
        <v>128</v>
      </c>
      <c r="BL15" s="30" t="s">
        <v>125</v>
      </c>
      <c r="BM15" s="30" t="s">
        <v>110</v>
      </c>
      <c r="BN15" s="18" t="s">
        <v>110</v>
      </c>
      <c r="BO15" s="30" t="s">
        <v>110</v>
      </c>
      <c r="BP15" s="30" t="s">
        <v>120</v>
      </c>
      <c r="BQ15" s="30" t="s">
        <v>110</v>
      </c>
      <c r="BR15" s="30" t="s">
        <v>111</v>
      </c>
      <c r="BS15" s="79" t="s">
        <v>115</v>
      </c>
      <c r="BT15" s="30" t="s">
        <v>119</v>
      </c>
      <c r="BU15" s="30" t="s">
        <v>119</v>
      </c>
      <c r="BV15" s="30" t="s">
        <v>111</v>
      </c>
      <c r="BW15" s="30" t="s">
        <v>123</v>
      </c>
      <c r="BX15" s="30" t="s">
        <v>125</v>
      </c>
      <c r="BY15" s="79" t="s">
        <v>111</v>
      </c>
      <c r="BZ15" s="30" t="s">
        <v>115</v>
      </c>
      <c r="CA15" s="30" t="s">
        <v>111</v>
      </c>
      <c r="CB15" s="30" t="s">
        <v>110</v>
      </c>
      <c r="CC15" s="30" t="s">
        <v>119</v>
      </c>
      <c r="CD15" s="30" t="s">
        <v>119</v>
      </c>
      <c r="CE15" s="30" t="s">
        <v>209</v>
      </c>
      <c r="CF15" s="30" t="s">
        <v>110</v>
      </c>
      <c r="CG15" s="30" t="s">
        <v>119</v>
      </c>
      <c r="CH15" s="79" t="s">
        <v>119</v>
      </c>
      <c r="CI15" s="30" t="s">
        <v>115</v>
      </c>
      <c r="CJ15" s="30" t="s">
        <v>129</v>
      </c>
      <c r="CK15" s="30" t="s">
        <v>142</v>
      </c>
      <c r="CL15" s="30" t="s">
        <v>129</v>
      </c>
      <c r="CM15" s="30" t="s">
        <v>111</v>
      </c>
      <c r="CN15" s="27" t="s">
        <v>217</v>
      </c>
      <c r="CO15" t="s">
        <v>786</v>
      </c>
      <c r="CP15">
        <f>IFERROR(VLOOKUP(H15,'Lista Lideres'!$A$1:$B$350,2,0),0)</f>
        <v>0</v>
      </c>
    </row>
    <row r="16" spans="1:94" ht="15.75" hidden="1" customHeight="1" x14ac:dyDescent="0.3">
      <c r="A16" s="25">
        <v>45572.987639270832</v>
      </c>
      <c r="B16" s="26" t="s">
        <v>169</v>
      </c>
      <c r="C16" s="26" t="s">
        <v>782</v>
      </c>
      <c r="D16" s="26" t="s">
        <v>93</v>
      </c>
      <c r="E16" s="26" t="s">
        <v>219</v>
      </c>
      <c r="F16" s="26" t="s">
        <v>171</v>
      </c>
      <c r="G16" s="26" t="s">
        <v>220</v>
      </c>
      <c r="H16" s="26" t="s">
        <v>220</v>
      </c>
      <c r="I16" s="26" t="s">
        <v>190</v>
      </c>
      <c r="J16" s="26" t="s">
        <v>196</v>
      </c>
      <c r="K16" s="26" t="s">
        <v>102</v>
      </c>
      <c r="L16" s="80" t="s">
        <v>103</v>
      </c>
      <c r="M16" s="8" t="s">
        <v>104</v>
      </c>
      <c r="N16" s="80" t="s">
        <v>105</v>
      </c>
      <c r="O16" s="80" t="s">
        <v>106</v>
      </c>
      <c r="P16" s="80" t="s">
        <v>107</v>
      </c>
      <c r="Q16" s="111" t="s">
        <v>108</v>
      </c>
      <c r="R16" s="80" t="s">
        <v>184</v>
      </c>
      <c r="S16" s="26" t="s">
        <v>119</v>
      </c>
      <c r="T16" s="26" t="s">
        <v>119</v>
      </c>
      <c r="U16" s="26" t="s">
        <v>119</v>
      </c>
      <c r="V16" s="80" t="s">
        <v>136</v>
      </c>
      <c r="W16" s="80" t="s">
        <v>113</v>
      </c>
      <c r="X16" s="111" t="s">
        <v>153</v>
      </c>
      <c r="Y16" s="26" t="s">
        <v>115</v>
      </c>
      <c r="Z16" s="26" t="s">
        <v>111</v>
      </c>
      <c r="AA16" s="26" t="s">
        <v>111</v>
      </c>
      <c r="AB16" s="26" t="s">
        <v>115</v>
      </c>
      <c r="AC16" s="80" t="s">
        <v>129</v>
      </c>
      <c r="AD16" s="80" t="s">
        <v>221</v>
      </c>
      <c r="AE16" s="80" t="s">
        <v>118</v>
      </c>
      <c r="AF16" s="92" t="s">
        <v>111</v>
      </c>
      <c r="AG16" s="80" t="s">
        <v>111</v>
      </c>
      <c r="AH16" s="26" t="s">
        <v>177</v>
      </c>
      <c r="AI16" s="80" t="s">
        <v>128</v>
      </c>
      <c r="AJ16" s="80" t="s">
        <v>128</v>
      </c>
      <c r="AK16" s="80" t="s">
        <v>128</v>
      </c>
      <c r="AL16" s="26" t="s">
        <v>122</v>
      </c>
      <c r="AM16" s="26" t="s">
        <v>123</v>
      </c>
      <c r="AN16" s="26" t="s">
        <v>123</v>
      </c>
      <c r="AO16" s="80" t="s">
        <v>123</v>
      </c>
      <c r="AP16" s="26" t="s">
        <v>123</v>
      </c>
      <c r="AQ16" s="80" t="s">
        <v>125</v>
      </c>
      <c r="AR16" s="80" t="s">
        <v>110</v>
      </c>
      <c r="AS16" s="26" t="s">
        <v>119</v>
      </c>
      <c r="AT16" s="9" t="s">
        <v>111</v>
      </c>
      <c r="AU16" s="10" t="s">
        <v>115</v>
      </c>
      <c r="AV16" s="26" t="s">
        <v>110</v>
      </c>
      <c r="AW16" s="26" t="s">
        <v>110</v>
      </c>
      <c r="AX16" s="26" t="s">
        <v>110</v>
      </c>
      <c r="AY16" s="26" t="s">
        <v>120</v>
      </c>
      <c r="AZ16" s="80" t="s">
        <v>124</v>
      </c>
      <c r="BA16" s="80" t="s">
        <v>111</v>
      </c>
      <c r="BB16" s="80" t="s">
        <v>142</v>
      </c>
      <c r="BC16" s="80" t="s">
        <v>120</v>
      </c>
      <c r="BD16" s="92" t="s">
        <v>125</v>
      </c>
      <c r="BE16" s="80" t="s">
        <v>125</v>
      </c>
      <c r="BF16" s="80" t="s">
        <v>122</v>
      </c>
      <c r="BG16" s="26" t="s">
        <v>119</v>
      </c>
      <c r="BH16" s="80" t="s">
        <v>142</v>
      </c>
      <c r="BI16" s="26" t="s">
        <v>120</v>
      </c>
      <c r="BJ16" s="80" t="s">
        <v>111</v>
      </c>
      <c r="BK16" s="26" t="s">
        <v>122</v>
      </c>
      <c r="BL16" s="26" t="s">
        <v>124</v>
      </c>
      <c r="BM16" s="26" t="s">
        <v>127</v>
      </c>
      <c r="BN16" s="11" t="s">
        <v>111</v>
      </c>
      <c r="BO16" s="26" t="s">
        <v>115</v>
      </c>
      <c r="BP16" s="26" t="s">
        <v>111</v>
      </c>
      <c r="BQ16" s="26" t="s">
        <v>110</v>
      </c>
      <c r="BR16" s="26" t="s">
        <v>110</v>
      </c>
      <c r="BS16" s="80" t="s">
        <v>115</v>
      </c>
      <c r="BT16" s="26" t="s">
        <v>115</v>
      </c>
      <c r="BU16" s="26" t="s">
        <v>115</v>
      </c>
      <c r="BV16" s="26" t="s">
        <v>111</v>
      </c>
      <c r="BW16" s="26" t="s">
        <v>123</v>
      </c>
      <c r="BX16" s="26" t="s">
        <v>124</v>
      </c>
      <c r="BY16" s="80" t="s">
        <v>115</v>
      </c>
      <c r="BZ16" s="26" t="s">
        <v>129</v>
      </c>
      <c r="CA16" s="26" t="s">
        <v>111</v>
      </c>
      <c r="CB16" s="26" t="s">
        <v>119</v>
      </c>
      <c r="CC16" s="26" t="s">
        <v>111</v>
      </c>
      <c r="CD16" s="26" t="s">
        <v>110</v>
      </c>
      <c r="CE16" s="26" t="s">
        <v>209</v>
      </c>
      <c r="CF16" s="26" t="s">
        <v>119</v>
      </c>
      <c r="CG16" s="26" t="s">
        <v>129</v>
      </c>
      <c r="CH16" s="80" t="s">
        <v>119</v>
      </c>
      <c r="CI16" s="26" t="s">
        <v>115</v>
      </c>
      <c r="CJ16" s="26" t="s">
        <v>129</v>
      </c>
      <c r="CK16" s="26" t="s">
        <v>125</v>
      </c>
      <c r="CL16" s="26" t="s">
        <v>110</v>
      </c>
      <c r="CM16" s="26" t="s">
        <v>120</v>
      </c>
      <c r="CN16" s="27" t="s">
        <v>222</v>
      </c>
      <c r="CO16" t="s">
        <v>785</v>
      </c>
      <c r="CP16">
        <f>IFERROR(VLOOKUP(H16,'Lista Lideres'!$A$1:$B$350,2,0),0)</f>
        <v>0</v>
      </c>
    </row>
    <row r="17" spans="1:94" ht="15.75" hidden="1" customHeight="1" x14ac:dyDescent="0.3">
      <c r="A17" s="25">
        <v>45564.760375729165</v>
      </c>
      <c r="B17" s="26" t="s">
        <v>169</v>
      </c>
      <c r="C17" s="26" t="s">
        <v>782</v>
      </c>
      <c r="D17" s="26" t="s">
        <v>93</v>
      </c>
      <c r="E17" s="26" t="s">
        <v>187</v>
      </c>
      <c r="F17" s="26" t="s">
        <v>171</v>
      </c>
      <c r="G17" s="26" t="s">
        <v>223</v>
      </c>
      <c r="H17" s="26" t="s">
        <v>224</v>
      </c>
      <c r="I17" s="26" t="s">
        <v>149</v>
      </c>
      <c r="J17" s="26" t="s">
        <v>101</v>
      </c>
      <c r="K17" s="26" t="s">
        <v>174</v>
      </c>
      <c r="L17" s="80" t="s">
        <v>213</v>
      </c>
      <c r="M17" s="8" t="s">
        <v>104</v>
      </c>
      <c r="N17" s="80" t="s">
        <v>105</v>
      </c>
      <c r="O17" s="80" t="s">
        <v>106</v>
      </c>
      <c r="P17" s="80" t="s">
        <v>107</v>
      </c>
      <c r="Q17" s="111" t="s">
        <v>108</v>
      </c>
      <c r="R17" s="26" t="s">
        <v>109</v>
      </c>
      <c r="S17" s="26" t="s">
        <v>120</v>
      </c>
      <c r="T17" s="26" t="s">
        <v>111</v>
      </c>
      <c r="U17" s="26" t="s">
        <v>110</v>
      </c>
      <c r="V17" s="80" t="s">
        <v>112</v>
      </c>
      <c r="W17" s="80" t="s">
        <v>113</v>
      </c>
      <c r="X17" s="111" t="s">
        <v>165</v>
      </c>
      <c r="Y17" s="26" t="s">
        <v>111</v>
      </c>
      <c r="Z17" s="26" t="s">
        <v>115</v>
      </c>
      <c r="AA17" s="26" t="s">
        <v>115</v>
      </c>
      <c r="AB17" s="26" t="s">
        <v>111</v>
      </c>
      <c r="AC17" s="80" t="s">
        <v>110</v>
      </c>
      <c r="AD17" s="80" t="s">
        <v>137</v>
      </c>
      <c r="AE17" s="80" t="s">
        <v>138</v>
      </c>
      <c r="AF17" s="92" t="s">
        <v>111</v>
      </c>
      <c r="AG17" s="80" t="s">
        <v>129</v>
      </c>
      <c r="AH17" s="26" t="s">
        <v>121</v>
      </c>
      <c r="AI17" s="80" t="s">
        <v>154</v>
      </c>
      <c r="AJ17" s="80" t="s">
        <v>197</v>
      </c>
      <c r="AK17" s="80" t="s">
        <v>225</v>
      </c>
      <c r="AL17" s="26" t="s">
        <v>128</v>
      </c>
      <c r="AM17" s="26" t="s">
        <v>128</v>
      </c>
      <c r="AN17" s="26" t="s">
        <v>168</v>
      </c>
      <c r="AO17" s="80" t="s">
        <v>128</v>
      </c>
      <c r="AP17" s="26" t="s">
        <v>128</v>
      </c>
      <c r="AQ17" s="80" t="s">
        <v>124</v>
      </c>
      <c r="AR17" s="80" t="s">
        <v>111</v>
      </c>
      <c r="AS17" s="26" t="s">
        <v>115</v>
      </c>
      <c r="AT17" s="9" t="s">
        <v>119</v>
      </c>
      <c r="AU17" s="10" t="s">
        <v>111</v>
      </c>
      <c r="AV17" s="26" t="s">
        <v>119</v>
      </c>
      <c r="AW17" s="26" t="s">
        <v>119</v>
      </c>
      <c r="AX17" s="26" t="s">
        <v>119</v>
      </c>
      <c r="AY17" s="26" t="s">
        <v>120</v>
      </c>
      <c r="AZ17" s="80" t="s">
        <v>126</v>
      </c>
      <c r="BA17" s="80" t="s">
        <v>111</v>
      </c>
      <c r="BB17" s="80" t="s">
        <v>139</v>
      </c>
      <c r="BC17" s="80" t="s">
        <v>111</v>
      </c>
      <c r="BD17" s="92" t="s">
        <v>125</v>
      </c>
      <c r="BE17" s="80" t="s">
        <v>140</v>
      </c>
      <c r="BF17" s="80" t="s">
        <v>141</v>
      </c>
      <c r="BG17" s="26" t="s">
        <v>120</v>
      </c>
      <c r="BH17" s="80" t="s">
        <v>125</v>
      </c>
      <c r="BI17" s="26" t="s">
        <v>120</v>
      </c>
      <c r="BJ17" s="80" t="s">
        <v>119</v>
      </c>
      <c r="BK17" s="26" t="s">
        <v>128</v>
      </c>
      <c r="BL17" s="26" t="s">
        <v>125</v>
      </c>
      <c r="BM17" s="26" t="s">
        <v>127</v>
      </c>
      <c r="BN17" s="11" t="s">
        <v>115</v>
      </c>
      <c r="BO17" s="26" t="s">
        <v>111</v>
      </c>
      <c r="BP17" s="26" t="s">
        <v>111</v>
      </c>
      <c r="BQ17" s="26" t="s">
        <v>110</v>
      </c>
      <c r="BR17" s="26" t="s">
        <v>110</v>
      </c>
      <c r="BS17" s="80" t="s">
        <v>111</v>
      </c>
      <c r="BT17" s="26" t="s">
        <v>115</v>
      </c>
      <c r="BU17" s="26" t="s">
        <v>111</v>
      </c>
      <c r="BV17" s="26" t="s">
        <v>119</v>
      </c>
      <c r="BW17" s="26" t="s">
        <v>123</v>
      </c>
      <c r="BX17" s="26" t="s">
        <v>126</v>
      </c>
      <c r="BY17" s="80" t="s">
        <v>111</v>
      </c>
      <c r="BZ17" s="26" t="s">
        <v>115</v>
      </c>
      <c r="CA17" s="26" t="s">
        <v>111</v>
      </c>
      <c r="CB17" s="26" t="s">
        <v>129</v>
      </c>
      <c r="CC17" s="26" t="s">
        <v>111</v>
      </c>
      <c r="CD17" s="26" t="s">
        <v>110</v>
      </c>
      <c r="CE17" s="26" t="s">
        <v>127</v>
      </c>
      <c r="CF17" s="26" t="s">
        <v>115</v>
      </c>
      <c r="CG17" s="26" t="s">
        <v>111</v>
      </c>
      <c r="CH17" s="80" t="s">
        <v>111</v>
      </c>
      <c r="CI17" s="26" t="s">
        <v>115</v>
      </c>
      <c r="CJ17" s="26" t="s">
        <v>119</v>
      </c>
      <c r="CK17" s="26" t="s">
        <v>125</v>
      </c>
      <c r="CL17" s="26" t="s">
        <v>115</v>
      </c>
      <c r="CM17" s="26" t="s">
        <v>111</v>
      </c>
      <c r="CN17" s="32" t="s">
        <v>226</v>
      </c>
      <c r="CO17" t="s">
        <v>785</v>
      </c>
      <c r="CP17">
        <f>IFERROR(VLOOKUP(H17,'Lista Lideres'!$A$1:$B$350,2,0),0)</f>
        <v>1</v>
      </c>
    </row>
    <row r="18" spans="1:94" ht="15.75" hidden="1" customHeight="1" x14ac:dyDescent="0.3">
      <c r="A18" s="29">
        <v>45561.740925509264</v>
      </c>
      <c r="B18" s="26" t="s">
        <v>169</v>
      </c>
      <c r="C18" s="30" t="s">
        <v>782</v>
      </c>
      <c r="D18" s="30" t="s">
        <v>131</v>
      </c>
      <c r="E18" s="30" t="s">
        <v>187</v>
      </c>
      <c r="F18" s="30" t="s">
        <v>96</v>
      </c>
      <c r="G18" s="30" t="s">
        <v>227</v>
      </c>
      <c r="H18" s="30" t="s">
        <v>228</v>
      </c>
      <c r="I18" s="30" t="s">
        <v>100</v>
      </c>
      <c r="J18" s="30" t="s">
        <v>196</v>
      </c>
      <c r="K18" s="30" t="s">
        <v>102</v>
      </c>
      <c r="L18" s="79" t="s">
        <v>103</v>
      </c>
      <c r="M18" s="8" t="s">
        <v>104</v>
      </c>
      <c r="N18" s="79" t="s">
        <v>105</v>
      </c>
      <c r="O18" s="79" t="s">
        <v>106</v>
      </c>
      <c r="P18" s="79" t="s">
        <v>107</v>
      </c>
      <c r="Q18" s="110" t="s">
        <v>108</v>
      </c>
      <c r="R18" s="30" t="s">
        <v>164</v>
      </c>
      <c r="S18" s="30" t="s">
        <v>119</v>
      </c>
      <c r="T18" s="30" t="s">
        <v>110</v>
      </c>
      <c r="U18" s="30" t="s">
        <v>119</v>
      </c>
      <c r="V18" s="79" t="s">
        <v>126</v>
      </c>
      <c r="W18" s="79" t="s">
        <v>113</v>
      </c>
      <c r="X18" s="110" t="s">
        <v>114</v>
      </c>
      <c r="Y18" s="30" t="s">
        <v>110</v>
      </c>
      <c r="Z18" s="30" t="s">
        <v>110</v>
      </c>
      <c r="AA18" s="30" t="s">
        <v>110</v>
      </c>
      <c r="AB18" s="30" t="s">
        <v>119</v>
      </c>
      <c r="AC18" s="79" t="s">
        <v>119</v>
      </c>
      <c r="AD18" s="79" t="s">
        <v>221</v>
      </c>
      <c r="AE18" s="79" t="s">
        <v>118</v>
      </c>
      <c r="AF18" s="91" t="s">
        <v>119</v>
      </c>
      <c r="AG18" s="79" t="s">
        <v>110</v>
      </c>
      <c r="AH18" s="30" t="s">
        <v>168</v>
      </c>
      <c r="AI18" s="79" t="s">
        <v>110</v>
      </c>
      <c r="AJ18" s="79" t="s">
        <v>128</v>
      </c>
      <c r="AK18" s="79" t="s">
        <v>128</v>
      </c>
      <c r="AL18" s="30" t="s">
        <v>122</v>
      </c>
      <c r="AM18" s="30" t="s">
        <v>110</v>
      </c>
      <c r="AN18" s="30" t="s">
        <v>123</v>
      </c>
      <c r="AO18" s="79" t="s">
        <v>123</v>
      </c>
      <c r="AP18" s="30" t="s">
        <v>123</v>
      </c>
      <c r="AQ18" s="79" t="s">
        <v>125</v>
      </c>
      <c r="AR18" s="79" t="s">
        <v>119</v>
      </c>
      <c r="AS18" s="30" t="s">
        <v>110</v>
      </c>
      <c r="AT18" s="16" t="s">
        <v>111</v>
      </c>
      <c r="AU18" s="17" t="s">
        <v>111</v>
      </c>
      <c r="AV18" s="30" t="s">
        <v>111</v>
      </c>
      <c r="AW18" s="30" t="s">
        <v>111</v>
      </c>
      <c r="AX18" s="30" t="s">
        <v>110</v>
      </c>
      <c r="AY18" s="30" t="s">
        <v>111</v>
      </c>
      <c r="AZ18" s="79" t="s">
        <v>126</v>
      </c>
      <c r="BA18" s="79" t="s">
        <v>110</v>
      </c>
      <c r="BB18" s="79" t="s">
        <v>126</v>
      </c>
      <c r="BC18" s="79" t="s">
        <v>110</v>
      </c>
      <c r="BD18" s="91" t="s">
        <v>124</v>
      </c>
      <c r="BE18" s="79" t="s">
        <v>126</v>
      </c>
      <c r="BF18" s="79" t="s">
        <v>110</v>
      </c>
      <c r="BG18" s="30" t="s">
        <v>119</v>
      </c>
      <c r="BH18" s="79" t="s">
        <v>124</v>
      </c>
      <c r="BI18" s="30" t="s">
        <v>119</v>
      </c>
      <c r="BJ18" s="79" t="s">
        <v>111</v>
      </c>
      <c r="BK18" s="30" t="s">
        <v>122</v>
      </c>
      <c r="BL18" s="30" t="s">
        <v>126</v>
      </c>
      <c r="BM18" s="30" t="s">
        <v>110</v>
      </c>
      <c r="BN18" s="18" t="s">
        <v>119</v>
      </c>
      <c r="BO18" s="30" t="s">
        <v>119</v>
      </c>
      <c r="BP18" s="30" t="s">
        <v>111</v>
      </c>
      <c r="BQ18" s="30" t="s">
        <v>110</v>
      </c>
      <c r="BR18" s="30" t="s">
        <v>110</v>
      </c>
      <c r="BS18" s="79" t="s">
        <v>110</v>
      </c>
      <c r="BT18" s="30" t="s">
        <v>119</v>
      </c>
      <c r="BU18" s="30" t="s">
        <v>119</v>
      </c>
      <c r="BV18" s="30" t="s">
        <v>110</v>
      </c>
      <c r="BW18" s="30" t="s">
        <v>128</v>
      </c>
      <c r="BX18" s="30" t="s">
        <v>126</v>
      </c>
      <c r="BY18" s="79" t="s">
        <v>110</v>
      </c>
      <c r="BZ18" s="30" t="s">
        <v>111</v>
      </c>
      <c r="CA18" s="30" t="s">
        <v>119</v>
      </c>
      <c r="CB18" s="30" t="s">
        <v>111</v>
      </c>
      <c r="CC18" s="30" t="s">
        <v>119</v>
      </c>
      <c r="CD18" s="30" t="s">
        <v>111</v>
      </c>
      <c r="CE18" s="30" t="s">
        <v>209</v>
      </c>
      <c r="CF18" s="30" t="s">
        <v>119</v>
      </c>
      <c r="CG18" s="30" t="s">
        <v>119</v>
      </c>
      <c r="CH18" s="79" t="s">
        <v>110</v>
      </c>
      <c r="CI18" s="30" t="s">
        <v>110</v>
      </c>
      <c r="CJ18" s="30" t="s">
        <v>110</v>
      </c>
      <c r="CK18" s="30" t="s">
        <v>124</v>
      </c>
      <c r="CL18" s="30" t="s">
        <v>129</v>
      </c>
      <c r="CM18" s="30" t="s">
        <v>119</v>
      </c>
      <c r="CN18" s="28"/>
      <c r="CO18" t="s">
        <v>786</v>
      </c>
      <c r="CP18">
        <f>IFERROR(VLOOKUP(H18,'Lista Lideres'!$A$1:$B$350,2,0),0)</f>
        <v>1</v>
      </c>
    </row>
    <row r="19" spans="1:94" ht="15.75" hidden="1" customHeight="1" x14ac:dyDescent="0.3">
      <c r="A19" s="25">
        <v>45564.733372303243</v>
      </c>
      <c r="B19" s="26" t="s">
        <v>169</v>
      </c>
      <c r="C19" s="26" t="s">
        <v>782</v>
      </c>
      <c r="D19" s="26" t="s">
        <v>93</v>
      </c>
      <c r="E19" s="26" t="s">
        <v>229</v>
      </c>
      <c r="F19" s="26" t="s">
        <v>96</v>
      </c>
      <c r="G19" s="26" t="s">
        <v>134</v>
      </c>
      <c r="H19" s="26" t="s">
        <v>230</v>
      </c>
      <c r="I19" s="26" t="s">
        <v>100</v>
      </c>
      <c r="J19" s="26" t="s">
        <v>101</v>
      </c>
      <c r="K19" s="26" t="s">
        <v>174</v>
      </c>
      <c r="L19" s="80" t="s">
        <v>213</v>
      </c>
      <c r="M19" s="8" t="s">
        <v>104</v>
      </c>
      <c r="N19" s="80" t="s">
        <v>105</v>
      </c>
      <c r="O19" s="80" t="s">
        <v>106</v>
      </c>
      <c r="P19" s="80" t="s">
        <v>175</v>
      </c>
      <c r="Q19" s="111" t="s">
        <v>163</v>
      </c>
      <c r="R19" s="26" t="s">
        <v>109</v>
      </c>
      <c r="S19" s="26" t="s">
        <v>119</v>
      </c>
      <c r="T19" s="26" t="s">
        <v>119</v>
      </c>
      <c r="U19" s="26" t="s">
        <v>119</v>
      </c>
      <c r="V19" s="80" t="s">
        <v>112</v>
      </c>
      <c r="W19" s="80" t="s">
        <v>152</v>
      </c>
      <c r="X19" s="111" t="s">
        <v>165</v>
      </c>
      <c r="Y19" s="26" t="s">
        <v>111</v>
      </c>
      <c r="Z19" s="26" t="s">
        <v>119</v>
      </c>
      <c r="AA19" s="26" t="s">
        <v>111</v>
      </c>
      <c r="AB19" s="26" t="s">
        <v>115</v>
      </c>
      <c r="AC19" s="80" t="s">
        <v>116</v>
      </c>
      <c r="AD19" s="80" t="s">
        <v>117</v>
      </c>
      <c r="AE19" s="80" t="s">
        <v>185</v>
      </c>
      <c r="AF19" s="92" t="s">
        <v>119</v>
      </c>
      <c r="AG19" s="80" t="s">
        <v>111</v>
      </c>
      <c r="AH19" s="26" t="s">
        <v>177</v>
      </c>
      <c r="AI19" s="80" t="s">
        <v>154</v>
      </c>
      <c r="AJ19" s="80" t="s">
        <v>197</v>
      </c>
      <c r="AK19" s="80" t="s">
        <v>225</v>
      </c>
      <c r="AL19" s="26" t="s">
        <v>177</v>
      </c>
      <c r="AM19" s="26" t="s">
        <v>123</v>
      </c>
      <c r="AN19" s="26" t="s">
        <v>123</v>
      </c>
      <c r="AO19" s="80" t="s">
        <v>123</v>
      </c>
      <c r="AP19" s="26" t="s">
        <v>123</v>
      </c>
      <c r="AQ19" s="80" t="s">
        <v>125</v>
      </c>
      <c r="AR19" s="80" t="s">
        <v>111</v>
      </c>
      <c r="AS19" s="26" t="s">
        <v>110</v>
      </c>
      <c r="AT19" s="9" t="s">
        <v>129</v>
      </c>
      <c r="AU19" s="10" t="s">
        <v>111</v>
      </c>
      <c r="AV19" s="26" t="s">
        <v>119</v>
      </c>
      <c r="AW19" s="26" t="s">
        <v>119</v>
      </c>
      <c r="AX19" s="26" t="s">
        <v>119</v>
      </c>
      <c r="AY19" s="26" t="s">
        <v>111</v>
      </c>
      <c r="AZ19" s="80" t="s">
        <v>142</v>
      </c>
      <c r="BA19" s="80" t="s">
        <v>120</v>
      </c>
      <c r="BB19" s="80" t="s">
        <v>139</v>
      </c>
      <c r="BC19" s="80" t="s">
        <v>129</v>
      </c>
      <c r="BD19" s="92" t="s">
        <v>214</v>
      </c>
      <c r="BE19" s="80" t="s">
        <v>140</v>
      </c>
      <c r="BF19" s="80" t="s">
        <v>141</v>
      </c>
      <c r="BG19" s="26" t="s">
        <v>119</v>
      </c>
      <c r="BH19" s="80" t="s">
        <v>125</v>
      </c>
      <c r="BI19" s="26" t="s">
        <v>111</v>
      </c>
      <c r="BJ19" s="80" t="s">
        <v>120</v>
      </c>
      <c r="BK19" s="26" t="s">
        <v>122</v>
      </c>
      <c r="BL19" s="26" t="s">
        <v>214</v>
      </c>
      <c r="BM19" s="26" t="s">
        <v>127</v>
      </c>
      <c r="BN19" s="11" t="s">
        <v>111</v>
      </c>
      <c r="BO19" s="26" t="s">
        <v>115</v>
      </c>
      <c r="BP19" s="26" t="s">
        <v>120</v>
      </c>
      <c r="BQ19" s="26" t="s">
        <v>110</v>
      </c>
      <c r="BR19" s="26" t="s">
        <v>111</v>
      </c>
      <c r="BS19" s="80" t="s">
        <v>111</v>
      </c>
      <c r="BT19" s="26" t="s">
        <v>111</v>
      </c>
      <c r="BU19" s="26" t="s">
        <v>111</v>
      </c>
      <c r="BV19" s="26" t="s">
        <v>119</v>
      </c>
      <c r="BW19" s="26" t="s">
        <v>110</v>
      </c>
      <c r="BX19" s="26" t="s">
        <v>142</v>
      </c>
      <c r="BY19" s="80" t="s">
        <v>119</v>
      </c>
      <c r="BZ19" s="26" t="s">
        <v>111</v>
      </c>
      <c r="CA19" s="26" t="s">
        <v>129</v>
      </c>
      <c r="CB19" s="26" t="s">
        <v>129</v>
      </c>
      <c r="CC19" s="26" t="s">
        <v>119</v>
      </c>
      <c r="CD19" s="26" t="s">
        <v>129</v>
      </c>
      <c r="CE19" s="26" t="s">
        <v>209</v>
      </c>
      <c r="CF19" s="26" t="s">
        <v>111</v>
      </c>
      <c r="CG19" s="26" t="s">
        <v>129</v>
      </c>
      <c r="CH19" s="80" t="s">
        <v>119</v>
      </c>
      <c r="CI19" s="26" t="s">
        <v>119</v>
      </c>
      <c r="CJ19" s="26" t="s">
        <v>129</v>
      </c>
      <c r="CK19" s="26" t="s">
        <v>124</v>
      </c>
      <c r="CL19" s="26" t="s">
        <v>111</v>
      </c>
      <c r="CM19" s="26" t="s">
        <v>120</v>
      </c>
      <c r="CN19" s="32" t="s">
        <v>231</v>
      </c>
      <c r="CO19" t="s">
        <v>786</v>
      </c>
      <c r="CP19">
        <f>IFERROR(VLOOKUP(H19,'Lista Lideres'!$A$1:$B$350,2,0),0)</f>
        <v>1</v>
      </c>
    </row>
    <row r="20" spans="1:94" ht="15.75" hidden="1" customHeight="1" x14ac:dyDescent="0.3">
      <c r="A20" s="29">
        <v>45573.145409247685</v>
      </c>
      <c r="B20" s="26" t="s">
        <v>169</v>
      </c>
      <c r="C20" s="30" t="s">
        <v>782</v>
      </c>
      <c r="D20" s="30" t="s">
        <v>131</v>
      </c>
      <c r="E20" s="30" t="s">
        <v>199</v>
      </c>
      <c r="F20" s="30" t="s">
        <v>96</v>
      </c>
      <c r="G20" s="30" t="s">
        <v>232</v>
      </c>
      <c r="H20" s="30" t="s">
        <v>233</v>
      </c>
      <c r="I20" s="30" t="s">
        <v>100</v>
      </c>
      <c r="J20" s="30" t="s">
        <v>183</v>
      </c>
      <c r="K20" s="30" t="s">
        <v>102</v>
      </c>
      <c r="L20" s="79" t="s">
        <v>103</v>
      </c>
      <c r="M20" s="8" t="s">
        <v>104</v>
      </c>
      <c r="N20" s="79" t="s">
        <v>105</v>
      </c>
      <c r="O20" s="79" t="s">
        <v>106</v>
      </c>
      <c r="P20" s="79" t="s">
        <v>107</v>
      </c>
      <c r="Q20" s="110" t="s">
        <v>108</v>
      </c>
      <c r="R20" s="30" t="s">
        <v>164</v>
      </c>
      <c r="S20" s="30" t="s">
        <v>111</v>
      </c>
      <c r="T20" s="30" t="s">
        <v>111</v>
      </c>
      <c r="U20" s="30" t="s">
        <v>111</v>
      </c>
      <c r="V20" s="79" t="s">
        <v>136</v>
      </c>
      <c r="W20" s="79" t="s">
        <v>113</v>
      </c>
      <c r="X20" s="110" t="s">
        <v>235</v>
      </c>
      <c r="Y20" s="30" t="s">
        <v>111</v>
      </c>
      <c r="Z20" s="30" t="s">
        <v>111</v>
      </c>
      <c r="AA20" s="30" t="s">
        <v>110</v>
      </c>
      <c r="AB20" s="30" t="s">
        <v>111</v>
      </c>
      <c r="AC20" s="79" t="s">
        <v>111</v>
      </c>
      <c r="AD20" s="79" t="s">
        <v>137</v>
      </c>
      <c r="AE20" s="79" t="s">
        <v>167</v>
      </c>
      <c r="AF20" s="91" t="s">
        <v>111</v>
      </c>
      <c r="AG20" s="79" t="s">
        <v>110</v>
      </c>
      <c r="AH20" s="30" t="s">
        <v>110</v>
      </c>
      <c r="AI20" s="79" t="s">
        <v>110</v>
      </c>
      <c r="AJ20" s="79" t="s">
        <v>128</v>
      </c>
      <c r="AK20" s="79" t="s">
        <v>110</v>
      </c>
      <c r="AL20" s="30" t="s">
        <v>110</v>
      </c>
      <c r="AM20" s="30" t="s">
        <v>110</v>
      </c>
      <c r="AN20" s="30" t="s">
        <v>123</v>
      </c>
      <c r="AO20" s="79" t="s">
        <v>123</v>
      </c>
      <c r="AP20" s="30" t="s">
        <v>110</v>
      </c>
      <c r="AQ20" s="79" t="s">
        <v>126</v>
      </c>
      <c r="AR20" s="79" t="s">
        <v>110</v>
      </c>
      <c r="AS20" s="30" t="s">
        <v>110</v>
      </c>
      <c r="AT20" s="16" t="s">
        <v>111</v>
      </c>
      <c r="AU20" s="17" t="s">
        <v>111</v>
      </c>
      <c r="AV20" s="30" t="s">
        <v>110</v>
      </c>
      <c r="AW20" s="30" t="s">
        <v>110</v>
      </c>
      <c r="AX20" s="30" t="s">
        <v>110</v>
      </c>
      <c r="AY20" s="30" t="s">
        <v>111</v>
      </c>
      <c r="AZ20" s="79" t="s">
        <v>126</v>
      </c>
      <c r="BA20" s="79" t="s">
        <v>110</v>
      </c>
      <c r="BB20" s="79" t="s">
        <v>126</v>
      </c>
      <c r="BC20" s="79" t="s">
        <v>110</v>
      </c>
      <c r="BD20" s="91" t="s">
        <v>126</v>
      </c>
      <c r="BE20" s="79" t="s">
        <v>126</v>
      </c>
      <c r="BF20" s="79" t="s">
        <v>110</v>
      </c>
      <c r="BG20" s="30" t="s">
        <v>110</v>
      </c>
      <c r="BH20" s="79" t="s">
        <v>125</v>
      </c>
      <c r="BI20" s="30" t="s">
        <v>111</v>
      </c>
      <c r="BJ20" s="79" t="s">
        <v>111</v>
      </c>
      <c r="BK20" s="30" t="s">
        <v>110</v>
      </c>
      <c r="BL20" s="30" t="s">
        <v>126</v>
      </c>
      <c r="BM20" s="30" t="s">
        <v>110</v>
      </c>
      <c r="BN20" s="18" t="s">
        <v>111</v>
      </c>
      <c r="BO20" s="30" t="s">
        <v>111</v>
      </c>
      <c r="BP20" s="30" t="s">
        <v>111</v>
      </c>
      <c r="BQ20" s="30" t="s">
        <v>111</v>
      </c>
      <c r="BR20" s="30" t="s">
        <v>111</v>
      </c>
      <c r="BS20" s="79" t="s">
        <v>111</v>
      </c>
      <c r="BT20" s="30" t="s">
        <v>110</v>
      </c>
      <c r="BU20" s="30" t="s">
        <v>110</v>
      </c>
      <c r="BV20" s="30" t="s">
        <v>110</v>
      </c>
      <c r="BW20" s="30" t="s">
        <v>110</v>
      </c>
      <c r="BX20" s="30" t="s">
        <v>124</v>
      </c>
      <c r="BY20" s="79" t="s">
        <v>110</v>
      </c>
      <c r="BZ20" s="30" t="s">
        <v>111</v>
      </c>
      <c r="CA20" s="30" t="s">
        <v>111</v>
      </c>
      <c r="CB20" s="30" t="s">
        <v>110</v>
      </c>
      <c r="CC20" s="30" t="s">
        <v>119</v>
      </c>
      <c r="CD20" s="30" t="s">
        <v>110</v>
      </c>
      <c r="CE20" s="30" t="s">
        <v>110</v>
      </c>
      <c r="CF20" s="30" t="s">
        <v>110</v>
      </c>
      <c r="CG20" s="30" t="s">
        <v>119</v>
      </c>
      <c r="CH20" s="79" t="s">
        <v>119</v>
      </c>
      <c r="CI20" s="30" t="s">
        <v>110</v>
      </c>
      <c r="CJ20" s="30" t="s">
        <v>110</v>
      </c>
      <c r="CK20" s="30" t="s">
        <v>126</v>
      </c>
      <c r="CL20" s="30" t="s">
        <v>119</v>
      </c>
      <c r="CM20" s="30" t="s">
        <v>111</v>
      </c>
      <c r="CN20" s="28"/>
      <c r="CO20" t="s">
        <v>786</v>
      </c>
      <c r="CP20">
        <f>IFERROR(VLOOKUP(H20,'Lista Lideres'!$A$1:$B$350,2,0),0)</f>
        <v>0</v>
      </c>
    </row>
    <row r="21" spans="1:94" ht="15.75" hidden="1" customHeight="1" x14ac:dyDescent="0.3">
      <c r="A21" s="25">
        <v>45574.10737888889</v>
      </c>
      <c r="B21" s="26" t="s">
        <v>169</v>
      </c>
      <c r="C21" s="26" t="s">
        <v>782</v>
      </c>
      <c r="D21" s="26" t="s">
        <v>93</v>
      </c>
      <c r="E21" s="26" t="s">
        <v>236</v>
      </c>
      <c r="F21" s="26" t="s">
        <v>171</v>
      </c>
      <c r="G21" s="26" t="s">
        <v>237</v>
      </c>
      <c r="H21" s="26" t="s">
        <v>237</v>
      </c>
      <c r="I21" s="26" t="s">
        <v>149</v>
      </c>
      <c r="J21" s="26" t="s">
        <v>196</v>
      </c>
      <c r="K21" s="26" t="s">
        <v>191</v>
      </c>
      <c r="L21" s="80" t="s">
        <v>150</v>
      </c>
      <c r="M21" s="8" t="s">
        <v>104</v>
      </c>
      <c r="N21" s="80" t="s">
        <v>105</v>
      </c>
      <c r="O21" s="80" t="s">
        <v>106</v>
      </c>
      <c r="P21" s="80" t="s">
        <v>107</v>
      </c>
      <c r="Q21" s="111" t="s">
        <v>108</v>
      </c>
      <c r="R21" s="26" t="s">
        <v>109</v>
      </c>
      <c r="S21" s="26" t="s">
        <v>110</v>
      </c>
      <c r="T21" s="26" t="s">
        <v>119</v>
      </c>
      <c r="U21" s="26" t="s">
        <v>110</v>
      </c>
      <c r="V21" s="80" t="s">
        <v>112</v>
      </c>
      <c r="W21" s="80" t="s">
        <v>152</v>
      </c>
      <c r="X21" s="111" t="s">
        <v>153</v>
      </c>
      <c r="Y21" s="26" t="s">
        <v>206</v>
      </c>
      <c r="Z21" s="26" t="s">
        <v>119</v>
      </c>
      <c r="AA21" s="26" t="s">
        <v>119</v>
      </c>
      <c r="AB21" s="26" t="s">
        <v>110</v>
      </c>
      <c r="AC21" s="80" t="s">
        <v>111</v>
      </c>
      <c r="AD21" s="80" t="s">
        <v>137</v>
      </c>
      <c r="AE21" s="80" t="s">
        <v>118</v>
      </c>
      <c r="AF21" s="92" t="s">
        <v>110</v>
      </c>
      <c r="AG21" s="80" t="s">
        <v>111</v>
      </c>
      <c r="AH21" s="26" t="s">
        <v>122</v>
      </c>
      <c r="AI21" s="80" t="s">
        <v>154</v>
      </c>
      <c r="AJ21" s="80" t="s">
        <v>197</v>
      </c>
      <c r="AK21" s="80" t="s">
        <v>110</v>
      </c>
      <c r="AL21" s="26" t="s">
        <v>122</v>
      </c>
      <c r="AM21" s="26" t="s">
        <v>110</v>
      </c>
      <c r="AN21" s="26" t="s">
        <v>110</v>
      </c>
      <c r="AO21" s="80" t="s">
        <v>110</v>
      </c>
      <c r="AP21" s="26" t="s">
        <v>110</v>
      </c>
      <c r="AQ21" s="80" t="s">
        <v>124</v>
      </c>
      <c r="AR21" s="80" t="s">
        <v>110</v>
      </c>
      <c r="AS21" s="26" t="s">
        <v>110</v>
      </c>
      <c r="AT21" s="9" t="s">
        <v>119</v>
      </c>
      <c r="AU21" s="10" t="s">
        <v>110</v>
      </c>
      <c r="AV21" s="26" t="s">
        <v>119</v>
      </c>
      <c r="AW21" s="26" t="s">
        <v>110</v>
      </c>
      <c r="AX21" s="26" t="s">
        <v>119</v>
      </c>
      <c r="AY21" s="26" t="s">
        <v>120</v>
      </c>
      <c r="AZ21" s="80" t="s">
        <v>125</v>
      </c>
      <c r="BA21" s="80" t="s">
        <v>120</v>
      </c>
      <c r="BB21" s="80" t="s">
        <v>139</v>
      </c>
      <c r="BC21" s="80" t="s">
        <v>111</v>
      </c>
      <c r="BD21" s="92" t="s">
        <v>124</v>
      </c>
      <c r="BE21" s="80" t="s">
        <v>140</v>
      </c>
      <c r="BF21" s="80" t="s">
        <v>141</v>
      </c>
      <c r="BG21" s="26" t="s">
        <v>119</v>
      </c>
      <c r="BH21" s="80" t="s">
        <v>142</v>
      </c>
      <c r="BI21" s="26" t="s">
        <v>111</v>
      </c>
      <c r="BJ21" s="80" t="s">
        <v>110</v>
      </c>
      <c r="BK21" s="26" t="s">
        <v>110</v>
      </c>
      <c r="BL21" s="26" t="s">
        <v>126</v>
      </c>
      <c r="BM21" s="26" t="s">
        <v>127</v>
      </c>
      <c r="BN21" s="11" t="s">
        <v>111</v>
      </c>
      <c r="BO21" s="26" t="s">
        <v>119</v>
      </c>
      <c r="BP21" s="26" t="s">
        <v>111</v>
      </c>
      <c r="BQ21" s="26" t="s">
        <v>110</v>
      </c>
      <c r="BR21" s="26" t="s">
        <v>110</v>
      </c>
      <c r="BS21" s="80" t="s">
        <v>110</v>
      </c>
      <c r="BT21" s="26" t="s">
        <v>111</v>
      </c>
      <c r="BU21" s="26" t="s">
        <v>110</v>
      </c>
      <c r="BV21" s="26" t="s">
        <v>110</v>
      </c>
      <c r="BW21" s="26" t="s">
        <v>110</v>
      </c>
      <c r="BX21" s="26" t="s">
        <v>125</v>
      </c>
      <c r="BY21" s="80" t="s">
        <v>110</v>
      </c>
      <c r="BZ21" s="26" t="s">
        <v>119</v>
      </c>
      <c r="CA21" s="26" t="s">
        <v>111</v>
      </c>
      <c r="CB21" s="26" t="s">
        <v>119</v>
      </c>
      <c r="CC21" s="26" t="s">
        <v>119</v>
      </c>
      <c r="CD21" s="26" t="s">
        <v>110</v>
      </c>
      <c r="CE21" s="26" t="s">
        <v>110</v>
      </c>
      <c r="CF21" s="26" t="s">
        <v>110</v>
      </c>
      <c r="CG21" s="26" t="s">
        <v>129</v>
      </c>
      <c r="CH21" s="80" t="s">
        <v>110</v>
      </c>
      <c r="CI21" s="26" t="s">
        <v>111</v>
      </c>
      <c r="CJ21" s="26" t="s">
        <v>119</v>
      </c>
      <c r="CK21" s="26" t="s">
        <v>126</v>
      </c>
      <c r="CL21" s="26" t="s">
        <v>110</v>
      </c>
      <c r="CM21" s="26" t="s">
        <v>110</v>
      </c>
      <c r="CN21" s="27" t="s">
        <v>238</v>
      </c>
      <c r="CO21" t="s">
        <v>785</v>
      </c>
      <c r="CP21">
        <f>IFERROR(VLOOKUP(H21,'Lista Lideres'!$A$1:$B$350,2,0),0)</f>
        <v>1</v>
      </c>
    </row>
    <row r="22" spans="1:94" ht="15.75" hidden="1" customHeight="1" x14ac:dyDescent="0.3">
      <c r="A22" s="29">
        <v>45574.02581146991</v>
      </c>
      <c r="B22" s="26" t="s">
        <v>169</v>
      </c>
      <c r="C22" s="30" t="s">
        <v>782</v>
      </c>
      <c r="D22" s="30" t="s">
        <v>93</v>
      </c>
      <c r="E22" s="30" t="s">
        <v>199</v>
      </c>
      <c r="F22" s="30" t="s">
        <v>171</v>
      </c>
      <c r="G22" s="30" t="s">
        <v>239</v>
      </c>
      <c r="H22" s="30" t="s">
        <v>240</v>
      </c>
      <c r="I22" s="30" t="s">
        <v>195</v>
      </c>
      <c r="J22" s="30" t="s">
        <v>101</v>
      </c>
      <c r="K22" s="30" t="s">
        <v>102</v>
      </c>
      <c r="L22" s="79" t="s">
        <v>103</v>
      </c>
      <c r="M22" s="8" t="s">
        <v>104</v>
      </c>
      <c r="N22" s="79" t="s">
        <v>105</v>
      </c>
      <c r="O22" s="79" t="s">
        <v>106</v>
      </c>
      <c r="P22" s="79" t="s">
        <v>107</v>
      </c>
      <c r="Q22" s="110" t="s">
        <v>151</v>
      </c>
      <c r="R22" s="30" t="s">
        <v>176</v>
      </c>
      <c r="S22" s="30" t="s">
        <v>120</v>
      </c>
      <c r="T22" s="30" t="s">
        <v>115</v>
      </c>
      <c r="U22" s="30" t="s">
        <v>115</v>
      </c>
      <c r="V22" s="79" t="s">
        <v>126</v>
      </c>
      <c r="W22" s="79" t="s">
        <v>113</v>
      </c>
      <c r="X22" s="110" t="s">
        <v>235</v>
      </c>
      <c r="Y22" s="30" t="s">
        <v>115</v>
      </c>
      <c r="Z22" s="30" t="s">
        <v>168</v>
      </c>
      <c r="AA22" s="30" t="s">
        <v>168</v>
      </c>
      <c r="AB22" s="30" t="s">
        <v>115</v>
      </c>
      <c r="AC22" s="79" t="s">
        <v>110</v>
      </c>
      <c r="AD22" s="79" t="s">
        <v>166</v>
      </c>
      <c r="AE22" s="79" t="s">
        <v>138</v>
      </c>
      <c r="AF22" s="91" t="s">
        <v>120</v>
      </c>
      <c r="AG22" s="79" t="s">
        <v>168</v>
      </c>
      <c r="AH22" s="30" t="s">
        <v>168</v>
      </c>
      <c r="AI22" s="79" t="s">
        <v>121</v>
      </c>
      <c r="AJ22" s="79" t="s">
        <v>110</v>
      </c>
      <c r="AK22" s="79" t="s">
        <v>110</v>
      </c>
      <c r="AL22" s="30" t="s">
        <v>110</v>
      </c>
      <c r="AM22" s="30" t="s">
        <v>110</v>
      </c>
      <c r="AN22" s="30" t="s">
        <v>110</v>
      </c>
      <c r="AO22" s="79" t="s">
        <v>110</v>
      </c>
      <c r="AP22" s="30" t="s">
        <v>110</v>
      </c>
      <c r="AQ22" s="79" t="s">
        <v>126</v>
      </c>
      <c r="AR22" s="79" t="s">
        <v>110</v>
      </c>
      <c r="AS22" s="30" t="s">
        <v>110</v>
      </c>
      <c r="AT22" s="16" t="s">
        <v>129</v>
      </c>
      <c r="AU22" s="17" t="s">
        <v>115</v>
      </c>
      <c r="AV22" s="30" t="s">
        <v>129</v>
      </c>
      <c r="AW22" s="30" t="s">
        <v>129</v>
      </c>
      <c r="AX22" s="30" t="s">
        <v>129</v>
      </c>
      <c r="AY22" s="30" t="s">
        <v>120</v>
      </c>
      <c r="AZ22" s="79" t="s">
        <v>126</v>
      </c>
      <c r="BA22" s="79" t="s">
        <v>110</v>
      </c>
      <c r="BB22" s="79" t="s">
        <v>126</v>
      </c>
      <c r="BC22" s="79" t="s">
        <v>110</v>
      </c>
      <c r="BD22" s="91" t="s">
        <v>126</v>
      </c>
      <c r="BE22" s="79" t="s">
        <v>126</v>
      </c>
      <c r="BF22" s="79" t="s">
        <v>110</v>
      </c>
      <c r="BG22" s="30" t="s">
        <v>110</v>
      </c>
      <c r="BH22" s="79" t="s">
        <v>126</v>
      </c>
      <c r="BI22" s="30" t="s">
        <v>110</v>
      </c>
      <c r="BJ22" s="79" t="s">
        <v>110</v>
      </c>
      <c r="BK22" s="30" t="s">
        <v>110</v>
      </c>
      <c r="BL22" s="30" t="s">
        <v>126</v>
      </c>
      <c r="BM22" s="30" t="s">
        <v>110</v>
      </c>
      <c r="BN22" s="18" t="s">
        <v>115</v>
      </c>
      <c r="BO22" s="30" t="s">
        <v>110</v>
      </c>
      <c r="BP22" s="30" t="s">
        <v>120</v>
      </c>
      <c r="BQ22" s="30" t="s">
        <v>110</v>
      </c>
      <c r="BR22" s="30" t="s">
        <v>110</v>
      </c>
      <c r="BS22" s="79" t="s">
        <v>111</v>
      </c>
      <c r="BT22" s="30" t="s">
        <v>110</v>
      </c>
      <c r="BU22" s="30" t="s">
        <v>110</v>
      </c>
      <c r="BV22" s="30" t="s">
        <v>110</v>
      </c>
      <c r="BW22" s="30" t="s">
        <v>110</v>
      </c>
      <c r="BX22" s="30" t="s">
        <v>126</v>
      </c>
      <c r="BY22" s="79" t="s">
        <v>110</v>
      </c>
      <c r="BZ22" s="30" t="s">
        <v>110</v>
      </c>
      <c r="CA22" s="30" t="s">
        <v>110</v>
      </c>
      <c r="CB22" s="30" t="s">
        <v>110</v>
      </c>
      <c r="CC22" s="30" t="s">
        <v>110</v>
      </c>
      <c r="CD22" s="30" t="s">
        <v>110</v>
      </c>
      <c r="CE22" s="30" t="s">
        <v>110</v>
      </c>
      <c r="CF22" s="30" t="s">
        <v>110</v>
      </c>
      <c r="CG22" s="30" t="s">
        <v>110</v>
      </c>
      <c r="CH22" s="79" t="s">
        <v>110</v>
      </c>
      <c r="CI22" s="30" t="s">
        <v>110</v>
      </c>
      <c r="CJ22" s="30" t="s">
        <v>110</v>
      </c>
      <c r="CK22" s="30" t="s">
        <v>126</v>
      </c>
      <c r="CL22" s="30" t="s">
        <v>110</v>
      </c>
      <c r="CM22" s="30" t="s">
        <v>110</v>
      </c>
      <c r="CN22" s="28"/>
      <c r="CO22" t="s">
        <v>786</v>
      </c>
      <c r="CP22">
        <f>IFERROR(VLOOKUP(H22,'Lista Lideres'!$A$1:$B$350,2,0),0)</f>
        <v>0</v>
      </c>
    </row>
    <row r="23" spans="1:94" ht="15.75" hidden="1" customHeight="1" x14ac:dyDescent="0.3">
      <c r="A23" s="25">
        <v>45574.076915196754</v>
      </c>
      <c r="B23" s="26" t="s">
        <v>169</v>
      </c>
      <c r="C23" s="26" t="s">
        <v>782</v>
      </c>
      <c r="D23" s="26" t="s">
        <v>131</v>
      </c>
      <c r="E23" s="26" t="s">
        <v>199</v>
      </c>
      <c r="F23" s="26" t="s">
        <v>171</v>
      </c>
      <c r="G23" s="26" t="s">
        <v>241</v>
      </c>
      <c r="H23" s="26" t="s">
        <v>242</v>
      </c>
      <c r="I23" s="26" t="s">
        <v>149</v>
      </c>
      <c r="J23" s="26" t="s">
        <v>183</v>
      </c>
      <c r="K23" s="26" t="s">
        <v>191</v>
      </c>
      <c r="L23" s="80" t="s">
        <v>103</v>
      </c>
      <c r="M23" s="8" t="s">
        <v>104</v>
      </c>
      <c r="N23" s="80" t="s">
        <v>105</v>
      </c>
      <c r="O23" s="80" t="s">
        <v>106</v>
      </c>
      <c r="P23" s="80" t="s">
        <v>107</v>
      </c>
      <c r="Q23" s="111" t="s">
        <v>151</v>
      </c>
      <c r="R23" s="80" t="s">
        <v>184</v>
      </c>
      <c r="S23" s="26" t="s">
        <v>110</v>
      </c>
      <c r="T23" s="26" t="s">
        <v>110</v>
      </c>
      <c r="U23" s="26" t="s">
        <v>110</v>
      </c>
      <c r="V23" s="80" t="s">
        <v>112</v>
      </c>
      <c r="W23" s="80" t="s">
        <v>113</v>
      </c>
      <c r="X23" s="111" t="s">
        <v>165</v>
      </c>
      <c r="Y23" s="26" t="s">
        <v>111</v>
      </c>
      <c r="Z23" s="26" t="s">
        <v>111</v>
      </c>
      <c r="AA23" s="26" t="s">
        <v>110</v>
      </c>
      <c r="AB23" s="26" t="s">
        <v>111</v>
      </c>
      <c r="AC23" s="80" t="s">
        <v>111</v>
      </c>
      <c r="AD23" s="80" t="s">
        <v>166</v>
      </c>
      <c r="AE23" s="80" t="s">
        <v>138</v>
      </c>
      <c r="AF23" s="92" t="s">
        <v>111</v>
      </c>
      <c r="AG23" s="80" t="s">
        <v>168</v>
      </c>
      <c r="AH23" s="26" t="s">
        <v>110</v>
      </c>
      <c r="AI23" s="80" t="s">
        <v>110</v>
      </c>
      <c r="AJ23" s="80" t="s">
        <v>110</v>
      </c>
      <c r="AK23" s="80" t="s">
        <v>110</v>
      </c>
      <c r="AL23" s="26" t="s">
        <v>110</v>
      </c>
      <c r="AM23" s="26" t="s">
        <v>110</v>
      </c>
      <c r="AN23" s="26" t="s">
        <v>177</v>
      </c>
      <c r="AO23" s="80" t="s">
        <v>110</v>
      </c>
      <c r="AP23" s="26" t="s">
        <v>110</v>
      </c>
      <c r="AQ23" s="80" t="s">
        <v>126</v>
      </c>
      <c r="AR23" s="80" t="s">
        <v>110</v>
      </c>
      <c r="AS23" s="26" t="s">
        <v>110</v>
      </c>
      <c r="AT23" s="9" t="s">
        <v>110</v>
      </c>
      <c r="AU23" s="10" t="s">
        <v>110</v>
      </c>
      <c r="AV23" s="26" t="s">
        <v>110</v>
      </c>
      <c r="AW23" s="26" t="s">
        <v>110</v>
      </c>
      <c r="AX23" s="26" t="s">
        <v>110</v>
      </c>
      <c r="AY23" s="26" t="s">
        <v>120</v>
      </c>
      <c r="AZ23" s="80" t="s">
        <v>126</v>
      </c>
      <c r="BA23" s="80" t="s">
        <v>110</v>
      </c>
      <c r="BB23" s="80" t="s">
        <v>124</v>
      </c>
      <c r="BC23" s="80" t="s">
        <v>110</v>
      </c>
      <c r="BD23" s="92" t="s">
        <v>126</v>
      </c>
      <c r="BE23" s="80" t="s">
        <v>126</v>
      </c>
      <c r="BF23" s="80" t="s">
        <v>110</v>
      </c>
      <c r="BG23" s="26" t="s">
        <v>110</v>
      </c>
      <c r="BH23" s="80" t="s">
        <v>126</v>
      </c>
      <c r="BI23" s="26" t="s">
        <v>120</v>
      </c>
      <c r="BJ23" s="80" t="s">
        <v>110</v>
      </c>
      <c r="BK23" s="26" t="s">
        <v>110</v>
      </c>
      <c r="BL23" s="26" t="s">
        <v>126</v>
      </c>
      <c r="BM23" s="26" t="s">
        <v>110</v>
      </c>
      <c r="BN23" s="11" t="s">
        <v>111</v>
      </c>
      <c r="BO23" s="26" t="s">
        <v>111</v>
      </c>
      <c r="BP23" s="26" t="s">
        <v>111</v>
      </c>
      <c r="BQ23" s="26" t="s">
        <v>110</v>
      </c>
      <c r="BR23" s="26" t="s">
        <v>110</v>
      </c>
      <c r="BS23" s="80" t="s">
        <v>110</v>
      </c>
      <c r="BT23" s="26" t="s">
        <v>111</v>
      </c>
      <c r="BU23" s="26" t="s">
        <v>110</v>
      </c>
      <c r="BV23" s="26" t="s">
        <v>110</v>
      </c>
      <c r="BW23" s="26" t="s">
        <v>110</v>
      </c>
      <c r="BX23" s="26" t="s">
        <v>126</v>
      </c>
      <c r="BY23" s="80" t="s">
        <v>110</v>
      </c>
      <c r="BZ23" s="26" t="s">
        <v>115</v>
      </c>
      <c r="CA23" s="26" t="s">
        <v>110</v>
      </c>
      <c r="CB23" s="26" t="s">
        <v>110</v>
      </c>
      <c r="CC23" s="26" t="s">
        <v>110</v>
      </c>
      <c r="CD23" s="26" t="s">
        <v>110</v>
      </c>
      <c r="CE23" s="26" t="s">
        <v>110</v>
      </c>
      <c r="CF23" s="26" t="s">
        <v>110</v>
      </c>
      <c r="CG23" s="26" t="s">
        <v>110</v>
      </c>
      <c r="CH23" s="80" t="s">
        <v>110</v>
      </c>
      <c r="CI23" s="26" t="s">
        <v>115</v>
      </c>
      <c r="CJ23" s="26" t="s">
        <v>119</v>
      </c>
      <c r="CK23" s="26" t="s">
        <v>126</v>
      </c>
      <c r="CL23" s="26" t="s">
        <v>110</v>
      </c>
      <c r="CM23" s="26" t="s">
        <v>110</v>
      </c>
      <c r="CN23" s="32" t="s">
        <v>243</v>
      </c>
      <c r="CO23" t="s">
        <v>785</v>
      </c>
      <c r="CP23">
        <f>IFERROR(VLOOKUP(H23,'Lista Lideres'!$A$1:$B$350,2,0),0)</f>
        <v>0</v>
      </c>
    </row>
    <row r="24" spans="1:94" ht="15.75" hidden="1" customHeight="1" x14ac:dyDescent="0.3">
      <c r="A24" s="29">
        <v>45562.922949131942</v>
      </c>
      <c r="B24" s="26" t="s">
        <v>169</v>
      </c>
      <c r="C24" s="30" t="s">
        <v>782</v>
      </c>
      <c r="D24" s="30" t="s">
        <v>93</v>
      </c>
      <c r="E24" s="30" t="s">
        <v>244</v>
      </c>
      <c r="F24" s="30" t="s">
        <v>96</v>
      </c>
      <c r="G24" s="30" t="s">
        <v>160</v>
      </c>
      <c r="H24" s="30" t="s">
        <v>245</v>
      </c>
      <c r="I24" s="30" t="s">
        <v>149</v>
      </c>
      <c r="J24" s="30" t="s">
        <v>196</v>
      </c>
      <c r="K24" s="30" t="s">
        <v>102</v>
      </c>
      <c r="L24" s="79" t="s">
        <v>103</v>
      </c>
      <c r="M24" s="8" t="s">
        <v>104</v>
      </c>
      <c r="N24" s="79" t="s">
        <v>105</v>
      </c>
      <c r="O24" s="79" t="s">
        <v>106</v>
      </c>
      <c r="P24" s="79" t="s">
        <v>107</v>
      </c>
      <c r="Q24" s="110" t="s">
        <v>108</v>
      </c>
      <c r="R24" s="30" t="s">
        <v>164</v>
      </c>
      <c r="S24" s="30" t="s">
        <v>110</v>
      </c>
      <c r="T24" s="30" t="s">
        <v>119</v>
      </c>
      <c r="U24" s="30" t="s">
        <v>129</v>
      </c>
      <c r="V24" s="79" t="s">
        <v>112</v>
      </c>
      <c r="W24" s="79" t="s">
        <v>113</v>
      </c>
      <c r="X24" s="110" t="s">
        <v>153</v>
      </c>
      <c r="Y24" s="30" t="s">
        <v>110</v>
      </c>
      <c r="Z24" s="30" t="s">
        <v>110</v>
      </c>
      <c r="AA24" s="30" t="s">
        <v>110</v>
      </c>
      <c r="AB24" s="30" t="s">
        <v>115</v>
      </c>
      <c r="AC24" s="79" t="s">
        <v>110</v>
      </c>
      <c r="AD24" s="79" t="s">
        <v>137</v>
      </c>
      <c r="AE24" s="79" t="s">
        <v>118</v>
      </c>
      <c r="AF24" s="91" t="s">
        <v>111</v>
      </c>
      <c r="AG24" s="79" t="s">
        <v>119</v>
      </c>
      <c r="AH24" s="30" t="s">
        <v>122</v>
      </c>
      <c r="AI24" s="79" t="s">
        <v>110</v>
      </c>
      <c r="AJ24" s="79" t="s">
        <v>122</v>
      </c>
      <c r="AK24" s="79" t="s">
        <v>122</v>
      </c>
      <c r="AL24" s="30" t="s">
        <v>122</v>
      </c>
      <c r="AM24" s="30" t="s">
        <v>110</v>
      </c>
      <c r="AN24" s="30" t="s">
        <v>110</v>
      </c>
      <c r="AO24" s="79" t="s">
        <v>110</v>
      </c>
      <c r="AP24" s="30" t="s">
        <v>123</v>
      </c>
      <c r="AQ24" s="79" t="s">
        <v>126</v>
      </c>
      <c r="AR24" s="79" t="s">
        <v>111</v>
      </c>
      <c r="AS24" s="30" t="s">
        <v>111</v>
      </c>
      <c r="AT24" s="16" t="s">
        <v>119</v>
      </c>
      <c r="AU24" s="17" t="s">
        <v>111</v>
      </c>
      <c r="AV24" s="30" t="s">
        <v>111</v>
      </c>
      <c r="AW24" s="30" t="s">
        <v>111</v>
      </c>
      <c r="AX24" s="30" t="s">
        <v>110</v>
      </c>
      <c r="AY24" s="30" t="s">
        <v>120</v>
      </c>
      <c r="AZ24" s="79" t="s">
        <v>126</v>
      </c>
      <c r="BA24" s="79" t="s">
        <v>110</v>
      </c>
      <c r="BB24" s="79" t="s">
        <v>126</v>
      </c>
      <c r="BC24" s="79" t="s">
        <v>110</v>
      </c>
      <c r="BD24" s="91" t="s">
        <v>124</v>
      </c>
      <c r="BE24" s="79" t="s">
        <v>126</v>
      </c>
      <c r="BF24" s="79" t="s">
        <v>110</v>
      </c>
      <c r="BG24" s="30" t="s">
        <v>119</v>
      </c>
      <c r="BH24" s="79" t="s">
        <v>142</v>
      </c>
      <c r="BI24" s="30" t="s">
        <v>120</v>
      </c>
      <c r="BJ24" s="79" t="s">
        <v>110</v>
      </c>
      <c r="BK24" s="30" t="s">
        <v>110</v>
      </c>
      <c r="BL24" s="30" t="s">
        <v>126</v>
      </c>
      <c r="BM24" s="30" t="s">
        <v>110</v>
      </c>
      <c r="BN24" s="18" t="s">
        <v>115</v>
      </c>
      <c r="BO24" s="30" t="s">
        <v>115</v>
      </c>
      <c r="BP24" s="30" t="s">
        <v>120</v>
      </c>
      <c r="BQ24" s="30" t="s">
        <v>110</v>
      </c>
      <c r="BR24" s="30" t="s">
        <v>110</v>
      </c>
      <c r="BS24" s="79" t="s">
        <v>115</v>
      </c>
      <c r="BT24" s="30" t="s">
        <v>115</v>
      </c>
      <c r="BU24" s="30" t="s">
        <v>115</v>
      </c>
      <c r="BV24" s="30" t="s">
        <v>111</v>
      </c>
      <c r="BW24" s="30" t="s">
        <v>110</v>
      </c>
      <c r="BX24" s="30" t="s">
        <v>124</v>
      </c>
      <c r="BY24" s="79" t="s">
        <v>110</v>
      </c>
      <c r="BZ24" s="30" t="s">
        <v>115</v>
      </c>
      <c r="CA24" s="30" t="s">
        <v>110</v>
      </c>
      <c r="CB24" s="30" t="s">
        <v>110</v>
      </c>
      <c r="CC24" s="30" t="s">
        <v>110</v>
      </c>
      <c r="CD24" s="30" t="s">
        <v>110</v>
      </c>
      <c r="CE24" s="30" t="s">
        <v>127</v>
      </c>
      <c r="CF24" s="30" t="s">
        <v>119</v>
      </c>
      <c r="CG24" s="30" t="s">
        <v>119</v>
      </c>
      <c r="CH24" s="79" t="s">
        <v>110</v>
      </c>
      <c r="CI24" s="30" t="s">
        <v>111</v>
      </c>
      <c r="CJ24" s="30" t="s">
        <v>111</v>
      </c>
      <c r="CK24" s="30" t="s">
        <v>124</v>
      </c>
      <c r="CL24" s="30" t="s">
        <v>111</v>
      </c>
      <c r="CM24" s="30" t="s">
        <v>120</v>
      </c>
      <c r="CN24" s="28"/>
      <c r="CO24" t="s">
        <v>785</v>
      </c>
      <c r="CP24">
        <f>IFERROR(VLOOKUP(H24,'Lista Lideres'!$A$1:$B$350,2,0),0)</f>
        <v>0</v>
      </c>
    </row>
    <row r="25" spans="1:94" ht="15.75" hidden="1" customHeight="1" x14ac:dyDescent="0.3">
      <c r="A25" s="25">
        <v>45573.029935682869</v>
      </c>
      <c r="B25" s="26" t="s">
        <v>169</v>
      </c>
      <c r="C25" s="26" t="s">
        <v>782</v>
      </c>
      <c r="D25" s="26" t="s">
        <v>93</v>
      </c>
      <c r="E25" s="26" t="s">
        <v>246</v>
      </c>
      <c r="F25" s="26" t="s">
        <v>146</v>
      </c>
      <c r="G25" s="26" t="s">
        <v>247</v>
      </c>
      <c r="H25" s="26" t="s">
        <v>247</v>
      </c>
      <c r="I25" s="26" t="s">
        <v>100</v>
      </c>
      <c r="J25" s="26" t="s">
        <v>101</v>
      </c>
      <c r="K25" s="26" t="s">
        <v>102</v>
      </c>
      <c r="L25" s="80" t="s">
        <v>103</v>
      </c>
      <c r="M25" s="8" t="s">
        <v>104</v>
      </c>
      <c r="N25" s="80" t="s">
        <v>105</v>
      </c>
      <c r="O25" s="80" t="s">
        <v>106</v>
      </c>
      <c r="P25" s="80" t="s">
        <v>107</v>
      </c>
      <c r="Q25" s="111" t="s">
        <v>108</v>
      </c>
      <c r="R25" s="80" t="s">
        <v>184</v>
      </c>
      <c r="S25" s="26" t="s">
        <v>129</v>
      </c>
      <c r="T25" s="26" t="s">
        <v>119</v>
      </c>
      <c r="U25" s="26" t="s">
        <v>119</v>
      </c>
      <c r="V25" s="80" t="s">
        <v>112</v>
      </c>
      <c r="W25" s="80" t="s">
        <v>113</v>
      </c>
      <c r="X25" s="111" t="s">
        <v>235</v>
      </c>
      <c r="Y25" s="26" t="s">
        <v>206</v>
      </c>
      <c r="Z25" s="26" t="s">
        <v>111</v>
      </c>
      <c r="AA25" s="26" t="s">
        <v>111</v>
      </c>
      <c r="AB25" s="26" t="s">
        <v>119</v>
      </c>
      <c r="AC25" s="80" t="s">
        <v>116</v>
      </c>
      <c r="AD25" s="80" t="s">
        <v>137</v>
      </c>
      <c r="AE25" s="80" t="s">
        <v>138</v>
      </c>
      <c r="AF25" s="92" t="s">
        <v>110</v>
      </c>
      <c r="AG25" s="80" t="s">
        <v>111</v>
      </c>
      <c r="AH25" s="26" t="s">
        <v>177</v>
      </c>
      <c r="AI25" s="80" t="s">
        <v>110</v>
      </c>
      <c r="AJ25" s="80" t="s">
        <v>110</v>
      </c>
      <c r="AK25" s="80" t="s">
        <v>110</v>
      </c>
      <c r="AL25" s="26" t="s">
        <v>122</v>
      </c>
      <c r="AM25" s="26" t="s">
        <v>123</v>
      </c>
      <c r="AN25" s="26" t="s">
        <v>177</v>
      </c>
      <c r="AO25" s="80" t="s">
        <v>123</v>
      </c>
      <c r="AP25" s="26" t="s">
        <v>110</v>
      </c>
      <c r="AQ25" s="80" t="s">
        <v>126</v>
      </c>
      <c r="AR25" s="80" t="s">
        <v>111</v>
      </c>
      <c r="AS25" s="26" t="s">
        <v>119</v>
      </c>
      <c r="AT25" s="9" t="s">
        <v>111</v>
      </c>
      <c r="AU25" s="10" t="s">
        <v>111</v>
      </c>
      <c r="AV25" s="26" t="s">
        <v>119</v>
      </c>
      <c r="AW25" s="26" t="s">
        <v>110</v>
      </c>
      <c r="AX25" s="26" t="s">
        <v>110</v>
      </c>
      <c r="AY25" s="26" t="s">
        <v>120</v>
      </c>
      <c r="AZ25" s="80" t="s">
        <v>125</v>
      </c>
      <c r="BA25" s="80" t="s">
        <v>110</v>
      </c>
      <c r="BB25" s="80" t="s">
        <v>126</v>
      </c>
      <c r="BC25" s="80" t="s">
        <v>111</v>
      </c>
      <c r="BD25" s="92" t="s">
        <v>126</v>
      </c>
      <c r="BE25" s="80" t="s">
        <v>126</v>
      </c>
      <c r="BF25" s="80" t="s">
        <v>110</v>
      </c>
      <c r="BG25" s="26" t="s">
        <v>110</v>
      </c>
      <c r="BH25" s="80" t="s">
        <v>124</v>
      </c>
      <c r="BI25" s="26" t="s">
        <v>120</v>
      </c>
      <c r="BJ25" s="80" t="s">
        <v>111</v>
      </c>
      <c r="BK25" s="26" t="s">
        <v>122</v>
      </c>
      <c r="BL25" s="26" t="s">
        <v>126</v>
      </c>
      <c r="BM25" s="26" t="s">
        <v>127</v>
      </c>
      <c r="BN25" s="11" t="s">
        <v>119</v>
      </c>
      <c r="BO25" s="26" t="s">
        <v>129</v>
      </c>
      <c r="BP25" s="26" t="s">
        <v>111</v>
      </c>
      <c r="BQ25" s="26" t="s">
        <v>110</v>
      </c>
      <c r="BR25" s="26" t="s">
        <v>110</v>
      </c>
      <c r="BS25" s="80" t="s">
        <v>111</v>
      </c>
      <c r="BT25" s="26" t="s">
        <v>110</v>
      </c>
      <c r="BU25" s="26" t="s">
        <v>110</v>
      </c>
      <c r="BV25" s="26" t="s">
        <v>111</v>
      </c>
      <c r="BW25" s="26" t="s">
        <v>110</v>
      </c>
      <c r="BX25" s="26" t="s">
        <v>126</v>
      </c>
      <c r="BY25" s="80" t="s">
        <v>111</v>
      </c>
      <c r="BZ25" s="26" t="s">
        <v>111</v>
      </c>
      <c r="CA25" s="26" t="s">
        <v>129</v>
      </c>
      <c r="CB25" s="26" t="s">
        <v>111</v>
      </c>
      <c r="CC25" s="26" t="s">
        <v>110</v>
      </c>
      <c r="CD25" s="26" t="s">
        <v>119</v>
      </c>
      <c r="CE25" s="26" t="s">
        <v>110</v>
      </c>
      <c r="CF25" s="26" t="s">
        <v>111</v>
      </c>
      <c r="CG25" s="26" t="s">
        <v>129</v>
      </c>
      <c r="CH25" s="80" t="s">
        <v>119</v>
      </c>
      <c r="CI25" s="26" t="s">
        <v>111</v>
      </c>
      <c r="CJ25" s="26" t="s">
        <v>129</v>
      </c>
      <c r="CK25" s="26" t="s">
        <v>125</v>
      </c>
      <c r="CL25" s="26" t="s">
        <v>110</v>
      </c>
      <c r="CM25" s="26" t="s">
        <v>111</v>
      </c>
      <c r="CN25" s="27" t="s">
        <v>248</v>
      </c>
      <c r="CO25" t="s">
        <v>786</v>
      </c>
      <c r="CP25">
        <f>IFERROR(VLOOKUP(H25,'Lista Lideres'!$A$1:$B$350,2,0),0)</f>
        <v>1</v>
      </c>
    </row>
    <row r="26" spans="1:94" ht="15.75" hidden="1" customHeight="1" x14ac:dyDescent="0.3">
      <c r="A26" s="29">
        <v>45573.487847407407</v>
      </c>
      <c r="B26" s="30" t="s">
        <v>169</v>
      </c>
      <c r="C26" s="30" t="s">
        <v>782</v>
      </c>
      <c r="D26" s="30" t="s">
        <v>93</v>
      </c>
      <c r="E26" s="30" t="s">
        <v>204</v>
      </c>
      <c r="F26" s="30" t="s">
        <v>96</v>
      </c>
      <c r="G26" s="30" t="s">
        <v>249</v>
      </c>
      <c r="H26" s="30" t="s">
        <v>250</v>
      </c>
      <c r="I26" s="30" t="s">
        <v>149</v>
      </c>
      <c r="J26" s="30" t="s">
        <v>101</v>
      </c>
      <c r="K26" s="30" t="s">
        <v>102</v>
      </c>
      <c r="L26" s="79" t="s">
        <v>103</v>
      </c>
      <c r="M26" s="8" t="s">
        <v>104</v>
      </c>
      <c r="N26" s="79" t="s">
        <v>105</v>
      </c>
      <c r="O26" s="79" t="s">
        <v>106</v>
      </c>
      <c r="P26" s="79" t="s">
        <v>107</v>
      </c>
      <c r="Q26" s="110" t="s">
        <v>108</v>
      </c>
      <c r="R26" s="30" t="s">
        <v>109</v>
      </c>
      <c r="S26" s="30" t="s">
        <v>111</v>
      </c>
      <c r="T26" s="30" t="s">
        <v>111</v>
      </c>
      <c r="U26" s="30" t="s">
        <v>119</v>
      </c>
      <c r="V26" s="79" t="s">
        <v>112</v>
      </c>
      <c r="W26" s="79" t="s">
        <v>113</v>
      </c>
      <c r="X26" s="110" t="s">
        <v>153</v>
      </c>
      <c r="Y26" s="30" t="s">
        <v>115</v>
      </c>
      <c r="Z26" s="30" t="s">
        <v>115</v>
      </c>
      <c r="AA26" s="30" t="s">
        <v>115</v>
      </c>
      <c r="AB26" s="30" t="s">
        <v>111</v>
      </c>
      <c r="AC26" s="79" t="s">
        <v>110</v>
      </c>
      <c r="AD26" s="79" t="s">
        <v>137</v>
      </c>
      <c r="AE26" s="79" t="s">
        <v>167</v>
      </c>
      <c r="AF26" s="91" t="s">
        <v>111</v>
      </c>
      <c r="AG26" s="79" t="s">
        <v>119</v>
      </c>
      <c r="AH26" s="30" t="s">
        <v>110</v>
      </c>
      <c r="AI26" s="79" t="s">
        <v>177</v>
      </c>
      <c r="AJ26" s="79" t="s">
        <v>128</v>
      </c>
      <c r="AK26" s="79" t="s">
        <v>121</v>
      </c>
      <c r="AL26" s="30" t="s">
        <v>121</v>
      </c>
      <c r="AM26" s="30" t="s">
        <v>128</v>
      </c>
      <c r="AN26" s="30" t="s">
        <v>128</v>
      </c>
      <c r="AO26" s="79" t="s">
        <v>123</v>
      </c>
      <c r="AP26" s="30" t="s">
        <v>110</v>
      </c>
      <c r="AQ26" s="79" t="s">
        <v>124</v>
      </c>
      <c r="AR26" s="79" t="s">
        <v>111</v>
      </c>
      <c r="AS26" s="30" t="s">
        <v>115</v>
      </c>
      <c r="AT26" s="16" t="s">
        <v>119</v>
      </c>
      <c r="AU26" s="17" t="s">
        <v>111</v>
      </c>
      <c r="AV26" s="30" t="s">
        <v>119</v>
      </c>
      <c r="AW26" s="30" t="s">
        <v>111</v>
      </c>
      <c r="AX26" s="30" t="s">
        <v>110</v>
      </c>
      <c r="AY26" s="30" t="s">
        <v>120</v>
      </c>
      <c r="AZ26" s="79" t="s">
        <v>125</v>
      </c>
      <c r="BA26" s="79" t="s">
        <v>120</v>
      </c>
      <c r="BB26" s="79" t="s">
        <v>126</v>
      </c>
      <c r="BC26" s="79" t="s">
        <v>111</v>
      </c>
      <c r="BD26" s="91" t="s">
        <v>214</v>
      </c>
      <c r="BE26" s="79" t="s">
        <v>140</v>
      </c>
      <c r="BF26" s="79" t="s">
        <v>110</v>
      </c>
      <c r="BG26" s="30" t="s">
        <v>119</v>
      </c>
      <c r="BH26" s="79" t="s">
        <v>125</v>
      </c>
      <c r="BI26" s="30" t="s">
        <v>111</v>
      </c>
      <c r="BJ26" s="79" t="s">
        <v>110</v>
      </c>
      <c r="BK26" s="30" t="s">
        <v>177</v>
      </c>
      <c r="BL26" s="30" t="s">
        <v>126</v>
      </c>
      <c r="BM26" s="30" t="s">
        <v>110</v>
      </c>
      <c r="BN26" s="18" t="s">
        <v>110</v>
      </c>
      <c r="BO26" s="30" t="s">
        <v>111</v>
      </c>
      <c r="BP26" s="30" t="s">
        <v>120</v>
      </c>
      <c r="BQ26" s="30" t="s">
        <v>111</v>
      </c>
      <c r="BR26" s="30" t="s">
        <v>111</v>
      </c>
      <c r="BS26" s="79" t="s">
        <v>115</v>
      </c>
      <c r="BT26" s="30" t="s">
        <v>111</v>
      </c>
      <c r="BU26" s="30" t="s">
        <v>110</v>
      </c>
      <c r="BV26" s="30" t="s">
        <v>119</v>
      </c>
      <c r="BW26" s="30" t="s">
        <v>110</v>
      </c>
      <c r="BX26" s="30" t="s">
        <v>126</v>
      </c>
      <c r="BY26" s="79" t="s">
        <v>111</v>
      </c>
      <c r="BZ26" s="30" t="s">
        <v>115</v>
      </c>
      <c r="CA26" s="30" t="s">
        <v>119</v>
      </c>
      <c r="CB26" s="30" t="s">
        <v>110</v>
      </c>
      <c r="CC26" s="30" t="s">
        <v>110</v>
      </c>
      <c r="CD26" s="30" t="s">
        <v>110</v>
      </c>
      <c r="CE26" s="30" t="s">
        <v>110</v>
      </c>
      <c r="CF26" s="30" t="s">
        <v>110</v>
      </c>
      <c r="CG26" s="30" t="s">
        <v>110</v>
      </c>
      <c r="CH26" s="79" t="s">
        <v>110</v>
      </c>
      <c r="CI26" s="30" t="s">
        <v>111</v>
      </c>
      <c r="CJ26" s="30" t="s">
        <v>110</v>
      </c>
      <c r="CK26" s="30" t="s">
        <v>124</v>
      </c>
      <c r="CL26" s="30" t="s">
        <v>110</v>
      </c>
      <c r="CM26" s="30" t="s">
        <v>111</v>
      </c>
      <c r="CN26" s="34" t="s">
        <v>251</v>
      </c>
      <c r="CO26" t="s">
        <v>785</v>
      </c>
      <c r="CP26">
        <f>IFERROR(VLOOKUP(H26,'Lista Lideres'!$A$1:$B$350,2,0),0)</f>
        <v>1</v>
      </c>
    </row>
    <row r="27" spans="1:94" ht="15.75" hidden="1" customHeight="1" x14ac:dyDescent="0.3">
      <c r="A27" s="35">
        <v>45560.690085231487</v>
      </c>
      <c r="B27" s="36" t="s">
        <v>252</v>
      </c>
      <c r="C27" s="37" t="s">
        <v>782</v>
      </c>
      <c r="D27" s="37" t="s">
        <v>93</v>
      </c>
      <c r="E27" s="37" t="s">
        <v>253</v>
      </c>
      <c r="F27" s="37" t="s">
        <v>96</v>
      </c>
      <c r="G27" s="37" t="s">
        <v>254</v>
      </c>
      <c r="H27" s="37" t="s">
        <v>254</v>
      </c>
      <c r="I27" s="37" t="s">
        <v>100</v>
      </c>
      <c r="J27" s="37" t="s">
        <v>101</v>
      </c>
      <c r="K27" s="37" t="s">
        <v>102</v>
      </c>
      <c r="L27" s="81" t="s">
        <v>135</v>
      </c>
      <c r="M27" s="8" t="s">
        <v>104</v>
      </c>
      <c r="N27" s="81" t="s">
        <v>105</v>
      </c>
      <c r="O27" s="81" t="s">
        <v>106</v>
      </c>
      <c r="P27" s="81" t="s">
        <v>107</v>
      </c>
      <c r="Q27" s="112" t="s">
        <v>108</v>
      </c>
      <c r="R27" s="37" t="s">
        <v>164</v>
      </c>
      <c r="S27" s="37" t="s">
        <v>119</v>
      </c>
      <c r="T27" s="37" t="s">
        <v>119</v>
      </c>
      <c r="U27" s="37" t="s">
        <v>119</v>
      </c>
      <c r="V27" s="81" t="s">
        <v>112</v>
      </c>
      <c r="W27" s="81" t="s">
        <v>113</v>
      </c>
      <c r="X27" s="112" t="s">
        <v>153</v>
      </c>
      <c r="Y27" s="37" t="s">
        <v>115</v>
      </c>
      <c r="Z27" s="37" t="s">
        <v>115</v>
      </c>
      <c r="AA27" s="37" t="s">
        <v>115</v>
      </c>
      <c r="AB27" s="37" t="s">
        <v>110</v>
      </c>
      <c r="AC27" s="81" t="s">
        <v>110</v>
      </c>
      <c r="AD27" s="81" t="s">
        <v>117</v>
      </c>
      <c r="AE27" s="81" t="s">
        <v>118</v>
      </c>
      <c r="AF27" s="93" t="s">
        <v>110</v>
      </c>
      <c r="AG27" s="81" t="s">
        <v>111</v>
      </c>
      <c r="AH27" s="37" t="s">
        <v>122</v>
      </c>
      <c r="AI27" s="81" t="s">
        <v>110</v>
      </c>
      <c r="AJ27" s="81" t="s">
        <v>110</v>
      </c>
      <c r="AK27" s="81" t="s">
        <v>110</v>
      </c>
      <c r="AL27" s="37" t="s">
        <v>122</v>
      </c>
      <c r="AM27" s="37" t="s">
        <v>123</v>
      </c>
      <c r="AN27" s="37" t="s">
        <v>110</v>
      </c>
      <c r="AO27" s="81" t="s">
        <v>110</v>
      </c>
      <c r="AP27" s="37" t="s">
        <v>123</v>
      </c>
      <c r="AQ27" s="81" t="s">
        <v>126</v>
      </c>
      <c r="AR27" s="81" t="s">
        <v>110</v>
      </c>
      <c r="AS27" s="37" t="s">
        <v>110</v>
      </c>
      <c r="AT27" s="9" t="s">
        <v>129</v>
      </c>
      <c r="AU27" s="10" t="s">
        <v>110</v>
      </c>
      <c r="AV27" s="37" t="s">
        <v>119</v>
      </c>
      <c r="AW27" s="37" t="s">
        <v>119</v>
      </c>
      <c r="AX27" s="37" t="s">
        <v>110</v>
      </c>
      <c r="AY27" s="37" t="s">
        <v>111</v>
      </c>
      <c r="AZ27" s="81" t="s">
        <v>126</v>
      </c>
      <c r="BA27" s="81" t="s">
        <v>111</v>
      </c>
      <c r="BB27" s="81" t="s">
        <v>142</v>
      </c>
      <c r="BC27" s="81" t="s">
        <v>110</v>
      </c>
      <c r="BD27" s="93" t="s">
        <v>126</v>
      </c>
      <c r="BE27" s="81" t="s">
        <v>126</v>
      </c>
      <c r="BF27" s="81" t="s">
        <v>128</v>
      </c>
      <c r="BG27" s="37" t="s">
        <v>119</v>
      </c>
      <c r="BH27" s="81" t="s">
        <v>125</v>
      </c>
      <c r="BI27" s="37" t="s">
        <v>111</v>
      </c>
      <c r="BJ27" s="81" t="s">
        <v>110</v>
      </c>
      <c r="BK27" s="37" t="s">
        <v>110</v>
      </c>
      <c r="BL27" s="37" t="s">
        <v>126</v>
      </c>
      <c r="BM27" s="37" t="s">
        <v>110</v>
      </c>
      <c r="BN27" s="11" t="s">
        <v>110</v>
      </c>
      <c r="BO27" s="37" t="s">
        <v>111</v>
      </c>
      <c r="BP27" s="37" t="s">
        <v>120</v>
      </c>
      <c r="BQ27" s="37" t="s">
        <v>110</v>
      </c>
      <c r="BR27" s="37" t="s">
        <v>110</v>
      </c>
      <c r="BS27" s="81" t="s">
        <v>110</v>
      </c>
      <c r="BT27" s="37" t="s">
        <v>119</v>
      </c>
      <c r="BU27" s="37" t="s">
        <v>110</v>
      </c>
      <c r="BV27" s="37" t="s">
        <v>110</v>
      </c>
      <c r="BW27" s="37" t="s">
        <v>110</v>
      </c>
      <c r="BX27" s="37" t="s">
        <v>125</v>
      </c>
      <c r="BY27" s="81" t="s">
        <v>110</v>
      </c>
      <c r="BZ27" s="37" t="s">
        <v>115</v>
      </c>
      <c r="CA27" s="37" t="s">
        <v>110</v>
      </c>
      <c r="CB27" s="37" t="s">
        <v>110</v>
      </c>
      <c r="CC27" s="37" t="s">
        <v>110</v>
      </c>
      <c r="CD27" s="37" t="s">
        <v>119</v>
      </c>
      <c r="CE27" s="37" t="s">
        <v>110</v>
      </c>
      <c r="CF27" s="37" t="s">
        <v>110</v>
      </c>
      <c r="CG27" s="37" t="s">
        <v>119</v>
      </c>
      <c r="CH27" s="81" t="s">
        <v>110</v>
      </c>
      <c r="CI27" s="37" t="s">
        <v>111</v>
      </c>
      <c r="CJ27" s="37" t="s">
        <v>119</v>
      </c>
      <c r="CK27" s="37" t="s">
        <v>126</v>
      </c>
      <c r="CL27" s="37" t="s">
        <v>119</v>
      </c>
      <c r="CM27" s="37" t="s">
        <v>110</v>
      </c>
      <c r="CN27" s="38"/>
      <c r="CO27" t="s">
        <v>786</v>
      </c>
      <c r="CP27">
        <f>IFERROR(VLOOKUP(H27,'Lista Lideres'!$A$1:$B$350,2,0),0)</f>
        <v>0</v>
      </c>
    </row>
    <row r="28" spans="1:94" ht="15.75" hidden="1" customHeight="1" x14ac:dyDescent="0.3">
      <c r="A28" s="39">
        <v>45565.702232395837</v>
      </c>
      <c r="B28" s="36" t="s">
        <v>252</v>
      </c>
      <c r="C28" s="36" t="s">
        <v>782</v>
      </c>
      <c r="D28" s="36" t="s">
        <v>93</v>
      </c>
      <c r="E28" s="36" t="s">
        <v>255</v>
      </c>
      <c r="F28" s="36" t="s">
        <v>96</v>
      </c>
      <c r="G28" s="36" t="s">
        <v>256</v>
      </c>
      <c r="H28" s="36" t="s">
        <v>256</v>
      </c>
      <c r="I28" s="36" t="s">
        <v>161</v>
      </c>
      <c r="J28" s="36" t="s">
        <v>196</v>
      </c>
      <c r="K28" s="36" t="s">
        <v>174</v>
      </c>
      <c r="L28" s="82" t="s">
        <v>135</v>
      </c>
      <c r="M28" s="8" t="s">
        <v>104</v>
      </c>
      <c r="N28" s="82" t="s">
        <v>105</v>
      </c>
      <c r="O28" s="82" t="s">
        <v>106</v>
      </c>
      <c r="P28" s="82" t="s">
        <v>107</v>
      </c>
      <c r="Q28" s="113" t="s">
        <v>108</v>
      </c>
      <c r="R28" s="36" t="s">
        <v>109</v>
      </c>
      <c r="S28" s="36" t="s">
        <v>110</v>
      </c>
      <c r="T28" s="36" t="s">
        <v>110</v>
      </c>
      <c r="U28" s="36" t="s">
        <v>110</v>
      </c>
      <c r="V28" s="82" t="s">
        <v>136</v>
      </c>
      <c r="W28" s="82" t="s">
        <v>113</v>
      </c>
      <c r="X28" s="113" t="s">
        <v>165</v>
      </c>
      <c r="Y28" s="36" t="s">
        <v>111</v>
      </c>
      <c r="Z28" s="36" t="s">
        <v>111</v>
      </c>
      <c r="AA28" s="36" t="s">
        <v>111</v>
      </c>
      <c r="AB28" s="36" t="s">
        <v>115</v>
      </c>
      <c r="AC28" s="82" t="s">
        <v>111</v>
      </c>
      <c r="AD28" s="82" t="s">
        <v>117</v>
      </c>
      <c r="AE28" s="82" t="s">
        <v>118</v>
      </c>
      <c r="AF28" s="94" t="s">
        <v>120</v>
      </c>
      <c r="AG28" s="82" t="s">
        <v>110</v>
      </c>
      <c r="AH28" s="36" t="s">
        <v>110</v>
      </c>
      <c r="AI28" s="82" t="s">
        <v>110</v>
      </c>
      <c r="AJ28" s="82" t="s">
        <v>197</v>
      </c>
      <c r="AK28" s="82" t="s">
        <v>110</v>
      </c>
      <c r="AL28" s="36" t="s">
        <v>110</v>
      </c>
      <c r="AM28" s="36" t="s">
        <v>110</v>
      </c>
      <c r="AN28" s="36" t="s">
        <v>110</v>
      </c>
      <c r="AO28" s="82" t="s">
        <v>110</v>
      </c>
      <c r="AP28" s="36" t="s">
        <v>110</v>
      </c>
      <c r="AQ28" s="82" t="s">
        <v>126</v>
      </c>
      <c r="AR28" s="82" t="s">
        <v>110</v>
      </c>
      <c r="AS28" s="36" t="s">
        <v>110</v>
      </c>
      <c r="AT28" s="16" t="s">
        <v>119</v>
      </c>
      <c r="AU28" s="17" t="s">
        <v>111</v>
      </c>
      <c r="AV28" s="36" t="s">
        <v>110</v>
      </c>
      <c r="AW28" s="36" t="s">
        <v>110</v>
      </c>
      <c r="AX28" s="36" t="s">
        <v>110</v>
      </c>
      <c r="AY28" s="36" t="s">
        <v>120</v>
      </c>
      <c r="AZ28" s="82" t="s">
        <v>126</v>
      </c>
      <c r="BA28" s="82" t="s">
        <v>120</v>
      </c>
      <c r="BB28" s="82" t="s">
        <v>139</v>
      </c>
      <c r="BC28" s="82" t="s">
        <v>111</v>
      </c>
      <c r="BD28" s="94" t="s">
        <v>126</v>
      </c>
      <c r="BE28" s="82" t="s">
        <v>125</v>
      </c>
      <c r="BF28" s="82" t="s">
        <v>141</v>
      </c>
      <c r="BG28" s="36" t="s">
        <v>119</v>
      </c>
      <c r="BH28" s="82" t="s">
        <v>142</v>
      </c>
      <c r="BI28" s="36" t="s">
        <v>111</v>
      </c>
      <c r="BJ28" s="82" t="s">
        <v>110</v>
      </c>
      <c r="BK28" s="36" t="s">
        <v>128</v>
      </c>
      <c r="BL28" s="36" t="s">
        <v>126</v>
      </c>
      <c r="BM28" s="36" t="s">
        <v>110</v>
      </c>
      <c r="BN28" s="18" t="s">
        <v>110</v>
      </c>
      <c r="BO28" s="36" t="s">
        <v>115</v>
      </c>
      <c r="BP28" s="36" t="s">
        <v>120</v>
      </c>
      <c r="BQ28" s="36" t="s">
        <v>110</v>
      </c>
      <c r="BR28" s="36" t="s">
        <v>110</v>
      </c>
      <c r="BS28" s="82" t="s">
        <v>111</v>
      </c>
      <c r="BT28" s="36" t="s">
        <v>111</v>
      </c>
      <c r="BU28" s="36" t="s">
        <v>111</v>
      </c>
      <c r="BV28" s="36" t="s">
        <v>110</v>
      </c>
      <c r="BW28" s="36" t="s">
        <v>110</v>
      </c>
      <c r="BX28" s="36" t="s">
        <v>126</v>
      </c>
      <c r="BY28" s="82" t="s">
        <v>110</v>
      </c>
      <c r="BZ28" s="36" t="s">
        <v>111</v>
      </c>
      <c r="CA28" s="36" t="s">
        <v>110</v>
      </c>
      <c r="CB28" s="36" t="s">
        <v>119</v>
      </c>
      <c r="CC28" s="36" t="s">
        <v>110</v>
      </c>
      <c r="CD28" s="36" t="s">
        <v>119</v>
      </c>
      <c r="CE28" s="36" t="s">
        <v>110</v>
      </c>
      <c r="CF28" s="36" t="s">
        <v>110</v>
      </c>
      <c r="CG28" s="36" t="s">
        <v>110</v>
      </c>
      <c r="CH28" s="82" t="s">
        <v>110</v>
      </c>
      <c r="CI28" s="36" t="s">
        <v>111</v>
      </c>
      <c r="CJ28" s="36" t="s">
        <v>129</v>
      </c>
      <c r="CK28" s="36" t="s">
        <v>126</v>
      </c>
      <c r="CL28" s="36" t="s">
        <v>110</v>
      </c>
      <c r="CM28" s="36" t="s">
        <v>111</v>
      </c>
      <c r="CN28" s="40" t="s">
        <v>257</v>
      </c>
      <c r="CO28" t="s">
        <v>785</v>
      </c>
      <c r="CP28">
        <f>IFERROR(VLOOKUP(H28,'Lista Lideres'!$A$1:$B$350,2,0),0)</f>
        <v>0</v>
      </c>
    </row>
    <row r="29" spans="1:94" ht="15.75" hidden="1" customHeight="1" x14ac:dyDescent="0.3">
      <c r="A29" s="35">
        <v>45570.39610967593</v>
      </c>
      <c r="B29" s="36" t="s">
        <v>252</v>
      </c>
      <c r="C29" s="37" t="s">
        <v>782</v>
      </c>
      <c r="D29" s="37" t="s">
        <v>131</v>
      </c>
      <c r="E29" s="37" t="s">
        <v>258</v>
      </c>
      <c r="F29" s="37" t="s">
        <v>96</v>
      </c>
      <c r="G29" s="37" t="s">
        <v>259</v>
      </c>
      <c r="H29" s="37" t="s">
        <v>260</v>
      </c>
      <c r="I29" s="37" t="s">
        <v>149</v>
      </c>
      <c r="J29" s="37" t="s">
        <v>196</v>
      </c>
      <c r="K29" s="37" t="s">
        <v>191</v>
      </c>
      <c r="L29" s="81" t="s">
        <v>150</v>
      </c>
      <c r="M29" s="8" t="s">
        <v>104</v>
      </c>
      <c r="N29" s="81" t="s">
        <v>105</v>
      </c>
      <c r="O29" s="81" t="s">
        <v>106</v>
      </c>
      <c r="P29" s="81" t="s">
        <v>107</v>
      </c>
      <c r="Q29" s="112" t="s">
        <v>108</v>
      </c>
      <c r="R29" s="37" t="s">
        <v>164</v>
      </c>
      <c r="S29" s="37" t="s">
        <v>110</v>
      </c>
      <c r="T29" s="37" t="s">
        <v>110</v>
      </c>
      <c r="U29" s="37" t="s">
        <v>119</v>
      </c>
      <c r="V29" s="81" t="s">
        <v>126</v>
      </c>
      <c r="W29" s="81" t="s">
        <v>113</v>
      </c>
      <c r="X29" s="112" t="s">
        <v>235</v>
      </c>
      <c r="Y29" s="37" t="s">
        <v>110</v>
      </c>
      <c r="Z29" s="37" t="s">
        <v>110</v>
      </c>
      <c r="AA29" s="37" t="s">
        <v>110</v>
      </c>
      <c r="AB29" s="37" t="s">
        <v>110</v>
      </c>
      <c r="AC29" s="81" t="s">
        <v>111</v>
      </c>
      <c r="AD29" s="81" t="s">
        <v>137</v>
      </c>
      <c r="AE29" s="81" t="s">
        <v>138</v>
      </c>
      <c r="AF29" s="93" t="s">
        <v>110</v>
      </c>
      <c r="AG29" s="81" t="s">
        <v>110</v>
      </c>
      <c r="AH29" s="37" t="s">
        <v>110</v>
      </c>
      <c r="AI29" s="81" t="s">
        <v>110</v>
      </c>
      <c r="AJ29" s="81" t="s">
        <v>110</v>
      </c>
      <c r="AK29" s="81" t="s">
        <v>110</v>
      </c>
      <c r="AL29" s="37" t="s">
        <v>110</v>
      </c>
      <c r="AM29" s="37" t="s">
        <v>110</v>
      </c>
      <c r="AN29" s="37" t="s">
        <v>110</v>
      </c>
      <c r="AO29" s="81" t="s">
        <v>110</v>
      </c>
      <c r="AP29" s="37" t="s">
        <v>110</v>
      </c>
      <c r="AQ29" s="81" t="s">
        <v>126</v>
      </c>
      <c r="AR29" s="81" t="s">
        <v>110</v>
      </c>
      <c r="AS29" s="37" t="s">
        <v>110</v>
      </c>
      <c r="AT29" s="9" t="s">
        <v>111</v>
      </c>
      <c r="AU29" s="10" t="s">
        <v>111</v>
      </c>
      <c r="AV29" s="37" t="s">
        <v>110</v>
      </c>
      <c r="AW29" s="37" t="s">
        <v>111</v>
      </c>
      <c r="AX29" s="37" t="s">
        <v>110</v>
      </c>
      <c r="AY29" s="37" t="s">
        <v>110</v>
      </c>
      <c r="AZ29" s="81" t="s">
        <v>125</v>
      </c>
      <c r="BA29" s="81" t="s">
        <v>110</v>
      </c>
      <c r="BB29" s="81" t="s">
        <v>126</v>
      </c>
      <c r="BC29" s="81" t="s">
        <v>110</v>
      </c>
      <c r="BD29" s="93" t="s">
        <v>126</v>
      </c>
      <c r="BE29" s="81" t="s">
        <v>126</v>
      </c>
      <c r="BF29" s="81" t="s">
        <v>110</v>
      </c>
      <c r="BG29" s="37" t="s">
        <v>119</v>
      </c>
      <c r="BH29" s="81" t="s">
        <v>125</v>
      </c>
      <c r="BI29" s="37" t="s">
        <v>111</v>
      </c>
      <c r="BJ29" s="81" t="s">
        <v>110</v>
      </c>
      <c r="BK29" s="37" t="s">
        <v>110</v>
      </c>
      <c r="BL29" s="37" t="s">
        <v>126</v>
      </c>
      <c r="BM29" s="37" t="s">
        <v>110</v>
      </c>
      <c r="BN29" s="11" t="s">
        <v>110</v>
      </c>
      <c r="BO29" s="37" t="s">
        <v>111</v>
      </c>
      <c r="BP29" s="37" t="s">
        <v>111</v>
      </c>
      <c r="BQ29" s="37" t="s">
        <v>110</v>
      </c>
      <c r="BR29" s="37" t="s">
        <v>110</v>
      </c>
      <c r="BS29" s="81" t="s">
        <v>110</v>
      </c>
      <c r="BT29" s="37" t="s">
        <v>110</v>
      </c>
      <c r="BU29" s="37" t="s">
        <v>110</v>
      </c>
      <c r="BV29" s="37" t="s">
        <v>110</v>
      </c>
      <c r="BW29" s="37" t="s">
        <v>110</v>
      </c>
      <c r="BX29" s="37" t="s">
        <v>126</v>
      </c>
      <c r="BY29" s="81" t="s">
        <v>110</v>
      </c>
      <c r="BZ29" s="37" t="s">
        <v>111</v>
      </c>
      <c r="CA29" s="37" t="s">
        <v>110</v>
      </c>
      <c r="CB29" s="37" t="s">
        <v>110</v>
      </c>
      <c r="CC29" s="37" t="s">
        <v>110</v>
      </c>
      <c r="CD29" s="37" t="s">
        <v>110</v>
      </c>
      <c r="CE29" s="37" t="s">
        <v>209</v>
      </c>
      <c r="CF29" s="37" t="s">
        <v>110</v>
      </c>
      <c r="CG29" s="37" t="s">
        <v>119</v>
      </c>
      <c r="CH29" s="81" t="s">
        <v>119</v>
      </c>
      <c r="CI29" s="37" t="s">
        <v>110</v>
      </c>
      <c r="CJ29" s="37" t="s">
        <v>110</v>
      </c>
      <c r="CK29" s="37" t="s">
        <v>126</v>
      </c>
      <c r="CL29" s="37" t="s">
        <v>110</v>
      </c>
      <c r="CM29" s="37" t="s">
        <v>110</v>
      </c>
      <c r="CN29" s="38"/>
      <c r="CO29" t="s">
        <v>785</v>
      </c>
      <c r="CP29">
        <f>IFERROR(VLOOKUP(H29,'Lista Lideres'!$A$1:$B$350,2,0),0)</f>
        <v>0</v>
      </c>
    </row>
    <row r="30" spans="1:94" ht="15.75" hidden="1" customHeight="1" x14ac:dyDescent="0.3">
      <c r="A30" s="39">
        <v>45561.845800717594</v>
      </c>
      <c r="B30" s="36" t="s">
        <v>252</v>
      </c>
      <c r="C30" s="36" t="s">
        <v>782</v>
      </c>
      <c r="D30" s="36" t="s">
        <v>93</v>
      </c>
      <c r="E30" s="36" t="s">
        <v>261</v>
      </c>
      <c r="F30" s="36" t="s">
        <v>171</v>
      </c>
      <c r="G30" s="36" t="s">
        <v>262</v>
      </c>
      <c r="H30" s="36" t="s">
        <v>263</v>
      </c>
      <c r="I30" s="36" t="s">
        <v>100</v>
      </c>
      <c r="J30" s="36" t="s">
        <v>196</v>
      </c>
      <c r="K30" s="36" t="s">
        <v>102</v>
      </c>
      <c r="L30" s="82" t="s">
        <v>213</v>
      </c>
      <c r="M30" s="8" t="s">
        <v>104</v>
      </c>
      <c r="N30" s="82" t="s">
        <v>105</v>
      </c>
      <c r="O30" s="82" t="s">
        <v>106</v>
      </c>
      <c r="P30" s="82" t="s">
        <v>264</v>
      </c>
      <c r="Q30" s="113" t="s">
        <v>151</v>
      </c>
      <c r="R30" s="82" t="s">
        <v>184</v>
      </c>
      <c r="S30" s="36" t="s">
        <v>110</v>
      </c>
      <c r="T30" s="36" t="s">
        <v>110</v>
      </c>
      <c r="U30" s="36" t="s">
        <v>110</v>
      </c>
      <c r="V30" s="82" t="s">
        <v>112</v>
      </c>
      <c r="W30" s="82" t="s">
        <v>113</v>
      </c>
      <c r="X30" s="113" t="s">
        <v>153</v>
      </c>
      <c r="Y30" s="36" t="s">
        <v>111</v>
      </c>
      <c r="Z30" s="36" t="s">
        <v>111</v>
      </c>
      <c r="AA30" s="36" t="s">
        <v>111</v>
      </c>
      <c r="AB30" s="36" t="s">
        <v>111</v>
      </c>
      <c r="AC30" s="82" t="s">
        <v>116</v>
      </c>
      <c r="AD30" s="82" t="s">
        <v>117</v>
      </c>
      <c r="AE30" s="82" t="s">
        <v>185</v>
      </c>
      <c r="AF30" s="94" t="s">
        <v>111</v>
      </c>
      <c r="AG30" s="82" t="s">
        <v>111</v>
      </c>
      <c r="AH30" s="36" t="s">
        <v>122</v>
      </c>
      <c r="AI30" s="82" t="s">
        <v>110</v>
      </c>
      <c r="AJ30" s="82" t="s">
        <v>122</v>
      </c>
      <c r="AK30" s="82" t="s">
        <v>122</v>
      </c>
      <c r="AL30" s="36" t="s">
        <v>110</v>
      </c>
      <c r="AM30" s="36" t="s">
        <v>110</v>
      </c>
      <c r="AN30" s="36" t="s">
        <v>123</v>
      </c>
      <c r="AO30" s="82" t="s">
        <v>123</v>
      </c>
      <c r="AP30" s="36" t="s">
        <v>110</v>
      </c>
      <c r="AQ30" s="82" t="s">
        <v>126</v>
      </c>
      <c r="AR30" s="82" t="s">
        <v>110</v>
      </c>
      <c r="AS30" s="36" t="s">
        <v>111</v>
      </c>
      <c r="AT30" s="16" t="s">
        <v>119</v>
      </c>
      <c r="AU30" s="17" t="s">
        <v>119</v>
      </c>
      <c r="AV30" s="36" t="s">
        <v>110</v>
      </c>
      <c r="AW30" s="36" t="s">
        <v>110</v>
      </c>
      <c r="AX30" s="36" t="s">
        <v>110</v>
      </c>
      <c r="AY30" s="36" t="s">
        <v>120</v>
      </c>
      <c r="AZ30" s="82" t="s">
        <v>124</v>
      </c>
      <c r="BA30" s="82" t="s">
        <v>111</v>
      </c>
      <c r="BB30" s="82" t="s">
        <v>124</v>
      </c>
      <c r="BC30" s="82" t="s">
        <v>111</v>
      </c>
      <c r="BD30" s="94" t="s">
        <v>214</v>
      </c>
      <c r="BE30" s="82" t="s">
        <v>124</v>
      </c>
      <c r="BF30" s="82" t="s">
        <v>122</v>
      </c>
      <c r="BG30" s="36" t="s">
        <v>111</v>
      </c>
      <c r="BH30" s="82" t="s">
        <v>142</v>
      </c>
      <c r="BI30" s="36" t="s">
        <v>110</v>
      </c>
      <c r="BJ30" s="82" t="s">
        <v>111</v>
      </c>
      <c r="BK30" s="36" t="s">
        <v>122</v>
      </c>
      <c r="BL30" s="36" t="s">
        <v>126</v>
      </c>
      <c r="BM30" s="36" t="s">
        <v>110</v>
      </c>
      <c r="BN30" s="18" t="s">
        <v>129</v>
      </c>
      <c r="BO30" s="36" t="s">
        <v>119</v>
      </c>
      <c r="BP30" s="36" t="s">
        <v>120</v>
      </c>
      <c r="BQ30" s="36" t="s">
        <v>110</v>
      </c>
      <c r="BR30" s="36" t="s">
        <v>110</v>
      </c>
      <c r="BS30" s="82" t="s">
        <v>110</v>
      </c>
      <c r="BT30" s="36" t="s">
        <v>110</v>
      </c>
      <c r="BU30" s="36" t="s">
        <v>129</v>
      </c>
      <c r="BV30" s="36" t="s">
        <v>120</v>
      </c>
      <c r="BW30" s="36" t="s">
        <v>110</v>
      </c>
      <c r="BX30" s="36" t="s">
        <v>126</v>
      </c>
      <c r="BY30" s="82" t="s">
        <v>111</v>
      </c>
      <c r="BZ30" s="36" t="s">
        <v>119</v>
      </c>
      <c r="CA30" s="36" t="s">
        <v>111</v>
      </c>
      <c r="CB30" s="36" t="s">
        <v>110</v>
      </c>
      <c r="CC30" s="36" t="s">
        <v>110</v>
      </c>
      <c r="CD30" s="36" t="s">
        <v>110</v>
      </c>
      <c r="CE30" s="36" t="s">
        <v>110</v>
      </c>
      <c r="CF30" s="36" t="s">
        <v>110</v>
      </c>
      <c r="CG30" s="36" t="s">
        <v>110</v>
      </c>
      <c r="CH30" s="82" t="s">
        <v>110</v>
      </c>
      <c r="CI30" s="36" t="s">
        <v>111</v>
      </c>
      <c r="CJ30" s="36" t="s">
        <v>119</v>
      </c>
      <c r="CK30" s="36" t="s">
        <v>125</v>
      </c>
      <c r="CL30" s="36" t="s">
        <v>110</v>
      </c>
      <c r="CM30" s="36" t="s">
        <v>119</v>
      </c>
      <c r="CN30" s="41"/>
      <c r="CO30" t="s">
        <v>786</v>
      </c>
      <c r="CP30">
        <f>IFERROR(VLOOKUP(H30,'Lista Lideres'!$A$1:$B$350,2,0),0)</f>
        <v>0</v>
      </c>
    </row>
    <row r="31" spans="1:94" ht="15.75" hidden="1" customHeight="1" x14ac:dyDescent="0.3">
      <c r="A31" s="35">
        <v>45560.532833761579</v>
      </c>
      <c r="B31" s="36" t="s">
        <v>252</v>
      </c>
      <c r="C31" s="37" t="s">
        <v>782</v>
      </c>
      <c r="D31" s="37" t="s">
        <v>93</v>
      </c>
      <c r="E31" s="37" t="s">
        <v>265</v>
      </c>
      <c r="F31" s="37" t="s">
        <v>171</v>
      </c>
      <c r="G31" s="37" t="s">
        <v>266</v>
      </c>
      <c r="H31" s="37" t="s">
        <v>267</v>
      </c>
      <c r="I31" s="37" t="s">
        <v>100</v>
      </c>
      <c r="J31" s="37" t="s">
        <v>101</v>
      </c>
      <c r="K31" s="37" t="s">
        <v>102</v>
      </c>
      <c r="L31" s="81" t="s">
        <v>103</v>
      </c>
      <c r="M31" s="8" t="s">
        <v>104</v>
      </c>
      <c r="N31" s="81" t="s">
        <v>105</v>
      </c>
      <c r="O31" s="81" t="s">
        <v>106</v>
      </c>
      <c r="P31" s="81" t="s">
        <v>175</v>
      </c>
      <c r="Q31" s="112" t="s">
        <v>163</v>
      </c>
      <c r="R31" s="37" t="s">
        <v>164</v>
      </c>
      <c r="S31" s="37" t="s">
        <v>110</v>
      </c>
      <c r="T31" s="37" t="s">
        <v>110</v>
      </c>
      <c r="U31" s="37" t="s">
        <v>110</v>
      </c>
      <c r="V31" s="81" t="s">
        <v>112</v>
      </c>
      <c r="W31" s="81" t="s">
        <v>113</v>
      </c>
      <c r="X31" s="112" t="s">
        <v>153</v>
      </c>
      <c r="Y31" s="37" t="s">
        <v>111</v>
      </c>
      <c r="Z31" s="37" t="s">
        <v>110</v>
      </c>
      <c r="AA31" s="37" t="s">
        <v>110</v>
      </c>
      <c r="AB31" s="37" t="s">
        <v>111</v>
      </c>
      <c r="AC31" s="81" t="s">
        <v>111</v>
      </c>
      <c r="AD31" s="81" t="s">
        <v>137</v>
      </c>
      <c r="AE31" s="81" t="s">
        <v>118</v>
      </c>
      <c r="AF31" s="93" t="s">
        <v>110</v>
      </c>
      <c r="AG31" s="81" t="s">
        <v>119</v>
      </c>
      <c r="AH31" s="37" t="s">
        <v>110</v>
      </c>
      <c r="AI31" s="81" t="s">
        <v>128</v>
      </c>
      <c r="AJ31" s="81" t="s">
        <v>128</v>
      </c>
      <c r="AK31" s="81" t="s">
        <v>121</v>
      </c>
      <c r="AL31" s="37" t="s">
        <v>177</v>
      </c>
      <c r="AM31" s="37" t="s">
        <v>110</v>
      </c>
      <c r="AN31" s="37" t="s">
        <v>177</v>
      </c>
      <c r="AO31" s="81" t="s">
        <v>110</v>
      </c>
      <c r="AP31" s="37" t="s">
        <v>110</v>
      </c>
      <c r="AQ31" s="81" t="s">
        <v>126</v>
      </c>
      <c r="AR31" s="81" t="s">
        <v>110</v>
      </c>
      <c r="AS31" s="37" t="s">
        <v>110</v>
      </c>
      <c r="AT31" s="9" t="s">
        <v>119</v>
      </c>
      <c r="AU31" s="10" t="s">
        <v>110</v>
      </c>
      <c r="AV31" s="37" t="s">
        <v>119</v>
      </c>
      <c r="AW31" s="37" t="s">
        <v>110</v>
      </c>
      <c r="AX31" s="37" t="s">
        <v>110</v>
      </c>
      <c r="AY31" s="37" t="s">
        <v>120</v>
      </c>
      <c r="AZ31" s="81" t="s">
        <v>126</v>
      </c>
      <c r="BA31" s="81" t="s">
        <v>120</v>
      </c>
      <c r="BB31" s="81" t="s">
        <v>142</v>
      </c>
      <c r="BC31" s="81" t="s">
        <v>119</v>
      </c>
      <c r="BD31" s="93" t="s">
        <v>126</v>
      </c>
      <c r="BE31" s="81" t="s">
        <v>142</v>
      </c>
      <c r="BF31" s="81" t="s">
        <v>110</v>
      </c>
      <c r="BG31" s="37" t="s">
        <v>110</v>
      </c>
      <c r="BH31" s="81" t="s">
        <v>125</v>
      </c>
      <c r="BI31" s="37" t="s">
        <v>111</v>
      </c>
      <c r="BJ31" s="81" t="s">
        <v>110</v>
      </c>
      <c r="BK31" s="37" t="s">
        <v>110</v>
      </c>
      <c r="BL31" s="37" t="s">
        <v>126</v>
      </c>
      <c r="BM31" s="37" t="s">
        <v>110</v>
      </c>
      <c r="BN31" s="11" t="s">
        <v>111</v>
      </c>
      <c r="BO31" s="37" t="s">
        <v>111</v>
      </c>
      <c r="BP31" s="37" t="s">
        <v>111</v>
      </c>
      <c r="BQ31" s="37" t="s">
        <v>110</v>
      </c>
      <c r="BR31" s="37" t="s">
        <v>110</v>
      </c>
      <c r="BS31" s="81" t="s">
        <v>110</v>
      </c>
      <c r="BT31" s="37" t="s">
        <v>111</v>
      </c>
      <c r="BU31" s="37" t="s">
        <v>111</v>
      </c>
      <c r="BV31" s="37" t="s">
        <v>110</v>
      </c>
      <c r="BW31" s="37" t="s">
        <v>128</v>
      </c>
      <c r="BX31" s="37" t="s">
        <v>125</v>
      </c>
      <c r="BY31" s="81" t="s">
        <v>110</v>
      </c>
      <c r="BZ31" s="37" t="s">
        <v>115</v>
      </c>
      <c r="CA31" s="37" t="s">
        <v>110</v>
      </c>
      <c r="CB31" s="37" t="s">
        <v>119</v>
      </c>
      <c r="CC31" s="37" t="s">
        <v>110</v>
      </c>
      <c r="CD31" s="37" t="s">
        <v>115</v>
      </c>
      <c r="CE31" s="37" t="s">
        <v>110</v>
      </c>
      <c r="CF31" s="37" t="s">
        <v>119</v>
      </c>
      <c r="CG31" s="37" t="s">
        <v>129</v>
      </c>
      <c r="CH31" s="81" t="s">
        <v>110</v>
      </c>
      <c r="CI31" s="37" t="s">
        <v>110</v>
      </c>
      <c r="CJ31" s="37" t="s">
        <v>110</v>
      </c>
      <c r="CK31" s="37" t="s">
        <v>126</v>
      </c>
      <c r="CL31" s="37" t="s">
        <v>110</v>
      </c>
      <c r="CM31" s="37" t="s">
        <v>111</v>
      </c>
      <c r="CN31" s="40" t="s">
        <v>268</v>
      </c>
      <c r="CO31" t="s">
        <v>786</v>
      </c>
      <c r="CP31">
        <f>IFERROR(VLOOKUP(H31,'Lista Lideres'!$A$1:$B$350,2,0),0)</f>
        <v>1</v>
      </c>
    </row>
    <row r="32" spans="1:94" ht="15.75" hidden="1" customHeight="1" x14ac:dyDescent="0.3">
      <c r="A32" s="39">
        <v>45573.688346284718</v>
      </c>
      <c r="B32" s="36" t="s">
        <v>252</v>
      </c>
      <c r="C32" s="36" t="s">
        <v>782</v>
      </c>
      <c r="D32" s="36" t="s">
        <v>93</v>
      </c>
      <c r="E32" s="36" t="s">
        <v>269</v>
      </c>
      <c r="F32" s="36" t="s">
        <v>146</v>
      </c>
      <c r="G32" s="36" t="s">
        <v>270</v>
      </c>
      <c r="H32" s="36" t="s">
        <v>270</v>
      </c>
      <c r="I32" s="36" t="s">
        <v>100</v>
      </c>
      <c r="J32" s="36" t="s">
        <v>196</v>
      </c>
      <c r="K32" s="36" t="s">
        <v>102</v>
      </c>
      <c r="L32" s="82" t="s">
        <v>135</v>
      </c>
      <c r="M32" s="8" t="s">
        <v>104</v>
      </c>
      <c r="N32" s="82" t="s">
        <v>105</v>
      </c>
      <c r="O32" s="82" t="s">
        <v>106</v>
      </c>
      <c r="P32" s="82" t="s">
        <v>175</v>
      </c>
      <c r="Q32" s="113" t="s">
        <v>108</v>
      </c>
      <c r="R32" s="82" t="s">
        <v>184</v>
      </c>
      <c r="S32" s="36" t="s">
        <v>110</v>
      </c>
      <c r="T32" s="36" t="s">
        <v>110</v>
      </c>
      <c r="U32" s="36" t="s">
        <v>110</v>
      </c>
      <c r="V32" s="82" t="s">
        <v>126</v>
      </c>
      <c r="W32" s="82" t="s">
        <v>113</v>
      </c>
      <c r="X32" s="113" t="s">
        <v>165</v>
      </c>
      <c r="Y32" s="36" t="s">
        <v>110</v>
      </c>
      <c r="Z32" s="36" t="s">
        <v>110</v>
      </c>
      <c r="AA32" s="36" t="s">
        <v>110</v>
      </c>
      <c r="AB32" s="36" t="s">
        <v>111</v>
      </c>
      <c r="AC32" s="82" t="s">
        <v>116</v>
      </c>
      <c r="AD32" s="82" t="s">
        <v>137</v>
      </c>
      <c r="AE32" s="82" t="s">
        <v>118</v>
      </c>
      <c r="AF32" s="94" t="s">
        <v>120</v>
      </c>
      <c r="AG32" s="82" t="s">
        <v>111</v>
      </c>
      <c r="AH32" s="36" t="s">
        <v>128</v>
      </c>
      <c r="AI32" s="82" t="s">
        <v>110</v>
      </c>
      <c r="AJ32" s="82" t="s">
        <v>110</v>
      </c>
      <c r="AK32" s="82" t="s">
        <v>110</v>
      </c>
      <c r="AL32" s="36" t="s">
        <v>110</v>
      </c>
      <c r="AM32" s="36" t="s">
        <v>110</v>
      </c>
      <c r="AN32" s="36" t="s">
        <v>128</v>
      </c>
      <c r="AO32" s="82" t="s">
        <v>128</v>
      </c>
      <c r="AP32" s="36" t="s">
        <v>110</v>
      </c>
      <c r="AQ32" s="82" t="s">
        <v>126</v>
      </c>
      <c r="AR32" s="82" t="s">
        <v>110</v>
      </c>
      <c r="AS32" s="36" t="s">
        <v>110</v>
      </c>
      <c r="AT32" s="16" t="s">
        <v>111</v>
      </c>
      <c r="AU32" s="17" t="s">
        <v>110</v>
      </c>
      <c r="AV32" s="36" t="s">
        <v>110</v>
      </c>
      <c r="AW32" s="36" t="s">
        <v>110</v>
      </c>
      <c r="AX32" s="36" t="s">
        <v>111</v>
      </c>
      <c r="AY32" s="36" t="s">
        <v>120</v>
      </c>
      <c r="AZ32" s="82" t="s">
        <v>126</v>
      </c>
      <c r="BA32" s="82" t="s">
        <v>110</v>
      </c>
      <c r="BB32" s="82" t="s">
        <v>126</v>
      </c>
      <c r="BC32" s="82" t="s">
        <v>110</v>
      </c>
      <c r="BD32" s="94" t="s">
        <v>126</v>
      </c>
      <c r="BE32" s="82" t="s">
        <v>126</v>
      </c>
      <c r="BF32" s="82" t="s">
        <v>110</v>
      </c>
      <c r="BG32" s="36" t="s">
        <v>110</v>
      </c>
      <c r="BH32" s="82" t="s">
        <v>125</v>
      </c>
      <c r="BI32" s="36" t="s">
        <v>111</v>
      </c>
      <c r="BJ32" s="82" t="s">
        <v>110</v>
      </c>
      <c r="BK32" s="36" t="s">
        <v>110</v>
      </c>
      <c r="BL32" s="36" t="s">
        <v>126</v>
      </c>
      <c r="BM32" s="36" t="s">
        <v>110</v>
      </c>
      <c r="BN32" s="18" t="s">
        <v>110</v>
      </c>
      <c r="BO32" s="36" t="s">
        <v>111</v>
      </c>
      <c r="BP32" s="36" t="s">
        <v>120</v>
      </c>
      <c r="BQ32" s="36" t="s">
        <v>110</v>
      </c>
      <c r="BR32" s="36" t="s">
        <v>110</v>
      </c>
      <c r="BS32" s="82" t="s">
        <v>110</v>
      </c>
      <c r="BT32" s="36" t="s">
        <v>110</v>
      </c>
      <c r="BU32" s="36" t="s">
        <v>110</v>
      </c>
      <c r="BV32" s="36" t="s">
        <v>110</v>
      </c>
      <c r="BW32" s="36" t="s">
        <v>110</v>
      </c>
      <c r="BX32" s="36" t="s">
        <v>126</v>
      </c>
      <c r="BY32" s="82" t="s">
        <v>110</v>
      </c>
      <c r="BZ32" s="36" t="s">
        <v>119</v>
      </c>
      <c r="CA32" s="36" t="s">
        <v>110</v>
      </c>
      <c r="CB32" s="36" t="s">
        <v>119</v>
      </c>
      <c r="CC32" s="36" t="s">
        <v>110</v>
      </c>
      <c r="CD32" s="36" t="s">
        <v>110</v>
      </c>
      <c r="CE32" s="36" t="s">
        <v>110</v>
      </c>
      <c r="CF32" s="36" t="s">
        <v>110</v>
      </c>
      <c r="CG32" s="36" t="s">
        <v>119</v>
      </c>
      <c r="CH32" s="82" t="s">
        <v>110</v>
      </c>
      <c r="CI32" s="36" t="s">
        <v>110</v>
      </c>
      <c r="CJ32" s="36" t="s">
        <v>119</v>
      </c>
      <c r="CK32" s="36" t="s">
        <v>126</v>
      </c>
      <c r="CL32" s="36" t="s">
        <v>110</v>
      </c>
      <c r="CM32" s="36" t="s">
        <v>110</v>
      </c>
      <c r="CN32" s="41"/>
      <c r="CO32" t="s">
        <v>786</v>
      </c>
      <c r="CP32">
        <f>IFERROR(VLOOKUP(H32,'Lista Lideres'!$A$1:$B$350,2,0),0)</f>
        <v>1</v>
      </c>
    </row>
    <row r="33" spans="1:94" ht="13.8" hidden="1" x14ac:dyDescent="0.3">
      <c r="A33" s="35">
        <v>45567.486333263892</v>
      </c>
      <c r="B33" s="36" t="s">
        <v>252</v>
      </c>
      <c r="C33" s="37" t="s">
        <v>782</v>
      </c>
      <c r="D33" s="37" t="s">
        <v>93</v>
      </c>
      <c r="E33" s="37" t="s">
        <v>272</v>
      </c>
      <c r="F33" s="37" t="s">
        <v>171</v>
      </c>
      <c r="G33" s="37" t="s">
        <v>273</v>
      </c>
      <c r="H33" s="37" t="s">
        <v>273</v>
      </c>
      <c r="I33" s="37" t="s">
        <v>100</v>
      </c>
      <c r="J33" s="37" t="s">
        <v>101</v>
      </c>
      <c r="K33" s="37" t="s">
        <v>102</v>
      </c>
      <c r="L33" s="81" t="s">
        <v>162</v>
      </c>
      <c r="M33" s="8" t="s">
        <v>104</v>
      </c>
      <c r="N33" s="81" t="s">
        <v>105</v>
      </c>
      <c r="O33" s="81" t="s">
        <v>106</v>
      </c>
      <c r="P33" s="81" t="s">
        <v>107</v>
      </c>
      <c r="Q33" s="112" t="s">
        <v>108</v>
      </c>
      <c r="R33" s="37" t="s">
        <v>164</v>
      </c>
      <c r="S33" s="37" t="s">
        <v>110</v>
      </c>
      <c r="T33" s="37" t="s">
        <v>110</v>
      </c>
      <c r="U33" s="37" t="s">
        <v>110</v>
      </c>
      <c r="V33" s="81" t="s">
        <v>126</v>
      </c>
      <c r="W33" s="81" t="s">
        <v>113</v>
      </c>
      <c r="X33" s="112" t="s">
        <v>114</v>
      </c>
      <c r="Y33" s="37" t="s">
        <v>111</v>
      </c>
      <c r="Z33" s="37" t="s">
        <v>111</v>
      </c>
      <c r="AA33" s="37" t="s">
        <v>111</v>
      </c>
      <c r="AB33" s="37" t="s">
        <v>111</v>
      </c>
      <c r="AC33" s="81" t="s">
        <v>111</v>
      </c>
      <c r="AD33" s="81" t="s">
        <v>137</v>
      </c>
      <c r="AE33" s="81" t="s">
        <v>118</v>
      </c>
      <c r="AF33" s="93" t="s">
        <v>110</v>
      </c>
      <c r="AG33" s="81" t="s">
        <v>110</v>
      </c>
      <c r="AH33" s="37" t="s">
        <v>110</v>
      </c>
      <c r="AI33" s="81" t="s">
        <v>110</v>
      </c>
      <c r="AJ33" s="81" t="s">
        <v>110</v>
      </c>
      <c r="AK33" s="81" t="s">
        <v>110</v>
      </c>
      <c r="AL33" s="37" t="s">
        <v>110</v>
      </c>
      <c r="AM33" s="37" t="s">
        <v>110</v>
      </c>
      <c r="AN33" s="37" t="s">
        <v>110</v>
      </c>
      <c r="AO33" s="81" t="s">
        <v>110</v>
      </c>
      <c r="AP33" s="37" t="s">
        <v>110</v>
      </c>
      <c r="AQ33" s="81" t="s">
        <v>126</v>
      </c>
      <c r="AR33" s="81" t="s">
        <v>110</v>
      </c>
      <c r="AS33" s="37" t="s">
        <v>110</v>
      </c>
      <c r="AT33" s="9" t="s">
        <v>110</v>
      </c>
      <c r="AU33" s="10" t="s">
        <v>111</v>
      </c>
      <c r="AV33" s="37" t="s">
        <v>110</v>
      </c>
      <c r="AW33" s="37" t="s">
        <v>110</v>
      </c>
      <c r="AX33" s="37" t="s">
        <v>110</v>
      </c>
      <c r="AY33" s="37" t="s">
        <v>111</v>
      </c>
      <c r="AZ33" s="81" t="s">
        <v>125</v>
      </c>
      <c r="BA33" s="81" t="s">
        <v>110</v>
      </c>
      <c r="BB33" s="81" t="s">
        <v>126</v>
      </c>
      <c r="BC33" s="81" t="s">
        <v>110</v>
      </c>
      <c r="BD33" s="93" t="s">
        <v>126</v>
      </c>
      <c r="BE33" s="81" t="s">
        <v>126</v>
      </c>
      <c r="BF33" s="81" t="s">
        <v>110</v>
      </c>
      <c r="BG33" s="37" t="s">
        <v>110</v>
      </c>
      <c r="BH33" s="81" t="s">
        <v>125</v>
      </c>
      <c r="BI33" s="37" t="s">
        <v>110</v>
      </c>
      <c r="BJ33" s="81" t="s">
        <v>110</v>
      </c>
      <c r="BK33" s="37" t="s">
        <v>110</v>
      </c>
      <c r="BL33" s="37" t="s">
        <v>126</v>
      </c>
      <c r="BM33" s="37" t="s">
        <v>110</v>
      </c>
      <c r="BN33" s="11" t="s">
        <v>110</v>
      </c>
      <c r="BO33" s="37" t="s">
        <v>111</v>
      </c>
      <c r="BP33" s="37" t="s">
        <v>111</v>
      </c>
      <c r="BQ33" s="37" t="s">
        <v>110</v>
      </c>
      <c r="BR33" s="37" t="s">
        <v>110</v>
      </c>
      <c r="BS33" s="81" t="s">
        <v>110</v>
      </c>
      <c r="BT33" s="37" t="s">
        <v>110</v>
      </c>
      <c r="BU33" s="37" t="s">
        <v>110</v>
      </c>
      <c r="BV33" s="37" t="s">
        <v>110</v>
      </c>
      <c r="BW33" s="37" t="s">
        <v>123</v>
      </c>
      <c r="BX33" s="37" t="s">
        <v>126</v>
      </c>
      <c r="BY33" s="81" t="s">
        <v>110</v>
      </c>
      <c r="BZ33" s="37" t="s">
        <v>111</v>
      </c>
      <c r="CA33" s="37" t="s">
        <v>110</v>
      </c>
      <c r="CB33" s="37" t="s">
        <v>110</v>
      </c>
      <c r="CC33" s="37" t="s">
        <v>110</v>
      </c>
      <c r="CD33" s="37" t="s">
        <v>110</v>
      </c>
      <c r="CE33" s="37" t="s">
        <v>110</v>
      </c>
      <c r="CF33" s="37" t="s">
        <v>110</v>
      </c>
      <c r="CG33" s="37" t="s">
        <v>110</v>
      </c>
      <c r="CH33" s="81" t="s">
        <v>110</v>
      </c>
      <c r="CI33" s="37" t="s">
        <v>110</v>
      </c>
      <c r="CJ33" s="37" t="s">
        <v>110</v>
      </c>
      <c r="CK33" s="37" t="s">
        <v>126</v>
      </c>
      <c r="CL33" s="37" t="s">
        <v>110</v>
      </c>
      <c r="CM33" s="37" t="s">
        <v>110</v>
      </c>
      <c r="CN33" s="42" t="s">
        <v>274</v>
      </c>
      <c r="CO33" t="s">
        <v>786</v>
      </c>
      <c r="CP33">
        <f>IFERROR(VLOOKUP(H33,'Lista Lideres'!$A$1:$B$350,2,0),0)</f>
        <v>0</v>
      </c>
    </row>
    <row r="34" spans="1:94" ht="13.8" hidden="1" x14ac:dyDescent="0.3">
      <c r="A34" s="39">
        <v>45560.580704432869</v>
      </c>
      <c r="B34" s="36" t="s">
        <v>252</v>
      </c>
      <c r="C34" s="36" t="s">
        <v>782</v>
      </c>
      <c r="D34" s="36" t="s">
        <v>93</v>
      </c>
      <c r="E34" s="36" t="s">
        <v>275</v>
      </c>
      <c r="F34" s="36" t="s">
        <v>96</v>
      </c>
      <c r="G34" s="36" t="s">
        <v>276</v>
      </c>
      <c r="H34" s="36" t="s">
        <v>277</v>
      </c>
      <c r="I34" s="36" t="s">
        <v>195</v>
      </c>
      <c r="J34" s="36" t="s">
        <v>101</v>
      </c>
      <c r="K34" s="36" t="s">
        <v>102</v>
      </c>
      <c r="L34" s="82" t="s">
        <v>135</v>
      </c>
      <c r="M34" s="8" t="s">
        <v>104</v>
      </c>
      <c r="N34" s="82" t="s">
        <v>105</v>
      </c>
      <c r="O34" s="82" t="s">
        <v>106</v>
      </c>
      <c r="P34" s="82" t="s">
        <v>107</v>
      </c>
      <c r="Q34" s="113" t="s">
        <v>151</v>
      </c>
      <c r="R34" s="36" t="s">
        <v>176</v>
      </c>
      <c r="S34" s="36" t="s">
        <v>111</v>
      </c>
      <c r="T34" s="36" t="s">
        <v>110</v>
      </c>
      <c r="U34" s="36" t="s">
        <v>110</v>
      </c>
      <c r="V34" s="82" t="s">
        <v>126</v>
      </c>
      <c r="W34" s="82" t="s">
        <v>113</v>
      </c>
      <c r="X34" s="113" t="s">
        <v>114</v>
      </c>
      <c r="Y34" s="36" t="s">
        <v>111</v>
      </c>
      <c r="Z34" s="36" t="s">
        <v>111</v>
      </c>
      <c r="AA34" s="36" t="s">
        <v>111</v>
      </c>
      <c r="AB34" s="36" t="s">
        <v>111</v>
      </c>
      <c r="AC34" s="82" t="s">
        <v>116</v>
      </c>
      <c r="AD34" s="82" t="s">
        <v>117</v>
      </c>
      <c r="AE34" s="82" t="s">
        <v>167</v>
      </c>
      <c r="AF34" s="94" t="s">
        <v>111</v>
      </c>
      <c r="AG34" s="82" t="s">
        <v>110</v>
      </c>
      <c r="AH34" s="36" t="s">
        <v>110</v>
      </c>
      <c r="AI34" s="82" t="s">
        <v>110</v>
      </c>
      <c r="AJ34" s="82" t="s">
        <v>110</v>
      </c>
      <c r="AK34" s="82" t="s">
        <v>110</v>
      </c>
      <c r="AL34" s="36" t="s">
        <v>110</v>
      </c>
      <c r="AM34" s="36" t="s">
        <v>110</v>
      </c>
      <c r="AN34" s="36" t="s">
        <v>110</v>
      </c>
      <c r="AO34" s="82" t="s">
        <v>110</v>
      </c>
      <c r="AP34" s="36" t="s">
        <v>110</v>
      </c>
      <c r="AQ34" s="82" t="s">
        <v>126</v>
      </c>
      <c r="AR34" s="82" t="s">
        <v>110</v>
      </c>
      <c r="AS34" s="36" t="s">
        <v>111</v>
      </c>
      <c r="AT34" s="16" t="s">
        <v>110</v>
      </c>
      <c r="AU34" s="17" t="s">
        <v>110</v>
      </c>
      <c r="AV34" s="36" t="s">
        <v>110</v>
      </c>
      <c r="AW34" s="36" t="s">
        <v>110</v>
      </c>
      <c r="AX34" s="36" t="s">
        <v>110</v>
      </c>
      <c r="AY34" s="36" t="s">
        <v>120</v>
      </c>
      <c r="AZ34" s="82" t="s">
        <v>126</v>
      </c>
      <c r="BA34" s="82" t="s">
        <v>111</v>
      </c>
      <c r="BB34" s="82" t="s">
        <v>126</v>
      </c>
      <c r="BC34" s="82" t="s">
        <v>111</v>
      </c>
      <c r="BD34" s="94" t="s">
        <v>126</v>
      </c>
      <c r="BE34" s="82" t="s">
        <v>126</v>
      </c>
      <c r="BF34" s="82" t="s">
        <v>110</v>
      </c>
      <c r="BG34" s="36" t="s">
        <v>110</v>
      </c>
      <c r="BH34" s="82" t="s">
        <v>125</v>
      </c>
      <c r="BI34" s="36" t="s">
        <v>110</v>
      </c>
      <c r="BJ34" s="82" t="s">
        <v>110</v>
      </c>
      <c r="BK34" s="36" t="s">
        <v>110</v>
      </c>
      <c r="BL34" s="36" t="s">
        <v>126</v>
      </c>
      <c r="BM34" s="36" t="s">
        <v>110</v>
      </c>
      <c r="BN34" s="18" t="s">
        <v>110</v>
      </c>
      <c r="BO34" s="36" t="s">
        <v>110</v>
      </c>
      <c r="BP34" s="36" t="s">
        <v>120</v>
      </c>
      <c r="BQ34" s="36" t="s">
        <v>110</v>
      </c>
      <c r="BR34" s="36" t="s">
        <v>110</v>
      </c>
      <c r="BS34" s="82" t="s">
        <v>110</v>
      </c>
      <c r="BT34" s="36" t="s">
        <v>110</v>
      </c>
      <c r="BU34" s="36" t="s">
        <v>110</v>
      </c>
      <c r="BV34" s="36" t="s">
        <v>110</v>
      </c>
      <c r="BW34" s="36" t="s">
        <v>110</v>
      </c>
      <c r="BX34" s="36" t="s">
        <v>126</v>
      </c>
      <c r="BY34" s="82" t="s">
        <v>110</v>
      </c>
      <c r="BZ34" s="36" t="s">
        <v>115</v>
      </c>
      <c r="CA34" s="36" t="s">
        <v>110</v>
      </c>
      <c r="CB34" s="36" t="s">
        <v>111</v>
      </c>
      <c r="CC34" s="36" t="s">
        <v>110</v>
      </c>
      <c r="CD34" s="36" t="s">
        <v>110</v>
      </c>
      <c r="CE34" s="36" t="s">
        <v>110</v>
      </c>
      <c r="CF34" s="36" t="s">
        <v>110</v>
      </c>
      <c r="CG34" s="36" t="s">
        <v>110</v>
      </c>
      <c r="CH34" s="82" t="s">
        <v>110</v>
      </c>
      <c r="CI34" s="36" t="s">
        <v>110</v>
      </c>
      <c r="CJ34" s="36" t="s">
        <v>110</v>
      </c>
      <c r="CK34" s="36" t="s">
        <v>126</v>
      </c>
      <c r="CL34" s="36" t="s">
        <v>110</v>
      </c>
      <c r="CM34" s="36" t="s">
        <v>110</v>
      </c>
      <c r="CN34" s="43" t="s">
        <v>278</v>
      </c>
      <c r="CO34" t="s">
        <v>786</v>
      </c>
      <c r="CP34">
        <f>IFERROR(VLOOKUP(H34,'Lista Lideres'!$A$1:$B$350,2,0),0)</f>
        <v>0</v>
      </c>
    </row>
    <row r="35" spans="1:94" ht="14.4" hidden="1" x14ac:dyDescent="0.3">
      <c r="A35" s="35">
        <v>45572.493356261577</v>
      </c>
      <c r="B35" s="36" t="s">
        <v>252</v>
      </c>
      <c r="C35" s="37" t="s">
        <v>782</v>
      </c>
      <c r="D35" s="37" t="s">
        <v>93</v>
      </c>
      <c r="E35" s="37" t="s">
        <v>279</v>
      </c>
      <c r="F35" s="37" t="s">
        <v>171</v>
      </c>
      <c r="G35" s="37" t="s">
        <v>280</v>
      </c>
      <c r="H35" s="37" t="s">
        <v>281</v>
      </c>
      <c r="I35" s="37" t="s">
        <v>100</v>
      </c>
      <c r="J35" s="37" t="s">
        <v>101</v>
      </c>
      <c r="K35" s="37" t="s">
        <v>102</v>
      </c>
      <c r="L35" s="81" t="s">
        <v>135</v>
      </c>
      <c r="M35" s="8" t="s">
        <v>104</v>
      </c>
      <c r="N35" s="81" t="s">
        <v>105</v>
      </c>
      <c r="O35" s="81" t="s">
        <v>282</v>
      </c>
      <c r="P35" s="81" t="s">
        <v>175</v>
      </c>
      <c r="Q35" s="112" t="s">
        <v>151</v>
      </c>
      <c r="R35" s="37" t="s">
        <v>109</v>
      </c>
      <c r="S35" s="37" t="s">
        <v>110</v>
      </c>
      <c r="T35" s="37" t="s">
        <v>110</v>
      </c>
      <c r="U35" s="37" t="s">
        <v>110</v>
      </c>
      <c r="V35" s="81" t="s">
        <v>126</v>
      </c>
      <c r="W35" s="81" t="s">
        <v>152</v>
      </c>
      <c r="X35" s="112" t="s">
        <v>114</v>
      </c>
      <c r="Y35" s="37" t="s">
        <v>111</v>
      </c>
      <c r="Z35" s="37" t="s">
        <v>115</v>
      </c>
      <c r="AA35" s="37" t="s">
        <v>115</v>
      </c>
      <c r="AB35" s="37" t="s">
        <v>111</v>
      </c>
      <c r="AC35" s="81" t="s">
        <v>111</v>
      </c>
      <c r="AD35" s="81" t="s">
        <v>137</v>
      </c>
      <c r="AE35" s="81" t="s">
        <v>118</v>
      </c>
      <c r="AF35" s="93" t="s">
        <v>111</v>
      </c>
      <c r="AG35" s="81" t="s">
        <v>120</v>
      </c>
      <c r="AH35" s="37" t="s">
        <v>177</v>
      </c>
      <c r="AI35" s="81" t="s">
        <v>122</v>
      </c>
      <c r="AJ35" s="81" t="s">
        <v>122</v>
      </c>
      <c r="AK35" s="81" t="s">
        <v>122</v>
      </c>
      <c r="AL35" s="37" t="s">
        <v>177</v>
      </c>
      <c r="AM35" s="37" t="s">
        <v>123</v>
      </c>
      <c r="AN35" s="37" t="s">
        <v>177</v>
      </c>
      <c r="AO35" s="81" t="s">
        <v>123</v>
      </c>
      <c r="AP35" s="37" t="s">
        <v>123</v>
      </c>
      <c r="AQ35" s="81" t="s">
        <v>124</v>
      </c>
      <c r="AR35" s="81" t="s">
        <v>111</v>
      </c>
      <c r="AS35" s="37" t="s">
        <v>111</v>
      </c>
      <c r="AT35" s="9" t="s">
        <v>110</v>
      </c>
      <c r="AU35" s="10" t="s">
        <v>110</v>
      </c>
      <c r="AV35" s="37" t="s">
        <v>110</v>
      </c>
      <c r="AW35" s="37" t="s">
        <v>110</v>
      </c>
      <c r="AX35" s="37" t="s">
        <v>110</v>
      </c>
      <c r="AY35" s="37" t="s">
        <v>110</v>
      </c>
      <c r="AZ35" s="81" t="s">
        <v>126</v>
      </c>
      <c r="BA35" s="81" t="s">
        <v>110</v>
      </c>
      <c r="BB35" s="81" t="s">
        <v>126</v>
      </c>
      <c r="BC35" s="81" t="s">
        <v>110</v>
      </c>
      <c r="BD35" s="93" t="s">
        <v>126</v>
      </c>
      <c r="BE35" s="81" t="s">
        <v>126</v>
      </c>
      <c r="BF35" s="81" t="s">
        <v>110</v>
      </c>
      <c r="BG35" s="37" t="s">
        <v>110</v>
      </c>
      <c r="BH35" s="81" t="s">
        <v>126</v>
      </c>
      <c r="BI35" s="37" t="s">
        <v>110</v>
      </c>
      <c r="BJ35" s="81" t="s">
        <v>110</v>
      </c>
      <c r="BK35" s="37" t="s">
        <v>110</v>
      </c>
      <c r="BL35" s="37" t="s">
        <v>126</v>
      </c>
      <c r="BM35" s="37" t="s">
        <v>110</v>
      </c>
      <c r="BN35" s="11" t="s">
        <v>110</v>
      </c>
      <c r="BO35" s="37" t="s">
        <v>110</v>
      </c>
      <c r="BP35" s="37" t="s">
        <v>110</v>
      </c>
      <c r="BQ35" s="37" t="s">
        <v>110</v>
      </c>
      <c r="BR35" s="37" t="s">
        <v>110</v>
      </c>
      <c r="BS35" s="81" t="s">
        <v>110</v>
      </c>
      <c r="BT35" s="37" t="s">
        <v>110</v>
      </c>
      <c r="BU35" s="37" t="s">
        <v>110</v>
      </c>
      <c r="BV35" s="37" t="s">
        <v>110</v>
      </c>
      <c r="BW35" s="37" t="s">
        <v>110</v>
      </c>
      <c r="BX35" s="37" t="s">
        <v>126</v>
      </c>
      <c r="BY35" s="81" t="s">
        <v>110</v>
      </c>
      <c r="BZ35" s="37" t="s">
        <v>110</v>
      </c>
      <c r="CA35" s="37" t="s">
        <v>110</v>
      </c>
      <c r="CB35" s="37" t="s">
        <v>110</v>
      </c>
      <c r="CC35" s="37" t="s">
        <v>110</v>
      </c>
      <c r="CD35" s="37" t="s">
        <v>110</v>
      </c>
      <c r="CE35" s="37" t="s">
        <v>110</v>
      </c>
      <c r="CF35" s="37" t="s">
        <v>110</v>
      </c>
      <c r="CG35" s="37" t="s">
        <v>110</v>
      </c>
      <c r="CH35" s="81" t="s">
        <v>110</v>
      </c>
      <c r="CI35" s="37" t="s">
        <v>110</v>
      </c>
      <c r="CJ35" s="37" t="s">
        <v>110</v>
      </c>
      <c r="CK35" s="37" t="s">
        <v>126</v>
      </c>
      <c r="CL35" s="37" t="s">
        <v>110</v>
      </c>
      <c r="CM35" s="37" t="s">
        <v>110</v>
      </c>
      <c r="CN35" s="38"/>
      <c r="CO35" t="s">
        <v>786</v>
      </c>
      <c r="CP35">
        <f>IFERROR(VLOOKUP(H35,'Lista Lideres'!$A$1:$B$350,2,0),0)</f>
        <v>1</v>
      </c>
    </row>
    <row r="36" spans="1:94" ht="14.4" hidden="1" x14ac:dyDescent="0.3">
      <c r="A36" s="39">
        <v>45565.712740000003</v>
      </c>
      <c r="B36" s="36" t="s">
        <v>252</v>
      </c>
      <c r="C36" s="36" t="s">
        <v>782</v>
      </c>
      <c r="D36" s="36" t="s">
        <v>131</v>
      </c>
      <c r="E36" s="36" t="s">
        <v>283</v>
      </c>
      <c r="F36" s="36" t="s">
        <v>96</v>
      </c>
      <c r="G36" s="36" t="s">
        <v>284</v>
      </c>
      <c r="H36" s="36" t="s">
        <v>285</v>
      </c>
      <c r="I36" s="36" t="s">
        <v>149</v>
      </c>
      <c r="J36" s="36" t="s">
        <v>196</v>
      </c>
      <c r="K36" s="36" t="s">
        <v>191</v>
      </c>
      <c r="L36" s="82" t="s">
        <v>150</v>
      </c>
      <c r="M36" s="8" t="s">
        <v>104</v>
      </c>
      <c r="N36" s="82" t="s">
        <v>105</v>
      </c>
      <c r="O36" s="82" t="s">
        <v>106</v>
      </c>
      <c r="P36" s="82" t="s">
        <v>107</v>
      </c>
      <c r="Q36" s="113" t="s">
        <v>108</v>
      </c>
      <c r="R36" s="36" t="s">
        <v>164</v>
      </c>
      <c r="S36" s="36" t="s">
        <v>110</v>
      </c>
      <c r="T36" s="36" t="s">
        <v>110</v>
      </c>
      <c r="U36" s="36" t="s">
        <v>110</v>
      </c>
      <c r="V36" s="82" t="s">
        <v>112</v>
      </c>
      <c r="W36" s="82" t="s">
        <v>113</v>
      </c>
      <c r="X36" s="113" t="s">
        <v>114</v>
      </c>
      <c r="Y36" s="36" t="s">
        <v>115</v>
      </c>
      <c r="Z36" s="36" t="s">
        <v>115</v>
      </c>
      <c r="AA36" s="36" t="s">
        <v>111</v>
      </c>
      <c r="AB36" s="36" t="s">
        <v>115</v>
      </c>
      <c r="AC36" s="82" t="s">
        <v>116</v>
      </c>
      <c r="AD36" s="82" t="s">
        <v>166</v>
      </c>
      <c r="AE36" s="82" t="s">
        <v>138</v>
      </c>
      <c r="AF36" s="94" t="s">
        <v>110</v>
      </c>
      <c r="AG36" s="82" t="s">
        <v>110</v>
      </c>
      <c r="AH36" s="36" t="s">
        <v>110</v>
      </c>
      <c r="AI36" s="82" t="s">
        <v>110</v>
      </c>
      <c r="AJ36" s="82" t="s">
        <v>110</v>
      </c>
      <c r="AK36" s="82" t="s">
        <v>110</v>
      </c>
      <c r="AL36" s="36" t="s">
        <v>110</v>
      </c>
      <c r="AM36" s="36" t="s">
        <v>110</v>
      </c>
      <c r="AN36" s="36" t="s">
        <v>110</v>
      </c>
      <c r="AO36" s="82" t="s">
        <v>110</v>
      </c>
      <c r="AP36" s="36" t="s">
        <v>110</v>
      </c>
      <c r="AQ36" s="82" t="s">
        <v>124</v>
      </c>
      <c r="AR36" s="82" t="s">
        <v>111</v>
      </c>
      <c r="AS36" s="36" t="s">
        <v>110</v>
      </c>
      <c r="AT36" s="16" t="s">
        <v>111</v>
      </c>
      <c r="AU36" s="17" t="s">
        <v>111</v>
      </c>
      <c r="AV36" s="36" t="s">
        <v>110</v>
      </c>
      <c r="AW36" s="36" t="s">
        <v>110</v>
      </c>
      <c r="AX36" s="36" t="s">
        <v>111</v>
      </c>
      <c r="AY36" s="36" t="s">
        <v>110</v>
      </c>
      <c r="AZ36" s="82" t="s">
        <v>126</v>
      </c>
      <c r="BA36" s="82" t="s">
        <v>110</v>
      </c>
      <c r="BB36" s="82" t="s">
        <v>126</v>
      </c>
      <c r="BC36" s="82" t="s">
        <v>110</v>
      </c>
      <c r="BD36" s="94" t="s">
        <v>125</v>
      </c>
      <c r="BE36" s="82" t="s">
        <v>126</v>
      </c>
      <c r="BF36" s="82" t="s">
        <v>110</v>
      </c>
      <c r="BG36" s="36" t="s">
        <v>110</v>
      </c>
      <c r="BH36" s="82" t="s">
        <v>126</v>
      </c>
      <c r="BI36" s="36" t="s">
        <v>120</v>
      </c>
      <c r="BJ36" s="82" t="s">
        <v>110</v>
      </c>
      <c r="BK36" s="36" t="s">
        <v>110</v>
      </c>
      <c r="BL36" s="36" t="s">
        <v>126</v>
      </c>
      <c r="BM36" s="36" t="s">
        <v>110</v>
      </c>
      <c r="BN36" s="18" t="s">
        <v>111</v>
      </c>
      <c r="BO36" s="36" t="s">
        <v>115</v>
      </c>
      <c r="BP36" s="36" t="s">
        <v>120</v>
      </c>
      <c r="BQ36" s="36" t="s">
        <v>110</v>
      </c>
      <c r="BR36" s="36" t="s">
        <v>110</v>
      </c>
      <c r="BS36" s="82" t="s">
        <v>111</v>
      </c>
      <c r="BT36" s="36" t="s">
        <v>111</v>
      </c>
      <c r="BU36" s="36" t="s">
        <v>111</v>
      </c>
      <c r="BV36" s="36" t="s">
        <v>110</v>
      </c>
      <c r="BW36" s="36" t="s">
        <v>110</v>
      </c>
      <c r="BX36" s="36" t="s">
        <v>126</v>
      </c>
      <c r="BY36" s="82" t="s">
        <v>111</v>
      </c>
      <c r="BZ36" s="36" t="s">
        <v>111</v>
      </c>
      <c r="CA36" s="36" t="s">
        <v>110</v>
      </c>
      <c r="CB36" s="36" t="s">
        <v>129</v>
      </c>
      <c r="CC36" s="36" t="s">
        <v>110</v>
      </c>
      <c r="CD36" s="36" t="s">
        <v>110</v>
      </c>
      <c r="CE36" s="36" t="s">
        <v>110</v>
      </c>
      <c r="CF36" s="36" t="s">
        <v>110</v>
      </c>
      <c r="CG36" s="36" t="s">
        <v>110</v>
      </c>
      <c r="CH36" s="82" t="s">
        <v>110</v>
      </c>
      <c r="CI36" s="36" t="s">
        <v>110</v>
      </c>
      <c r="CJ36" s="36" t="s">
        <v>110</v>
      </c>
      <c r="CK36" s="36" t="s">
        <v>126</v>
      </c>
      <c r="CL36" s="36" t="s">
        <v>110</v>
      </c>
      <c r="CM36" s="36" t="s">
        <v>111</v>
      </c>
      <c r="CN36" s="41"/>
      <c r="CO36" t="s">
        <v>785</v>
      </c>
      <c r="CP36">
        <f>IFERROR(VLOOKUP(H36,'Lista Lideres'!$A$1:$B$350,2,0),0)</f>
        <v>0</v>
      </c>
    </row>
    <row r="37" spans="1:94" ht="14.4" hidden="1" x14ac:dyDescent="0.3">
      <c r="A37" s="35">
        <v>45567.014088032403</v>
      </c>
      <c r="B37" s="36" t="s">
        <v>252</v>
      </c>
      <c r="C37" s="37" t="s">
        <v>782</v>
      </c>
      <c r="D37" s="37" t="s">
        <v>93</v>
      </c>
      <c r="E37" s="37" t="s">
        <v>286</v>
      </c>
      <c r="F37" s="37" t="s">
        <v>96</v>
      </c>
      <c r="G37" s="37" t="s">
        <v>287</v>
      </c>
      <c r="H37" s="37" t="s">
        <v>160</v>
      </c>
      <c r="I37" s="37" t="s">
        <v>100</v>
      </c>
      <c r="J37" s="37" t="s">
        <v>101</v>
      </c>
      <c r="K37" s="37" t="s">
        <v>102</v>
      </c>
      <c r="L37" s="81" t="s">
        <v>103</v>
      </c>
      <c r="M37" s="8" t="s">
        <v>104</v>
      </c>
      <c r="N37" s="81" t="s">
        <v>105</v>
      </c>
      <c r="O37" s="81" t="s">
        <v>106</v>
      </c>
      <c r="P37" s="81" t="s">
        <v>107</v>
      </c>
      <c r="Q37" s="112" t="s">
        <v>163</v>
      </c>
      <c r="R37" s="37" t="s">
        <v>164</v>
      </c>
      <c r="S37" s="37" t="s">
        <v>110</v>
      </c>
      <c r="T37" s="37" t="s">
        <v>110</v>
      </c>
      <c r="U37" s="37" t="s">
        <v>110</v>
      </c>
      <c r="V37" s="81" t="s">
        <v>112</v>
      </c>
      <c r="W37" s="81" t="s">
        <v>113</v>
      </c>
      <c r="X37" s="112" t="s">
        <v>153</v>
      </c>
      <c r="Y37" s="37" t="s">
        <v>110</v>
      </c>
      <c r="Z37" s="37" t="s">
        <v>110</v>
      </c>
      <c r="AA37" s="37" t="s">
        <v>110</v>
      </c>
      <c r="AB37" s="37" t="s">
        <v>119</v>
      </c>
      <c r="AC37" s="81" t="s">
        <v>116</v>
      </c>
      <c r="AD37" s="81" t="s">
        <v>137</v>
      </c>
      <c r="AE37" s="81" t="s">
        <v>138</v>
      </c>
      <c r="AF37" s="93" t="s">
        <v>110</v>
      </c>
      <c r="AG37" s="81" t="s">
        <v>110</v>
      </c>
      <c r="AH37" s="37" t="s">
        <v>110</v>
      </c>
      <c r="AI37" s="81" t="s">
        <v>110</v>
      </c>
      <c r="AJ37" s="81" t="s">
        <v>110</v>
      </c>
      <c r="AK37" s="81" t="s">
        <v>110</v>
      </c>
      <c r="AL37" s="37" t="s">
        <v>110</v>
      </c>
      <c r="AM37" s="37" t="s">
        <v>110</v>
      </c>
      <c r="AN37" s="37" t="s">
        <v>110</v>
      </c>
      <c r="AO37" s="81" t="s">
        <v>110</v>
      </c>
      <c r="AP37" s="37" t="s">
        <v>110</v>
      </c>
      <c r="AQ37" s="81" t="s">
        <v>126</v>
      </c>
      <c r="AR37" s="81" t="s">
        <v>110</v>
      </c>
      <c r="AS37" s="37" t="s">
        <v>110</v>
      </c>
      <c r="AT37" s="9" t="s">
        <v>119</v>
      </c>
      <c r="AU37" s="10" t="s">
        <v>110</v>
      </c>
      <c r="AV37" s="37" t="s">
        <v>110</v>
      </c>
      <c r="AW37" s="37" t="s">
        <v>110</v>
      </c>
      <c r="AX37" s="37" t="s">
        <v>110</v>
      </c>
      <c r="AY37" s="37" t="s">
        <v>111</v>
      </c>
      <c r="AZ37" s="81" t="s">
        <v>126</v>
      </c>
      <c r="BA37" s="81" t="s">
        <v>111</v>
      </c>
      <c r="BB37" s="81" t="s">
        <v>126</v>
      </c>
      <c r="BC37" s="81" t="s">
        <v>110</v>
      </c>
      <c r="BD37" s="93" t="s">
        <v>126</v>
      </c>
      <c r="BE37" s="81" t="s">
        <v>126</v>
      </c>
      <c r="BF37" s="81" t="s">
        <v>110</v>
      </c>
      <c r="BG37" s="37" t="s">
        <v>110</v>
      </c>
      <c r="BH37" s="81" t="s">
        <v>124</v>
      </c>
      <c r="BI37" s="37" t="s">
        <v>111</v>
      </c>
      <c r="BJ37" s="81" t="s">
        <v>110</v>
      </c>
      <c r="BK37" s="37" t="s">
        <v>110</v>
      </c>
      <c r="BL37" s="37" t="s">
        <v>126</v>
      </c>
      <c r="BM37" s="37" t="s">
        <v>110</v>
      </c>
      <c r="BN37" s="11" t="s">
        <v>110</v>
      </c>
      <c r="BO37" s="37" t="s">
        <v>119</v>
      </c>
      <c r="BP37" s="37" t="s">
        <v>111</v>
      </c>
      <c r="BQ37" s="37" t="s">
        <v>110</v>
      </c>
      <c r="BR37" s="37" t="s">
        <v>110</v>
      </c>
      <c r="BS37" s="81" t="s">
        <v>110</v>
      </c>
      <c r="BT37" s="37" t="s">
        <v>111</v>
      </c>
      <c r="BU37" s="37" t="s">
        <v>110</v>
      </c>
      <c r="BV37" s="37" t="s">
        <v>110</v>
      </c>
      <c r="BW37" s="37" t="s">
        <v>110</v>
      </c>
      <c r="BX37" s="37" t="s">
        <v>126</v>
      </c>
      <c r="BY37" s="81" t="s">
        <v>110</v>
      </c>
      <c r="BZ37" s="37" t="s">
        <v>115</v>
      </c>
      <c r="CA37" s="37" t="s">
        <v>110</v>
      </c>
      <c r="CB37" s="37" t="s">
        <v>110</v>
      </c>
      <c r="CC37" s="37" t="s">
        <v>119</v>
      </c>
      <c r="CD37" s="37" t="s">
        <v>110</v>
      </c>
      <c r="CE37" s="37" t="s">
        <v>127</v>
      </c>
      <c r="CF37" s="37" t="s">
        <v>110</v>
      </c>
      <c r="CG37" s="37" t="s">
        <v>119</v>
      </c>
      <c r="CH37" s="81" t="s">
        <v>110</v>
      </c>
      <c r="CI37" s="37" t="s">
        <v>110</v>
      </c>
      <c r="CJ37" s="37" t="s">
        <v>110</v>
      </c>
      <c r="CK37" s="37" t="s">
        <v>126</v>
      </c>
      <c r="CL37" s="37" t="s">
        <v>110</v>
      </c>
      <c r="CM37" s="37" t="s">
        <v>110</v>
      </c>
      <c r="CN37" s="38"/>
      <c r="CO37" t="s">
        <v>786</v>
      </c>
      <c r="CP37">
        <f>IFERROR(VLOOKUP(H37,'Lista Lideres'!$A$1:$B$350,2,0),0)</f>
        <v>0</v>
      </c>
    </row>
    <row r="38" spans="1:94" ht="14.4" hidden="1" x14ac:dyDescent="0.3">
      <c r="A38" s="39">
        <v>45560.533865324076</v>
      </c>
      <c r="B38" s="36" t="s">
        <v>252</v>
      </c>
      <c r="C38" s="36" t="s">
        <v>782</v>
      </c>
      <c r="D38" s="36" t="s">
        <v>93</v>
      </c>
      <c r="E38" s="36" t="s">
        <v>132</v>
      </c>
      <c r="F38" s="36" t="s">
        <v>171</v>
      </c>
      <c r="G38" s="36" t="s">
        <v>288</v>
      </c>
      <c r="H38" s="36" t="s">
        <v>289</v>
      </c>
      <c r="I38" s="36" t="s">
        <v>190</v>
      </c>
      <c r="J38" s="36" t="s">
        <v>196</v>
      </c>
      <c r="K38" s="36" t="s">
        <v>102</v>
      </c>
      <c r="L38" s="82" t="s">
        <v>162</v>
      </c>
      <c r="M38" s="8" t="s">
        <v>104</v>
      </c>
      <c r="N38" s="82" t="s">
        <v>105</v>
      </c>
      <c r="O38" s="82" t="s">
        <v>106</v>
      </c>
      <c r="P38" s="82" t="s">
        <v>175</v>
      </c>
      <c r="Q38" s="113" t="s">
        <v>108</v>
      </c>
      <c r="R38" s="36" t="s">
        <v>109</v>
      </c>
      <c r="S38" s="36" t="s">
        <v>110</v>
      </c>
      <c r="T38" s="36" t="s">
        <v>110</v>
      </c>
      <c r="U38" s="36" t="s">
        <v>110</v>
      </c>
      <c r="V38" s="82" t="s">
        <v>112</v>
      </c>
      <c r="W38" s="82" t="s">
        <v>152</v>
      </c>
      <c r="X38" s="113" t="s">
        <v>114</v>
      </c>
      <c r="Y38" s="36" t="s">
        <v>111</v>
      </c>
      <c r="Z38" s="36" t="s">
        <v>111</v>
      </c>
      <c r="AA38" s="36" t="s">
        <v>111</v>
      </c>
      <c r="AB38" s="36" t="s">
        <v>111</v>
      </c>
      <c r="AC38" s="82" t="s">
        <v>116</v>
      </c>
      <c r="AD38" s="82" t="s">
        <v>166</v>
      </c>
      <c r="AE38" s="82" t="s">
        <v>138</v>
      </c>
      <c r="AF38" s="94" t="s">
        <v>110</v>
      </c>
      <c r="AG38" s="82" t="s">
        <v>110</v>
      </c>
      <c r="AH38" s="36" t="s">
        <v>110</v>
      </c>
      <c r="AI38" s="82" t="s">
        <v>110</v>
      </c>
      <c r="AJ38" s="82" t="s">
        <v>110</v>
      </c>
      <c r="AK38" s="82" t="s">
        <v>110</v>
      </c>
      <c r="AL38" s="36" t="s">
        <v>110</v>
      </c>
      <c r="AM38" s="36" t="s">
        <v>110</v>
      </c>
      <c r="AN38" s="36" t="s">
        <v>110</v>
      </c>
      <c r="AO38" s="82" t="s">
        <v>110</v>
      </c>
      <c r="AP38" s="36" t="s">
        <v>110</v>
      </c>
      <c r="AQ38" s="82" t="s">
        <v>126</v>
      </c>
      <c r="AR38" s="82" t="s">
        <v>110</v>
      </c>
      <c r="AS38" s="36" t="s">
        <v>110</v>
      </c>
      <c r="AT38" s="16" t="s">
        <v>119</v>
      </c>
      <c r="AU38" s="17" t="s">
        <v>110</v>
      </c>
      <c r="AV38" s="36" t="s">
        <v>110</v>
      </c>
      <c r="AW38" s="36" t="s">
        <v>110</v>
      </c>
      <c r="AX38" s="36" t="s">
        <v>110</v>
      </c>
      <c r="AY38" s="36" t="s">
        <v>120</v>
      </c>
      <c r="AZ38" s="82" t="s">
        <v>126</v>
      </c>
      <c r="BA38" s="82" t="s">
        <v>111</v>
      </c>
      <c r="BB38" s="82" t="s">
        <v>126</v>
      </c>
      <c r="BC38" s="82" t="s">
        <v>110</v>
      </c>
      <c r="BD38" s="94" t="s">
        <v>126</v>
      </c>
      <c r="BE38" s="82" t="s">
        <v>126</v>
      </c>
      <c r="BF38" s="82" t="s">
        <v>110</v>
      </c>
      <c r="BG38" s="36" t="s">
        <v>111</v>
      </c>
      <c r="BH38" s="82" t="s">
        <v>125</v>
      </c>
      <c r="BI38" s="36" t="s">
        <v>111</v>
      </c>
      <c r="BJ38" s="82" t="s">
        <v>110</v>
      </c>
      <c r="BK38" s="36" t="s">
        <v>110</v>
      </c>
      <c r="BL38" s="36" t="s">
        <v>126</v>
      </c>
      <c r="BM38" s="36" t="s">
        <v>110</v>
      </c>
      <c r="BN38" s="18" t="s">
        <v>111</v>
      </c>
      <c r="BO38" s="36" t="s">
        <v>111</v>
      </c>
      <c r="BP38" s="36" t="s">
        <v>120</v>
      </c>
      <c r="BQ38" s="36" t="s">
        <v>110</v>
      </c>
      <c r="BR38" s="36" t="s">
        <v>110</v>
      </c>
      <c r="BS38" s="82" t="s">
        <v>110</v>
      </c>
      <c r="BT38" s="36" t="s">
        <v>111</v>
      </c>
      <c r="BU38" s="36" t="s">
        <v>110</v>
      </c>
      <c r="BV38" s="36" t="s">
        <v>110</v>
      </c>
      <c r="BW38" s="36" t="s">
        <v>110</v>
      </c>
      <c r="BX38" s="36" t="s">
        <v>126</v>
      </c>
      <c r="BY38" s="82" t="s">
        <v>110</v>
      </c>
      <c r="BZ38" s="36" t="s">
        <v>115</v>
      </c>
      <c r="CA38" s="36" t="s">
        <v>111</v>
      </c>
      <c r="CB38" s="36" t="s">
        <v>110</v>
      </c>
      <c r="CC38" s="36" t="s">
        <v>110</v>
      </c>
      <c r="CD38" s="36" t="s">
        <v>110</v>
      </c>
      <c r="CE38" s="36" t="s">
        <v>110</v>
      </c>
      <c r="CF38" s="36" t="s">
        <v>110</v>
      </c>
      <c r="CG38" s="36" t="s">
        <v>119</v>
      </c>
      <c r="CH38" s="82" t="s">
        <v>110</v>
      </c>
      <c r="CI38" s="36" t="s">
        <v>110</v>
      </c>
      <c r="CJ38" s="36" t="s">
        <v>110</v>
      </c>
      <c r="CK38" s="36" t="s">
        <v>126</v>
      </c>
      <c r="CL38" s="36" t="s">
        <v>110</v>
      </c>
      <c r="CM38" s="36" t="s">
        <v>110</v>
      </c>
      <c r="CN38" s="45"/>
      <c r="CO38" t="s">
        <v>785</v>
      </c>
      <c r="CP38">
        <f>IFERROR(VLOOKUP(H38,'Lista Lideres'!$A$1:$B$350,2,0),0)</f>
        <v>1</v>
      </c>
    </row>
    <row r="39" spans="1:94" ht="13.8" hidden="1" x14ac:dyDescent="0.3">
      <c r="A39" s="35">
        <v>45577.374515833333</v>
      </c>
      <c r="B39" s="36" t="s">
        <v>252</v>
      </c>
      <c r="C39" s="37" t="s">
        <v>782</v>
      </c>
      <c r="D39" s="37" t="s">
        <v>93</v>
      </c>
      <c r="E39" s="37" t="s">
        <v>170</v>
      </c>
      <c r="F39" s="37" t="s">
        <v>171</v>
      </c>
      <c r="G39" s="37" t="s">
        <v>290</v>
      </c>
      <c r="H39" s="37" t="s">
        <v>194</v>
      </c>
      <c r="I39" s="37" t="s">
        <v>149</v>
      </c>
      <c r="J39" s="37" t="s">
        <v>101</v>
      </c>
      <c r="K39" s="37" t="s">
        <v>191</v>
      </c>
      <c r="L39" s="81" t="s">
        <v>103</v>
      </c>
      <c r="M39" s="8" t="s">
        <v>104</v>
      </c>
      <c r="N39" s="81" t="s">
        <v>105</v>
      </c>
      <c r="O39" s="81" t="s">
        <v>106</v>
      </c>
      <c r="P39" s="81" t="s">
        <v>107</v>
      </c>
      <c r="Q39" s="112" t="s">
        <v>108</v>
      </c>
      <c r="R39" s="37" t="s">
        <v>109</v>
      </c>
      <c r="S39" s="37" t="s">
        <v>110</v>
      </c>
      <c r="T39" s="37" t="s">
        <v>119</v>
      </c>
      <c r="U39" s="37" t="s">
        <v>110</v>
      </c>
      <c r="V39" s="81" t="s">
        <v>112</v>
      </c>
      <c r="W39" s="81" t="s">
        <v>152</v>
      </c>
      <c r="X39" s="112" t="s">
        <v>153</v>
      </c>
      <c r="Y39" s="37" t="s">
        <v>111</v>
      </c>
      <c r="Z39" s="37" t="s">
        <v>111</v>
      </c>
      <c r="AA39" s="37" t="s">
        <v>111</v>
      </c>
      <c r="AB39" s="37" t="s">
        <v>111</v>
      </c>
      <c r="AC39" s="81" t="s">
        <v>110</v>
      </c>
      <c r="AD39" s="81" t="s">
        <v>137</v>
      </c>
      <c r="AE39" s="81" t="s">
        <v>138</v>
      </c>
      <c r="AF39" s="93" t="s">
        <v>110</v>
      </c>
      <c r="AG39" s="81" t="s">
        <v>110</v>
      </c>
      <c r="AH39" s="37" t="s">
        <v>110</v>
      </c>
      <c r="AI39" s="81" t="s">
        <v>110</v>
      </c>
      <c r="AJ39" s="81" t="s">
        <v>197</v>
      </c>
      <c r="AK39" s="81" t="s">
        <v>110</v>
      </c>
      <c r="AL39" s="37" t="s">
        <v>110</v>
      </c>
      <c r="AM39" s="37" t="s">
        <v>110</v>
      </c>
      <c r="AN39" s="37" t="s">
        <v>110</v>
      </c>
      <c r="AO39" s="81" t="s">
        <v>110</v>
      </c>
      <c r="AP39" s="37" t="s">
        <v>110</v>
      </c>
      <c r="AQ39" s="81" t="s">
        <v>126</v>
      </c>
      <c r="AR39" s="81" t="s">
        <v>110</v>
      </c>
      <c r="AS39" s="37" t="s">
        <v>110</v>
      </c>
      <c r="AT39" s="9" t="s">
        <v>110</v>
      </c>
      <c r="AU39" s="10" t="s">
        <v>110</v>
      </c>
      <c r="AV39" s="37" t="s">
        <v>110</v>
      </c>
      <c r="AW39" s="37" t="s">
        <v>110</v>
      </c>
      <c r="AX39" s="37" t="s">
        <v>110</v>
      </c>
      <c r="AY39" s="37" t="s">
        <v>120</v>
      </c>
      <c r="AZ39" s="81" t="s">
        <v>126</v>
      </c>
      <c r="BA39" s="81" t="s">
        <v>111</v>
      </c>
      <c r="BB39" s="81" t="s">
        <v>126</v>
      </c>
      <c r="BC39" s="81" t="s">
        <v>110</v>
      </c>
      <c r="BD39" s="93" t="s">
        <v>126</v>
      </c>
      <c r="BE39" s="81" t="s">
        <v>140</v>
      </c>
      <c r="BF39" s="81" t="s">
        <v>141</v>
      </c>
      <c r="BG39" s="37" t="s">
        <v>110</v>
      </c>
      <c r="BH39" s="81" t="s">
        <v>125</v>
      </c>
      <c r="BI39" s="37" t="s">
        <v>110</v>
      </c>
      <c r="BJ39" s="81" t="s">
        <v>110</v>
      </c>
      <c r="BK39" s="37" t="s">
        <v>110</v>
      </c>
      <c r="BL39" s="37" t="s">
        <v>126</v>
      </c>
      <c r="BM39" s="37" t="s">
        <v>110</v>
      </c>
      <c r="BN39" s="11" t="s">
        <v>110</v>
      </c>
      <c r="BO39" s="37" t="s">
        <v>111</v>
      </c>
      <c r="BP39" s="37" t="s">
        <v>111</v>
      </c>
      <c r="BQ39" s="37" t="s">
        <v>110</v>
      </c>
      <c r="BR39" s="37" t="s">
        <v>110</v>
      </c>
      <c r="BS39" s="81" t="s">
        <v>110</v>
      </c>
      <c r="BT39" s="37" t="s">
        <v>119</v>
      </c>
      <c r="BU39" s="37" t="s">
        <v>110</v>
      </c>
      <c r="BV39" s="37" t="s">
        <v>110</v>
      </c>
      <c r="BW39" s="37" t="s">
        <v>110</v>
      </c>
      <c r="BX39" s="37" t="s">
        <v>126</v>
      </c>
      <c r="BY39" s="81" t="s">
        <v>110</v>
      </c>
      <c r="BZ39" s="37" t="s">
        <v>115</v>
      </c>
      <c r="CA39" s="37" t="s">
        <v>110</v>
      </c>
      <c r="CB39" s="37" t="s">
        <v>110</v>
      </c>
      <c r="CC39" s="37" t="s">
        <v>110</v>
      </c>
      <c r="CD39" s="37" t="s">
        <v>110</v>
      </c>
      <c r="CE39" s="37" t="s">
        <v>110</v>
      </c>
      <c r="CF39" s="37" t="s">
        <v>110</v>
      </c>
      <c r="CG39" s="37" t="s">
        <v>119</v>
      </c>
      <c r="CH39" s="81" t="s">
        <v>110</v>
      </c>
      <c r="CI39" s="37" t="s">
        <v>111</v>
      </c>
      <c r="CJ39" s="37" t="s">
        <v>110</v>
      </c>
      <c r="CK39" s="37" t="s">
        <v>126</v>
      </c>
      <c r="CL39" s="37" t="s">
        <v>110</v>
      </c>
      <c r="CM39" s="37" t="s">
        <v>110</v>
      </c>
      <c r="CN39" s="42" t="s">
        <v>291</v>
      </c>
      <c r="CO39" t="s">
        <v>785</v>
      </c>
      <c r="CP39">
        <f>IFERROR(VLOOKUP(H39,'Lista Lideres'!$A$1:$B$350,2,0),0)</f>
        <v>1</v>
      </c>
    </row>
    <row r="40" spans="1:94" ht="14.4" hidden="1" x14ac:dyDescent="0.3">
      <c r="A40" s="46">
        <v>45568.816572777781</v>
      </c>
      <c r="B40" s="47" t="s">
        <v>181</v>
      </c>
      <c r="C40" s="47" t="s">
        <v>782</v>
      </c>
      <c r="D40" s="47" t="s">
        <v>93</v>
      </c>
      <c r="E40" s="47" t="s">
        <v>236</v>
      </c>
      <c r="F40" s="47" t="s">
        <v>171</v>
      </c>
      <c r="G40" s="47" t="s">
        <v>292</v>
      </c>
      <c r="H40" s="47" t="s">
        <v>293</v>
      </c>
      <c r="I40" s="47" t="s">
        <v>100</v>
      </c>
      <c r="J40" s="47" t="s">
        <v>101</v>
      </c>
      <c r="K40" s="47" t="s">
        <v>102</v>
      </c>
      <c r="L40" s="83" t="s">
        <v>103</v>
      </c>
      <c r="M40" s="8" t="s">
        <v>104</v>
      </c>
      <c r="N40" s="83" t="s">
        <v>105</v>
      </c>
      <c r="O40" s="83" t="s">
        <v>106</v>
      </c>
      <c r="P40" s="83" t="s">
        <v>175</v>
      </c>
      <c r="Q40" s="114" t="s">
        <v>163</v>
      </c>
      <c r="R40" s="47" t="s">
        <v>164</v>
      </c>
      <c r="S40" s="47" t="s">
        <v>110</v>
      </c>
      <c r="T40" s="47" t="s">
        <v>110</v>
      </c>
      <c r="U40" s="47" t="s">
        <v>110</v>
      </c>
      <c r="V40" s="83" t="s">
        <v>136</v>
      </c>
      <c r="W40" s="83" t="s">
        <v>113</v>
      </c>
      <c r="X40" s="114" t="s">
        <v>153</v>
      </c>
      <c r="Y40" s="47" t="s">
        <v>115</v>
      </c>
      <c r="Z40" s="47" t="s">
        <v>168</v>
      </c>
      <c r="AA40" s="47" t="s">
        <v>115</v>
      </c>
      <c r="AB40" s="47" t="s">
        <v>111</v>
      </c>
      <c r="AC40" s="83" t="s">
        <v>119</v>
      </c>
      <c r="AD40" s="83" t="s">
        <v>137</v>
      </c>
      <c r="AE40" s="83" t="s">
        <v>118</v>
      </c>
      <c r="AF40" s="95" t="s">
        <v>120</v>
      </c>
      <c r="AG40" s="83" t="s">
        <v>120</v>
      </c>
      <c r="AH40" s="47" t="s">
        <v>128</v>
      </c>
      <c r="AI40" s="83" t="s">
        <v>121</v>
      </c>
      <c r="AJ40" s="83" t="s">
        <v>110</v>
      </c>
      <c r="AK40" s="83" t="s">
        <v>121</v>
      </c>
      <c r="AL40" s="47" t="s">
        <v>128</v>
      </c>
      <c r="AM40" s="47" t="s">
        <v>121</v>
      </c>
      <c r="AN40" s="47" t="s">
        <v>121</v>
      </c>
      <c r="AO40" s="83" t="s">
        <v>121</v>
      </c>
      <c r="AP40" s="47" t="s">
        <v>121</v>
      </c>
      <c r="AQ40" s="83" t="s">
        <v>203</v>
      </c>
      <c r="AR40" s="83" t="s">
        <v>115</v>
      </c>
      <c r="AS40" s="47" t="s">
        <v>115</v>
      </c>
      <c r="AT40" s="16" t="s">
        <v>129</v>
      </c>
      <c r="AU40" s="17" t="s">
        <v>115</v>
      </c>
      <c r="AV40" s="47" t="s">
        <v>110</v>
      </c>
      <c r="AW40" s="47" t="s">
        <v>119</v>
      </c>
      <c r="AX40" s="47" t="s">
        <v>119</v>
      </c>
      <c r="AY40" s="47" t="s">
        <v>120</v>
      </c>
      <c r="AZ40" s="83" t="s">
        <v>126</v>
      </c>
      <c r="BA40" s="83" t="s">
        <v>120</v>
      </c>
      <c r="BB40" s="83" t="s">
        <v>139</v>
      </c>
      <c r="BC40" s="83" t="s">
        <v>120</v>
      </c>
      <c r="BD40" s="95" t="s">
        <v>126</v>
      </c>
      <c r="BE40" s="83" t="s">
        <v>142</v>
      </c>
      <c r="BF40" s="83" t="s">
        <v>121</v>
      </c>
      <c r="BG40" s="47" t="s">
        <v>111</v>
      </c>
      <c r="BH40" s="83" t="s">
        <v>142</v>
      </c>
      <c r="BI40" s="47" t="s">
        <v>110</v>
      </c>
      <c r="BJ40" s="83" t="s">
        <v>120</v>
      </c>
      <c r="BK40" s="47" t="s">
        <v>128</v>
      </c>
      <c r="BL40" s="47" t="s">
        <v>142</v>
      </c>
      <c r="BM40" s="47" t="s">
        <v>186</v>
      </c>
      <c r="BN40" s="18" t="s">
        <v>115</v>
      </c>
      <c r="BO40" s="47" t="s">
        <v>115</v>
      </c>
      <c r="BP40" s="47" t="s">
        <v>120</v>
      </c>
      <c r="BQ40" s="47" t="s">
        <v>110</v>
      </c>
      <c r="BR40" s="47" t="s">
        <v>115</v>
      </c>
      <c r="BS40" s="83" t="s">
        <v>115</v>
      </c>
      <c r="BT40" s="47" t="s">
        <v>115</v>
      </c>
      <c r="BU40" s="47" t="s">
        <v>115</v>
      </c>
      <c r="BV40" s="47" t="s">
        <v>129</v>
      </c>
      <c r="BW40" s="47" t="s">
        <v>123</v>
      </c>
      <c r="BX40" s="47" t="s">
        <v>124</v>
      </c>
      <c r="BY40" s="83" t="s">
        <v>115</v>
      </c>
      <c r="BZ40" s="47" t="s">
        <v>115</v>
      </c>
      <c r="CA40" s="47" t="s">
        <v>115</v>
      </c>
      <c r="CB40" s="47" t="s">
        <v>129</v>
      </c>
      <c r="CC40" s="47" t="s">
        <v>111</v>
      </c>
      <c r="CD40" s="47" t="s">
        <v>110</v>
      </c>
      <c r="CE40" s="47" t="s">
        <v>116</v>
      </c>
      <c r="CF40" s="47" t="s">
        <v>111</v>
      </c>
      <c r="CG40" s="47" t="s">
        <v>110</v>
      </c>
      <c r="CH40" s="83" t="s">
        <v>115</v>
      </c>
      <c r="CI40" s="47" t="s">
        <v>115</v>
      </c>
      <c r="CJ40" s="47" t="s">
        <v>129</v>
      </c>
      <c r="CK40" s="47" t="s">
        <v>142</v>
      </c>
      <c r="CL40" s="47" t="s">
        <v>115</v>
      </c>
      <c r="CM40" s="47" t="s">
        <v>120</v>
      </c>
      <c r="CN40" s="51"/>
      <c r="CO40" t="s">
        <v>786</v>
      </c>
      <c r="CP40">
        <f>IFERROR(VLOOKUP(H40,'Lista Lideres'!$A$1:$B$350,2,0),0)</f>
        <v>0</v>
      </c>
    </row>
    <row r="41" spans="1:94" ht="14.4" hidden="1" x14ac:dyDescent="0.3">
      <c r="A41" s="52">
        <v>45562.98450799768</v>
      </c>
      <c r="B41" s="47" t="s">
        <v>181</v>
      </c>
      <c r="C41" s="53" t="s">
        <v>782</v>
      </c>
      <c r="D41" s="53" t="s">
        <v>131</v>
      </c>
      <c r="E41" s="53" t="s">
        <v>199</v>
      </c>
      <c r="F41" s="53" t="s">
        <v>97</v>
      </c>
      <c r="G41" s="53" t="s">
        <v>294</v>
      </c>
      <c r="H41" s="53" t="s">
        <v>295</v>
      </c>
      <c r="I41" s="53" t="s">
        <v>161</v>
      </c>
      <c r="J41" s="53" t="s">
        <v>173</v>
      </c>
      <c r="K41" s="53" t="s">
        <v>102</v>
      </c>
      <c r="L41" s="84" t="s">
        <v>150</v>
      </c>
      <c r="M41" s="8" t="s">
        <v>104</v>
      </c>
      <c r="N41" s="84" t="s">
        <v>105</v>
      </c>
      <c r="O41" s="84" t="s">
        <v>106</v>
      </c>
      <c r="P41" s="84" t="s">
        <v>107</v>
      </c>
      <c r="Q41" s="115" t="s">
        <v>108</v>
      </c>
      <c r="R41" s="53" t="s">
        <v>164</v>
      </c>
      <c r="S41" s="53" t="s">
        <v>110</v>
      </c>
      <c r="T41" s="53" t="s">
        <v>119</v>
      </c>
      <c r="U41" s="53" t="s">
        <v>119</v>
      </c>
      <c r="V41" s="84" t="s">
        <v>112</v>
      </c>
      <c r="W41" s="84" t="s">
        <v>113</v>
      </c>
      <c r="X41" s="115" t="s">
        <v>165</v>
      </c>
      <c r="Y41" s="53" t="s">
        <v>110</v>
      </c>
      <c r="Z41" s="53" t="s">
        <v>111</v>
      </c>
      <c r="AA41" s="53" t="s">
        <v>168</v>
      </c>
      <c r="AB41" s="53" t="s">
        <v>111</v>
      </c>
      <c r="AC41" s="84" t="s">
        <v>111</v>
      </c>
      <c r="AD41" s="84" t="s">
        <v>137</v>
      </c>
      <c r="AE41" s="84" t="s">
        <v>118</v>
      </c>
      <c r="AF41" s="96" t="s">
        <v>111</v>
      </c>
      <c r="AG41" s="84" t="s">
        <v>119</v>
      </c>
      <c r="AH41" s="53" t="s">
        <v>110</v>
      </c>
      <c r="AI41" s="84" t="s">
        <v>121</v>
      </c>
      <c r="AJ41" s="84" t="s">
        <v>121</v>
      </c>
      <c r="AK41" s="84" t="s">
        <v>121</v>
      </c>
      <c r="AL41" s="53" t="s">
        <v>128</v>
      </c>
      <c r="AM41" s="53" t="s">
        <v>128</v>
      </c>
      <c r="AN41" s="53" t="s">
        <v>110</v>
      </c>
      <c r="AO41" s="84" t="s">
        <v>128</v>
      </c>
      <c r="AP41" s="53" t="s">
        <v>128</v>
      </c>
      <c r="AQ41" s="84" t="s">
        <v>126</v>
      </c>
      <c r="AR41" s="84" t="s">
        <v>111</v>
      </c>
      <c r="AS41" s="53" t="s">
        <v>110</v>
      </c>
      <c r="AT41" s="9" t="s">
        <v>129</v>
      </c>
      <c r="AU41" s="10" t="s">
        <v>115</v>
      </c>
      <c r="AV41" s="53" t="s">
        <v>119</v>
      </c>
      <c r="AW41" s="53" t="s">
        <v>119</v>
      </c>
      <c r="AX41" s="53" t="s">
        <v>111</v>
      </c>
      <c r="AY41" s="53" t="s">
        <v>120</v>
      </c>
      <c r="AZ41" s="84" t="s">
        <v>126</v>
      </c>
      <c r="BA41" s="84" t="s">
        <v>111</v>
      </c>
      <c r="BB41" s="84" t="s">
        <v>125</v>
      </c>
      <c r="BC41" s="84" t="s">
        <v>111</v>
      </c>
      <c r="BD41" s="96" t="s">
        <v>126</v>
      </c>
      <c r="BE41" s="84" t="s">
        <v>126</v>
      </c>
      <c r="BF41" s="84" t="s">
        <v>128</v>
      </c>
      <c r="BG41" s="53" t="s">
        <v>111</v>
      </c>
      <c r="BH41" s="84" t="s">
        <v>126</v>
      </c>
      <c r="BI41" s="53" t="s">
        <v>111</v>
      </c>
      <c r="BJ41" s="84" t="s">
        <v>110</v>
      </c>
      <c r="BK41" s="53" t="s">
        <v>128</v>
      </c>
      <c r="BL41" s="53" t="s">
        <v>125</v>
      </c>
      <c r="BM41" s="53" t="s">
        <v>127</v>
      </c>
      <c r="BN41" s="11" t="s">
        <v>115</v>
      </c>
      <c r="BO41" s="53" t="s">
        <v>110</v>
      </c>
      <c r="BP41" s="53" t="s">
        <v>120</v>
      </c>
      <c r="BQ41" s="53" t="s">
        <v>115</v>
      </c>
      <c r="BR41" s="53" t="s">
        <v>111</v>
      </c>
      <c r="BS41" s="84" t="s">
        <v>111</v>
      </c>
      <c r="BT41" s="53" t="s">
        <v>115</v>
      </c>
      <c r="BU41" s="53" t="s">
        <v>111</v>
      </c>
      <c r="BV41" s="53" t="s">
        <v>119</v>
      </c>
      <c r="BW41" s="53" t="s">
        <v>110</v>
      </c>
      <c r="BX41" s="53" t="s">
        <v>124</v>
      </c>
      <c r="BY41" s="84" t="s">
        <v>110</v>
      </c>
      <c r="BZ41" s="53" t="s">
        <v>115</v>
      </c>
      <c r="CA41" s="53" t="s">
        <v>111</v>
      </c>
      <c r="CB41" s="53" t="s">
        <v>129</v>
      </c>
      <c r="CC41" s="53" t="s">
        <v>111</v>
      </c>
      <c r="CD41" s="53" t="s">
        <v>110</v>
      </c>
      <c r="CE41" s="53" t="s">
        <v>127</v>
      </c>
      <c r="CF41" s="53" t="s">
        <v>110</v>
      </c>
      <c r="CG41" s="53" t="s">
        <v>119</v>
      </c>
      <c r="CH41" s="84" t="s">
        <v>111</v>
      </c>
      <c r="CI41" s="53" t="s">
        <v>111</v>
      </c>
      <c r="CJ41" s="53" t="s">
        <v>119</v>
      </c>
      <c r="CK41" s="53" t="s">
        <v>126</v>
      </c>
      <c r="CL41" s="53" t="s">
        <v>110</v>
      </c>
      <c r="CM41" s="53" t="s">
        <v>111</v>
      </c>
      <c r="CN41" s="49"/>
      <c r="CO41" t="s">
        <v>785</v>
      </c>
      <c r="CP41">
        <f>IFERROR(VLOOKUP(H41,'Lista Lideres'!$A$1:$B$350,2,0),0)</f>
        <v>0</v>
      </c>
    </row>
    <row r="42" spans="1:94" ht="13.8" hidden="1" x14ac:dyDescent="0.3">
      <c r="A42" s="46">
        <v>45564.064493935184</v>
      </c>
      <c r="B42" s="47" t="s">
        <v>181</v>
      </c>
      <c r="C42" s="47" t="s">
        <v>782</v>
      </c>
      <c r="D42" s="47" t="s">
        <v>93</v>
      </c>
      <c r="E42" s="47" t="s">
        <v>296</v>
      </c>
      <c r="F42" s="47" t="s">
        <v>171</v>
      </c>
      <c r="G42" s="47" t="s">
        <v>297</v>
      </c>
      <c r="H42" s="47" t="s">
        <v>298</v>
      </c>
      <c r="I42" s="47" t="s">
        <v>100</v>
      </c>
      <c r="J42" s="47" t="s">
        <v>183</v>
      </c>
      <c r="K42" s="47" t="s">
        <v>102</v>
      </c>
      <c r="L42" s="83" t="s">
        <v>103</v>
      </c>
      <c r="M42" s="8" t="s">
        <v>104</v>
      </c>
      <c r="N42" s="83" t="s">
        <v>105</v>
      </c>
      <c r="O42" s="83" t="s">
        <v>106</v>
      </c>
      <c r="P42" s="83" t="s">
        <v>107</v>
      </c>
      <c r="Q42" s="114" t="s">
        <v>108</v>
      </c>
      <c r="R42" s="83" t="s">
        <v>184</v>
      </c>
      <c r="S42" s="47" t="s">
        <v>110</v>
      </c>
      <c r="T42" s="47" t="s">
        <v>111</v>
      </c>
      <c r="U42" s="47" t="s">
        <v>110</v>
      </c>
      <c r="V42" s="83" t="s">
        <v>112</v>
      </c>
      <c r="W42" s="83" t="s">
        <v>113</v>
      </c>
      <c r="X42" s="114" t="s">
        <v>114</v>
      </c>
      <c r="Y42" s="47" t="s">
        <v>115</v>
      </c>
      <c r="Z42" s="47" t="s">
        <v>115</v>
      </c>
      <c r="AA42" s="47" t="s">
        <v>111</v>
      </c>
      <c r="AB42" s="47" t="s">
        <v>115</v>
      </c>
      <c r="AC42" s="83" t="s">
        <v>116</v>
      </c>
      <c r="AD42" s="83" t="s">
        <v>137</v>
      </c>
      <c r="AE42" s="83" t="s">
        <v>118</v>
      </c>
      <c r="AF42" s="95" t="s">
        <v>120</v>
      </c>
      <c r="AG42" s="83" t="s">
        <v>119</v>
      </c>
      <c r="AH42" s="47" t="s">
        <v>110</v>
      </c>
      <c r="AI42" s="83" t="s">
        <v>110</v>
      </c>
      <c r="AJ42" s="83" t="s">
        <v>110</v>
      </c>
      <c r="AK42" s="83" t="s">
        <v>110</v>
      </c>
      <c r="AL42" s="47" t="s">
        <v>110</v>
      </c>
      <c r="AM42" s="47" t="s">
        <v>121</v>
      </c>
      <c r="AN42" s="47" t="s">
        <v>110</v>
      </c>
      <c r="AO42" s="83" t="s">
        <v>121</v>
      </c>
      <c r="AP42" s="47" t="s">
        <v>110</v>
      </c>
      <c r="AQ42" s="83" t="s">
        <v>126</v>
      </c>
      <c r="AR42" s="83" t="s">
        <v>110</v>
      </c>
      <c r="AS42" s="47" t="s">
        <v>110</v>
      </c>
      <c r="AT42" s="16" t="s">
        <v>111</v>
      </c>
      <c r="AU42" s="17" t="s">
        <v>115</v>
      </c>
      <c r="AV42" s="47" t="s">
        <v>110</v>
      </c>
      <c r="AW42" s="47" t="s">
        <v>110</v>
      </c>
      <c r="AX42" s="47" t="s">
        <v>111</v>
      </c>
      <c r="AY42" s="47" t="s">
        <v>111</v>
      </c>
      <c r="AZ42" s="83" t="s">
        <v>142</v>
      </c>
      <c r="BA42" s="83" t="s">
        <v>111</v>
      </c>
      <c r="BB42" s="83" t="s">
        <v>126</v>
      </c>
      <c r="BC42" s="83" t="s">
        <v>110</v>
      </c>
      <c r="BD42" s="95" t="s">
        <v>126</v>
      </c>
      <c r="BE42" s="83" t="s">
        <v>126</v>
      </c>
      <c r="BF42" s="83" t="s">
        <v>110</v>
      </c>
      <c r="BG42" s="47" t="s">
        <v>110</v>
      </c>
      <c r="BH42" s="83" t="s">
        <v>125</v>
      </c>
      <c r="BI42" s="47" t="s">
        <v>111</v>
      </c>
      <c r="BJ42" s="83" t="s">
        <v>110</v>
      </c>
      <c r="BK42" s="47" t="s">
        <v>110</v>
      </c>
      <c r="BL42" s="47" t="s">
        <v>126</v>
      </c>
      <c r="BM42" s="47" t="s">
        <v>110</v>
      </c>
      <c r="BN42" s="18" t="s">
        <v>110</v>
      </c>
      <c r="BO42" s="47" t="s">
        <v>115</v>
      </c>
      <c r="BP42" s="47" t="s">
        <v>120</v>
      </c>
      <c r="BQ42" s="47" t="s">
        <v>115</v>
      </c>
      <c r="BR42" s="47" t="s">
        <v>115</v>
      </c>
      <c r="BS42" s="83" t="s">
        <v>115</v>
      </c>
      <c r="BT42" s="47" t="s">
        <v>115</v>
      </c>
      <c r="BU42" s="47" t="s">
        <v>111</v>
      </c>
      <c r="BV42" s="47" t="s">
        <v>110</v>
      </c>
      <c r="BW42" s="47" t="s">
        <v>110</v>
      </c>
      <c r="BX42" s="47" t="s">
        <v>125</v>
      </c>
      <c r="BY42" s="83" t="s">
        <v>110</v>
      </c>
      <c r="BZ42" s="47" t="s">
        <v>111</v>
      </c>
      <c r="CA42" s="47" t="s">
        <v>110</v>
      </c>
      <c r="CB42" s="47" t="s">
        <v>110</v>
      </c>
      <c r="CC42" s="47" t="s">
        <v>115</v>
      </c>
      <c r="CD42" s="47" t="s">
        <v>110</v>
      </c>
      <c r="CE42" s="47" t="s">
        <v>127</v>
      </c>
      <c r="CF42" s="47" t="s">
        <v>115</v>
      </c>
      <c r="CG42" s="47" t="s">
        <v>111</v>
      </c>
      <c r="CH42" s="83" t="s">
        <v>111</v>
      </c>
      <c r="CI42" s="47" t="s">
        <v>111</v>
      </c>
      <c r="CJ42" s="47" t="s">
        <v>129</v>
      </c>
      <c r="CK42" s="47" t="s">
        <v>142</v>
      </c>
      <c r="CL42" s="47" t="s">
        <v>110</v>
      </c>
      <c r="CM42" s="47" t="s">
        <v>111</v>
      </c>
      <c r="CN42" s="55" t="s">
        <v>299</v>
      </c>
      <c r="CO42" t="s">
        <v>786</v>
      </c>
      <c r="CP42">
        <f>IFERROR(VLOOKUP(H42,'Lista Lideres'!$A$1:$B$350,2,0),0)</f>
        <v>1</v>
      </c>
    </row>
    <row r="43" spans="1:94" ht="13.8" hidden="1" x14ac:dyDescent="0.3">
      <c r="A43" s="52">
        <v>45561.287502638894</v>
      </c>
      <c r="B43" s="47" t="s">
        <v>181</v>
      </c>
      <c r="C43" s="53" t="s">
        <v>782</v>
      </c>
      <c r="D43" s="53" t="s">
        <v>131</v>
      </c>
      <c r="E43" s="53" t="s">
        <v>300</v>
      </c>
      <c r="F43" s="53" t="s">
        <v>97</v>
      </c>
      <c r="G43" s="53" t="s">
        <v>301</v>
      </c>
      <c r="H43" s="53" t="s">
        <v>302</v>
      </c>
      <c r="I43" s="53" t="s">
        <v>100</v>
      </c>
      <c r="J43" s="53" t="s">
        <v>196</v>
      </c>
      <c r="K43" s="53" t="s">
        <v>102</v>
      </c>
      <c r="L43" s="84" t="s">
        <v>150</v>
      </c>
      <c r="M43" s="8" t="s">
        <v>104</v>
      </c>
      <c r="N43" s="84" t="s">
        <v>105</v>
      </c>
      <c r="O43" s="84" t="s">
        <v>106</v>
      </c>
      <c r="P43" s="84" t="s">
        <v>107</v>
      </c>
      <c r="Q43" s="115" t="s">
        <v>151</v>
      </c>
      <c r="R43" s="84" t="s">
        <v>184</v>
      </c>
      <c r="S43" s="53" t="s">
        <v>110</v>
      </c>
      <c r="T43" s="53" t="s">
        <v>110</v>
      </c>
      <c r="U43" s="53" t="s">
        <v>110</v>
      </c>
      <c r="V43" s="84" t="s">
        <v>126</v>
      </c>
      <c r="W43" s="84" t="s">
        <v>113</v>
      </c>
      <c r="X43" s="115" t="s">
        <v>153</v>
      </c>
      <c r="Y43" s="53" t="s">
        <v>115</v>
      </c>
      <c r="Z43" s="53" t="s">
        <v>168</v>
      </c>
      <c r="AA43" s="53" t="s">
        <v>168</v>
      </c>
      <c r="AB43" s="53" t="s">
        <v>115</v>
      </c>
      <c r="AC43" s="84" t="s">
        <v>111</v>
      </c>
      <c r="AD43" s="84" t="s">
        <v>137</v>
      </c>
      <c r="AE43" s="84" t="s">
        <v>167</v>
      </c>
      <c r="AF43" s="96" t="s">
        <v>111</v>
      </c>
      <c r="AG43" s="84" t="s">
        <v>110</v>
      </c>
      <c r="AH43" s="53" t="s">
        <v>168</v>
      </c>
      <c r="AI43" s="84" t="s">
        <v>154</v>
      </c>
      <c r="AJ43" s="84" t="s">
        <v>197</v>
      </c>
      <c r="AK43" s="84" t="s">
        <v>128</v>
      </c>
      <c r="AL43" s="53" t="s">
        <v>168</v>
      </c>
      <c r="AM43" s="53" t="s">
        <v>110</v>
      </c>
      <c r="AN43" s="53" t="s">
        <v>128</v>
      </c>
      <c r="AO43" s="84" t="s">
        <v>128</v>
      </c>
      <c r="AP43" s="53" t="s">
        <v>110</v>
      </c>
      <c r="AQ43" s="84" t="s">
        <v>126</v>
      </c>
      <c r="AR43" s="84" t="s">
        <v>110</v>
      </c>
      <c r="AS43" s="53" t="s">
        <v>111</v>
      </c>
      <c r="AT43" s="9" t="s">
        <v>129</v>
      </c>
      <c r="AU43" s="10" t="s">
        <v>110</v>
      </c>
      <c r="AV43" s="53" t="s">
        <v>119</v>
      </c>
      <c r="AW43" s="53" t="s">
        <v>119</v>
      </c>
      <c r="AX43" s="53" t="s">
        <v>110</v>
      </c>
      <c r="AY43" s="53" t="s">
        <v>120</v>
      </c>
      <c r="AZ43" s="84" t="s">
        <v>124</v>
      </c>
      <c r="BA43" s="84" t="s">
        <v>120</v>
      </c>
      <c r="BB43" s="84" t="s">
        <v>139</v>
      </c>
      <c r="BC43" s="84" t="s">
        <v>110</v>
      </c>
      <c r="BD43" s="96" t="s">
        <v>126</v>
      </c>
      <c r="BE43" s="84" t="s">
        <v>140</v>
      </c>
      <c r="BF43" s="84" t="s">
        <v>141</v>
      </c>
      <c r="BG43" s="53" t="s">
        <v>110</v>
      </c>
      <c r="BH43" s="84" t="s">
        <v>125</v>
      </c>
      <c r="BI43" s="53" t="s">
        <v>111</v>
      </c>
      <c r="BJ43" s="84" t="s">
        <v>168</v>
      </c>
      <c r="BK43" s="53" t="s">
        <v>110</v>
      </c>
      <c r="BL43" s="53" t="s">
        <v>126</v>
      </c>
      <c r="BM43" s="53" t="s">
        <v>110</v>
      </c>
      <c r="BN43" s="11" t="s">
        <v>110</v>
      </c>
      <c r="BO43" s="53" t="s">
        <v>110</v>
      </c>
      <c r="BP43" s="53" t="s">
        <v>120</v>
      </c>
      <c r="BQ43" s="53" t="s">
        <v>110</v>
      </c>
      <c r="BR43" s="53" t="s">
        <v>110</v>
      </c>
      <c r="BS43" s="84" t="s">
        <v>111</v>
      </c>
      <c r="BT43" s="53" t="s">
        <v>111</v>
      </c>
      <c r="BU43" s="53" t="s">
        <v>111</v>
      </c>
      <c r="BV43" s="53" t="s">
        <v>110</v>
      </c>
      <c r="BW43" s="53" t="s">
        <v>123</v>
      </c>
      <c r="BX43" s="53" t="s">
        <v>126</v>
      </c>
      <c r="BY43" s="84" t="s">
        <v>111</v>
      </c>
      <c r="BZ43" s="53" t="s">
        <v>115</v>
      </c>
      <c r="CA43" s="53" t="s">
        <v>110</v>
      </c>
      <c r="CB43" s="53" t="s">
        <v>129</v>
      </c>
      <c r="CC43" s="53" t="s">
        <v>111</v>
      </c>
      <c r="CD43" s="53" t="s">
        <v>119</v>
      </c>
      <c r="CE43" s="53" t="s">
        <v>110</v>
      </c>
      <c r="CF43" s="53" t="s">
        <v>110</v>
      </c>
      <c r="CG43" s="53" t="s">
        <v>110</v>
      </c>
      <c r="CH43" s="84" t="s">
        <v>110</v>
      </c>
      <c r="CI43" s="53" t="s">
        <v>115</v>
      </c>
      <c r="CJ43" s="53" t="s">
        <v>119</v>
      </c>
      <c r="CK43" s="53" t="s">
        <v>126</v>
      </c>
      <c r="CL43" s="53" t="s">
        <v>110</v>
      </c>
      <c r="CM43" s="53" t="s">
        <v>111</v>
      </c>
      <c r="CN43" s="50" t="s">
        <v>303</v>
      </c>
      <c r="CO43" t="s">
        <v>786</v>
      </c>
      <c r="CP43">
        <f>IFERROR(VLOOKUP(H43,'Lista Lideres'!$A$1:$B$350,2,0),0)</f>
        <v>0</v>
      </c>
    </row>
    <row r="44" spans="1:94" ht="13.8" hidden="1" x14ac:dyDescent="0.3">
      <c r="A44" s="46">
        <v>45563.823620023148</v>
      </c>
      <c r="B44" s="47" t="s">
        <v>181</v>
      </c>
      <c r="C44" s="47" t="s">
        <v>782</v>
      </c>
      <c r="D44" s="47" t="s">
        <v>93</v>
      </c>
      <c r="E44" s="47" t="s">
        <v>304</v>
      </c>
      <c r="F44" s="47" t="s">
        <v>96</v>
      </c>
      <c r="G44" s="47" t="s">
        <v>98</v>
      </c>
      <c r="H44" s="47" t="s">
        <v>98</v>
      </c>
      <c r="I44" s="47" t="s">
        <v>149</v>
      </c>
      <c r="J44" s="47" t="s">
        <v>101</v>
      </c>
      <c r="K44" s="47" t="s">
        <v>102</v>
      </c>
      <c r="L44" s="83" t="s">
        <v>135</v>
      </c>
      <c r="M44" s="8" t="s">
        <v>104</v>
      </c>
      <c r="N44" s="83" t="s">
        <v>105</v>
      </c>
      <c r="O44" s="83" t="s">
        <v>106</v>
      </c>
      <c r="P44" s="83" t="s">
        <v>107</v>
      </c>
      <c r="Q44" s="114" t="s">
        <v>163</v>
      </c>
      <c r="R44" s="83" t="s">
        <v>184</v>
      </c>
      <c r="S44" s="47" t="s">
        <v>119</v>
      </c>
      <c r="T44" s="47" t="s">
        <v>119</v>
      </c>
      <c r="U44" s="47" t="s">
        <v>119</v>
      </c>
      <c r="V44" s="83" t="s">
        <v>112</v>
      </c>
      <c r="W44" s="83" t="s">
        <v>152</v>
      </c>
      <c r="X44" s="114" t="s">
        <v>165</v>
      </c>
      <c r="Y44" s="47" t="s">
        <v>110</v>
      </c>
      <c r="Z44" s="47" t="s">
        <v>119</v>
      </c>
      <c r="AA44" s="47" t="s">
        <v>110</v>
      </c>
      <c r="AB44" s="47" t="s">
        <v>111</v>
      </c>
      <c r="AC44" s="83" t="s">
        <v>111</v>
      </c>
      <c r="AD44" s="83" t="s">
        <v>137</v>
      </c>
      <c r="AE44" s="83" t="s">
        <v>138</v>
      </c>
      <c r="AF44" s="95" t="s">
        <v>119</v>
      </c>
      <c r="AG44" s="83" t="s">
        <v>110</v>
      </c>
      <c r="AH44" s="47" t="s">
        <v>122</v>
      </c>
      <c r="AI44" s="83" t="s">
        <v>154</v>
      </c>
      <c r="AJ44" s="83" t="s">
        <v>197</v>
      </c>
      <c r="AK44" s="83" t="s">
        <v>225</v>
      </c>
      <c r="AL44" s="47" t="s">
        <v>177</v>
      </c>
      <c r="AM44" s="47" t="s">
        <v>123</v>
      </c>
      <c r="AN44" s="47" t="s">
        <v>177</v>
      </c>
      <c r="AO44" s="83" t="s">
        <v>123</v>
      </c>
      <c r="AP44" s="47" t="s">
        <v>178</v>
      </c>
      <c r="AQ44" s="83" t="s">
        <v>126</v>
      </c>
      <c r="AR44" s="83" t="s">
        <v>111</v>
      </c>
      <c r="AS44" s="47" t="s">
        <v>110</v>
      </c>
      <c r="AT44" s="16" t="s">
        <v>115</v>
      </c>
      <c r="AU44" s="17" t="s">
        <v>111</v>
      </c>
      <c r="AV44" s="47" t="s">
        <v>115</v>
      </c>
      <c r="AW44" s="47" t="s">
        <v>115</v>
      </c>
      <c r="AX44" s="47" t="s">
        <v>111</v>
      </c>
      <c r="AY44" s="47" t="s">
        <v>120</v>
      </c>
      <c r="AZ44" s="83" t="s">
        <v>142</v>
      </c>
      <c r="BA44" s="83" t="s">
        <v>129</v>
      </c>
      <c r="BB44" s="83" t="s">
        <v>139</v>
      </c>
      <c r="BC44" s="83" t="s">
        <v>110</v>
      </c>
      <c r="BD44" s="95" t="s">
        <v>125</v>
      </c>
      <c r="BE44" s="83" t="s">
        <v>140</v>
      </c>
      <c r="BF44" s="83" t="s">
        <v>141</v>
      </c>
      <c r="BG44" s="47" t="s">
        <v>119</v>
      </c>
      <c r="BH44" s="83" t="s">
        <v>126</v>
      </c>
      <c r="BI44" s="47" t="s">
        <v>120</v>
      </c>
      <c r="BJ44" s="83" t="s">
        <v>119</v>
      </c>
      <c r="BK44" s="47" t="s">
        <v>128</v>
      </c>
      <c r="BL44" s="47" t="s">
        <v>126</v>
      </c>
      <c r="BM44" s="47" t="s">
        <v>209</v>
      </c>
      <c r="BN44" s="18" t="s">
        <v>119</v>
      </c>
      <c r="BO44" s="47" t="s">
        <v>111</v>
      </c>
      <c r="BP44" s="47" t="s">
        <v>120</v>
      </c>
      <c r="BQ44" s="47" t="s">
        <v>111</v>
      </c>
      <c r="BR44" s="47" t="s">
        <v>111</v>
      </c>
      <c r="BS44" s="83" t="s">
        <v>110</v>
      </c>
      <c r="BT44" s="47" t="s">
        <v>111</v>
      </c>
      <c r="BU44" s="47" t="s">
        <v>110</v>
      </c>
      <c r="BV44" s="47" t="s">
        <v>111</v>
      </c>
      <c r="BW44" s="47" t="s">
        <v>128</v>
      </c>
      <c r="BX44" s="47" t="s">
        <v>142</v>
      </c>
      <c r="BY44" s="83" t="s">
        <v>110</v>
      </c>
      <c r="BZ44" s="47" t="s">
        <v>129</v>
      </c>
      <c r="CA44" s="47" t="s">
        <v>119</v>
      </c>
      <c r="CB44" s="47" t="s">
        <v>115</v>
      </c>
      <c r="CC44" s="47" t="s">
        <v>119</v>
      </c>
      <c r="CD44" s="47" t="s">
        <v>110</v>
      </c>
      <c r="CE44" s="47" t="s">
        <v>209</v>
      </c>
      <c r="CF44" s="47" t="s">
        <v>110</v>
      </c>
      <c r="CG44" s="47" t="s">
        <v>119</v>
      </c>
      <c r="CH44" s="83" t="s">
        <v>110</v>
      </c>
      <c r="CI44" s="47" t="s">
        <v>115</v>
      </c>
      <c r="CJ44" s="47" t="s">
        <v>129</v>
      </c>
      <c r="CK44" s="47" t="s">
        <v>126</v>
      </c>
      <c r="CL44" s="47" t="s">
        <v>119</v>
      </c>
      <c r="CM44" s="47" t="s">
        <v>111</v>
      </c>
      <c r="CN44" s="50" t="s">
        <v>306</v>
      </c>
      <c r="CO44" t="s">
        <v>785</v>
      </c>
      <c r="CP44">
        <f>IFERROR(VLOOKUP(H44,'Lista Lideres'!$A$1:$B$350,2,0),0)</f>
        <v>0</v>
      </c>
    </row>
    <row r="45" spans="1:94" ht="13.8" hidden="1" x14ac:dyDescent="0.3">
      <c r="A45" s="52">
        <v>45565.809328854171</v>
      </c>
      <c r="B45" s="47" t="s">
        <v>181</v>
      </c>
      <c r="C45" s="53" t="s">
        <v>782</v>
      </c>
      <c r="D45" s="53" t="s">
        <v>93</v>
      </c>
      <c r="E45" s="53" t="s">
        <v>236</v>
      </c>
      <c r="F45" s="53" t="s">
        <v>171</v>
      </c>
      <c r="G45" s="53" t="s">
        <v>205</v>
      </c>
      <c r="H45" s="53" t="s">
        <v>307</v>
      </c>
      <c r="I45" s="53" t="s">
        <v>161</v>
      </c>
      <c r="J45" s="53" t="s">
        <v>183</v>
      </c>
      <c r="K45" s="53" t="s">
        <v>102</v>
      </c>
      <c r="L45" s="84" t="s">
        <v>103</v>
      </c>
      <c r="M45" s="8" t="s">
        <v>104</v>
      </c>
      <c r="N45" s="84" t="s">
        <v>105</v>
      </c>
      <c r="O45" s="84" t="s">
        <v>106</v>
      </c>
      <c r="P45" s="84" t="s">
        <v>107</v>
      </c>
      <c r="Q45" s="115" t="s">
        <v>108</v>
      </c>
      <c r="R45" s="53" t="s">
        <v>176</v>
      </c>
      <c r="S45" s="53" t="s">
        <v>120</v>
      </c>
      <c r="T45" s="53" t="s">
        <v>115</v>
      </c>
      <c r="U45" s="53" t="s">
        <v>115</v>
      </c>
      <c r="V45" s="84" t="s">
        <v>136</v>
      </c>
      <c r="W45" s="84" t="s">
        <v>113</v>
      </c>
      <c r="X45" s="115" t="s">
        <v>165</v>
      </c>
      <c r="Y45" s="53" t="s">
        <v>115</v>
      </c>
      <c r="Z45" s="53" t="s">
        <v>111</v>
      </c>
      <c r="AA45" s="53" t="s">
        <v>115</v>
      </c>
      <c r="AB45" s="53" t="s">
        <v>115</v>
      </c>
      <c r="AC45" s="84" t="s">
        <v>110</v>
      </c>
      <c r="AD45" s="84" t="s">
        <v>166</v>
      </c>
      <c r="AE45" s="84" t="s">
        <v>118</v>
      </c>
      <c r="AF45" s="96" t="s">
        <v>120</v>
      </c>
      <c r="AG45" s="84" t="s">
        <v>119</v>
      </c>
      <c r="AH45" s="53" t="s">
        <v>110</v>
      </c>
      <c r="AI45" s="84" t="s">
        <v>121</v>
      </c>
      <c r="AJ45" s="84" t="s">
        <v>121</v>
      </c>
      <c r="AK45" s="84" t="s">
        <v>121</v>
      </c>
      <c r="AL45" s="53" t="s">
        <v>110</v>
      </c>
      <c r="AM45" s="53" t="s">
        <v>110</v>
      </c>
      <c r="AN45" s="53" t="s">
        <v>128</v>
      </c>
      <c r="AO45" s="84" t="s">
        <v>110</v>
      </c>
      <c r="AP45" s="53" t="s">
        <v>128</v>
      </c>
      <c r="AQ45" s="84" t="s">
        <v>203</v>
      </c>
      <c r="AR45" s="84" t="s">
        <v>115</v>
      </c>
      <c r="AS45" s="53" t="s">
        <v>111</v>
      </c>
      <c r="AT45" s="9" t="s">
        <v>129</v>
      </c>
      <c r="AU45" s="10" t="s">
        <v>115</v>
      </c>
      <c r="AV45" s="53" t="s">
        <v>129</v>
      </c>
      <c r="AW45" s="53" t="s">
        <v>129</v>
      </c>
      <c r="AX45" s="53" t="s">
        <v>119</v>
      </c>
      <c r="AY45" s="53" t="s">
        <v>120</v>
      </c>
      <c r="AZ45" s="84" t="s">
        <v>125</v>
      </c>
      <c r="BA45" s="84" t="s">
        <v>120</v>
      </c>
      <c r="BB45" s="84" t="s">
        <v>125</v>
      </c>
      <c r="BC45" s="84" t="s">
        <v>111</v>
      </c>
      <c r="BD45" s="96" t="s">
        <v>125</v>
      </c>
      <c r="BE45" s="84" t="s">
        <v>126</v>
      </c>
      <c r="BF45" s="84" t="s">
        <v>121</v>
      </c>
      <c r="BG45" s="53" t="s">
        <v>110</v>
      </c>
      <c r="BH45" s="84" t="s">
        <v>142</v>
      </c>
      <c r="BI45" s="53" t="s">
        <v>120</v>
      </c>
      <c r="BJ45" s="84" t="s">
        <v>111</v>
      </c>
      <c r="BK45" s="53" t="s">
        <v>128</v>
      </c>
      <c r="BL45" s="53" t="s">
        <v>126</v>
      </c>
      <c r="BM45" s="53" t="s">
        <v>127</v>
      </c>
      <c r="BN45" s="11" t="s">
        <v>115</v>
      </c>
      <c r="BO45" s="53" t="s">
        <v>115</v>
      </c>
      <c r="BP45" s="53" t="s">
        <v>120</v>
      </c>
      <c r="BQ45" s="53" t="s">
        <v>111</v>
      </c>
      <c r="BR45" s="53" t="s">
        <v>111</v>
      </c>
      <c r="BS45" s="84" t="s">
        <v>111</v>
      </c>
      <c r="BT45" s="53" t="s">
        <v>115</v>
      </c>
      <c r="BU45" s="53" t="s">
        <v>115</v>
      </c>
      <c r="BV45" s="53" t="s">
        <v>119</v>
      </c>
      <c r="BW45" s="53" t="s">
        <v>123</v>
      </c>
      <c r="BX45" s="53" t="s">
        <v>124</v>
      </c>
      <c r="BY45" s="84" t="s">
        <v>115</v>
      </c>
      <c r="BZ45" s="53" t="s">
        <v>115</v>
      </c>
      <c r="CA45" s="53" t="s">
        <v>115</v>
      </c>
      <c r="CB45" s="53" t="s">
        <v>129</v>
      </c>
      <c r="CC45" s="53" t="s">
        <v>111</v>
      </c>
      <c r="CD45" s="53" t="s">
        <v>119</v>
      </c>
      <c r="CE45" s="53" t="s">
        <v>127</v>
      </c>
      <c r="CF45" s="53" t="s">
        <v>115</v>
      </c>
      <c r="CG45" s="53" t="s">
        <v>110</v>
      </c>
      <c r="CH45" s="84" t="s">
        <v>111</v>
      </c>
      <c r="CI45" s="53" t="s">
        <v>115</v>
      </c>
      <c r="CJ45" s="53" t="s">
        <v>119</v>
      </c>
      <c r="CK45" s="53" t="s">
        <v>125</v>
      </c>
      <c r="CL45" s="53" t="s">
        <v>111</v>
      </c>
      <c r="CM45" s="53" t="s">
        <v>120</v>
      </c>
      <c r="CN45" s="50" t="s">
        <v>309</v>
      </c>
      <c r="CO45" t="s">
        <v>785</v>
      </c>
      <c r="CP45">
        <f>IFERROR(VLOOKUP(H45,'Lista Lideres'!$A$1:$B$350,2,0),0)</f>
        <v>0</v>
      </c>
    </row>
    <row r="46" spans="1:94" ht="13.8" hidden="1" x14ac:dyDescent="0.3">
      <c r="A46" s="46">
        <v>45561.779138865742</v>
      </c>
      <c r="B46" s="47" t="s">
        <v>181</v>
      </c>
      <c r="C46" s="47" t="s">
        <v>782</v>
      </c>
      <c r="D46" s="47" t="s">
        <v>93</v>
      </c>
      <c r="E46" s="47" t="s">
        <v>236</v>
      </c>
      <c r="F46" s="47" t="s">
        <v>96</v>
      </c>
      <c r="G46" s="47" t="s">
        <v>98</v>
      </c>
      <c r="H46" s="47" t="s">
        <v>310</v>
      </c>
      <c r="I46" s="47" t="s">
        <v>195</v>
      </c>
      <c r="J46" s="47" t="s">
        <v>101</v>
      </c>
      <c r="K46" s="47" t="s">
        <v>102</v>
      </c>
      <c r="L46" s="83" t="s">
        <v>135</v>
      </c>
      <c r="M46" s="8" t="s">
        <v>104</v>
      </c>
      <c r="N46" s="83" t="s">
        <v>105</v>
      </c>
      <c r="O46" s="83" t="s">
        <v>106</v>
      </c>
      <c r="P46" s="83" t="s">
        <v>107</v>
      </c>
      <c r="Q46" s="114" t="s">
        <v>108</v>
      </c>
      <c r="R46" s="47" t="s">
        <v>109</v>
      </c>
      <c r="S46" s="47" t="s">
        <v>129</v>
      </c>
      <c r="T46" s="47" t="s">
        <v>129</v>
      </c>
      <c r="U46" s="47" t="s">
        <v>119</v>
      </c>
      <c r="V46" s="83" t="s">
        <v>112</v>
      </c>
      <c r="W46" s="83" t="s">
        <v>113</v>
      </c>
      <c r="X46" s="114" t="s">
        <v>114</v>
      </c>
      <c r="Y46" s="47" t="s">
        <v>111</v>
      </c>
      <c r="Z46" s="47" t="s">
        <v>111</v>
      </c>
      <c r="AA46" s="47" t="s">
        <v>110</v>
      </c>
      <c r="AB46" s="47" t="s">
        <v>110</v>
      </c>
      <c r="AC46" s="83" t="s">
        <v>116</v>
      </c>
      <c r="AD46" s="83" t="s">
        <v>166</v>
      </c>
      <c r="AE46" s="83" t="s">
        <v>138</v>
      </c>
      <c r="AF46" s="95" t="s">
        <v>110</v>
      </c>
      <c r="AG46" s="83" t="s">
        <v>111</v>
      </c>
      <c r="AH46" s="47" t="s">
        <v>110</v>
      </c>
      <c r="AI46" s="83" t="s">
        <v>110</v>
      </c>
      <c r="AJ46" s="83" t="s">
        <v>110</v>
      </c>
      <c r="AK46" s="83" t="s">
        <v>110</v>
      </c>
      <c r="AL46" s="47" t="s">
        <v>177</v>
      </c>
      <c r="AM46" s="47" t="s">
        <v>123</v>
      </c>
      <c r="AN46" s="47" t="s">
        <v>110</v>
      </c>
      <c r="AO46" s="83" t="s">
        <v>123</v>
      </c>
      <c r="AP46" s="47" t="s">
        <v>178</v>
      </c>
      <c r="AQ46" s="83" t="s">
        <v>142</v>
      </c>
      <c r="AR46" s="83" t="s">
        <v>129</v>
      </c>
      <c r="AS46" s="47" t="s">
        <v>129</v>
      </c>
      <c r="AT46" s="16" t="s">
        <v>111</v>
      </c>
      <c r="AU46" s="17" t="s">
        <v>110</v>
      </c>
      <c r="AV46" s="47" t="s">
        <v>111</v>
      </c>
      <c r="AW46" s="47" t="s">
        <v>111</v>
      </c>
      <c r="AX46" s="47" t="s">
        <v>110</v>
      </c>
      <c r="AY46" s="47" t="s">
        <v>110</v>
      </c>
      <c r="AZ46" s="83" t="s">
        <v>125</v>
      </c>
      <c r="BA46" s="83" t="s">
        <v>119</v>
      </c>
      <c r="BB46" s="83" t="s">
        <v>139</v>
      </c>
      <c r="BC46" s="83" t="s">
        <v>129</v>
      </c>
      <c r="BD46" s="95" t="s">
        <v>124</v>
      </c>
      <c r="BE46" s="83" t="s">
        <v>140</v>
      </c>
      <c r="BF46" s="83" t="s">
        <v>122</v>
      </c>
      <c r="BG46" s="47" t="s">
        <v>110</v>
      </c>
      <c r="BH46" s="83" t="s">
        <v>126</v>
      </c>
      <c r="BI46" s="47" t="s">
        <v>111</v>
      </c>
      <c r="BJ46" s="83" t="s">
        <v>110</v>
      </c>
      <c r="BK46" s="47" t="s">
        <v>122</v>
      </c>
      <c r="BL46" s="47" t="s">
        <v>126</v>
      </c>
      <c r="BM46" s="47" t="s">
        <v>110</v>
      </c>
      <c r="BN46" s="18" t="s">
        <v>110</v>
      </c>
      <c r="BO46" s="47" t="s">
        <v>110</v>
      </c>
      <c r="BP46" s="47" t="s">
        <v>120</v>
      </c>
      <c r="BQ46" s="47" t="s">
        <v>115</v>
      </c>
      <c r="BR46" s="47" t="s">
        <v>115</v>
      </c>
      <c r="BS46" s="83" t="s">
        <v>115</v>
      </c>
      <c r="BT46" s="47" t="s">
        <v>110</v>
      </c>
      <c r="BU46" s="47" t="s">
        <v>110</v>
      </c>
      <c r="BV46" s="47" t="s">
        <v>129</v>
      </c>
      <c r="BW46" s="47" t="s">
        <v>121</v>
      </c>
      <c r="BX46" s="47" t="s">
        <v>142</v>
      </c>
      <c r="BY46" s="83" t="s">
        <v>119</v>
      </c>
      <c r="BZ46" s="47" t="s">
        <v>110</v>
      </c>
      <c r="CA46" s="47" t="s">
        <v>110</v>
      </c>
      <c r="CB46" s="47" t="s">
        <v>110</v>
      </c>
      <c r="CC46" s="47" t="s">
        <v>110</v>
      </c>
      <c r="CD46" s="47" t="s">
        <v>110</v>
      </c>
      <c r="CE46" s="47" t="s">
        <v>110</v>
      </c>
      <c r="CF46" s="47" t="s">
        <v>119</v>
      </c>
      <c r="CG46" s="47" t="s">
        <v>119</v>
      </c>
      <c r="CH46" s="83" t="s">
        <v>119</v>
      </c>
      <c r="CI46" s="47" t="s">
        <v>111</v>
      </c>
      <c r="CJ46" s="47" t="s">
        <v>111</v>
      </c>
      <c r="CK46" s="47" t="s">
        <v>126</v>
      </c>
      <c r="CL46" s="47" t="s">
        <v>119</v>
      </c>
      <c r="CM46" s="47" t="s">
        <v>119</v>
      </c>
      <c r="CN46" s="55" t="s">
        <v>311</v>
      </c>
      <c r="CO46" t="s">
        <v>786</v>
      </c>
      <c r="CP46">
        <f>IFERROR(VLOOKUP(H46,'Lista Lideres'!$A$1:$B$350,2,0),0)</f>
        <v>0</v>
      </c>
    </row>
    <row r="47" spans="1:94" ht="14.4" hidden="1" x14ac:dyDescent="0.3">
      <c r="A47" s="52">
        <v>45563.857778530088</v>
      </c>
      <c r="B47" s="47" t="s">
        <v>181</v>
      </c>
      <c r="C47" s="53" t="s">
        <v>782</v>
      </c>
      <c r="D47" s="53" t="s">
        <v>93</v>
      </c>
      <c r="E47" s="53" t="s">
        <v>304</v>
      </c>
      <c r="F47" s="53" t="s">
        <v>96</v>
      </c>
      <c r="G47" s="53" t="s">
        <v>312</v>
      </c>
      <c r="H47" s="53" t="s">
        <v>313</v>
      </c>
      <c r="I47" s="53" t="s">
        <v>149</v>
      </c>
      <c r="J47" s="53" t="s">
        <v>101</v>
      </c>
      <c r="K47" s="53" t="s">
        <v>191</v>
      </c>
      <c r="L47" s="84" t="s">
        <v>135</v>
      </c>
      <c r="M47" s="8" t="s">
        <v>104</v>
      </c>
      <c r="N47" s="84" t="s">
        <v>105</v>
      </c>
      <c r="O47" s="84" t="s">
        <v>106</v>
      </c>
      <c r="P47" s="84" t="s">
        <v>175</v>
      </c>
      <c r="Q47" s="115" t="s">
        <v>163</v>
      </c>
      <c r="R47" s="53" t="s">
        <v>314</v>
      </c>
      <c r="S47" s="53" t="s">
        <v>119</v>
      </c>
      <c r="T47" s="53" t="s">
        <v>119</v>
      </c>
      <c r="U47" s="53" t="s">
        <v>110</v>
      </c>
      <c r="V47" s="84" t="s">
        <v>126</v>
      </c>
      <c r="W47" s="84" t="s">
        <v>113</v>
      </c>
      <c r="X47" s="115" t="s">
        <v>114</v>
      </c>
      <c r="Y47" s="53" t="s">
        <v>110</v>
      </c>
      <c r="Z47" s="53" t="s">
        <v>110</v>
      </c>
      <c r="AA47" s="53" t="s">
        <v>110</v>
      </c>
      <c r="AB47" s="53" t="s">
        <v>119</v>
      </c>
      <c r="AC47" s="84" t="s">
        <v>110</v>
      </c>
      <c r="AD47" s="84" t="s">
        <v>137</v>
      </c>
      <c r="AE47" s="84" t="s">
        <v>138</v>
      </c>
      <c r="AF47" s="96" t="s">
        <v>110</v>
      </c>
      <c r="AG47" s="84" t="s">
        <v>111</v>
      </c>
      <c r="AH47" s="53" t="s">
        <v>110</v>
      </c>
      <c r="AI47" s="84" t="s">
        <v>110</v>
      </c>
      <c r="AJ47" s="84" t="s">
        <v>122</v>
      </c>
      <c r="AK47" s="84" t="s">
        <v>122</v>
      </c>
      <c r="AL47" s="53" t="s">
        <v>110</v>
      </c>
      <c r="AM47" s="53" t="s">
        <v>110</v>
      </c>
      <c r="AN47" s="53" t="s">
        <v>123</v>
      </c>
      <c r="AO47" s="84" t="s">
        <v>123</v>
      </c>
      <c r="AP47" s="53" t="s">
        <v>110</v>
      </c>
      <c r="AQ47" s="84" t="s">
        <v>126</v>
      </c>
      <c r="AR47" s="84" t="s">
        <v>111</v>
      </c>
      <c r="AS47" s="53" t="s">
        <v>110</v>
      </c>
      <c r="AT47" s="9" t="s">
        <v>110</v>
      </c>
      <c r="AU47" s="10" t="s">
        <v>110</v>
      </c>
      <c r="AV47" s="53" t="s">
        <v>110</v>
      </c>
      <c r="AW47" s="53" t="s">
        <v>110</v>
      </c>
      <c r="AX47" s="53" t="s">
        <v>110</v>
      </c>
      <c r="AY47" s="53" t="s">
        <v>111</v>
      </c>
      <c r="AZ47" s="84" t="s">
        <v>126</v>
      </c>
      <c r="BA47" s="84" t="s">
        <v>110</v>
      </c>
      <c r="BB47" s="84" t="s">
        <v>126</v>
      </c>
      <c r="BC47" s="84" t="s">
        <v>110</v>
      </c>
      <c r="BD47" s="96" t="s">
        <v>126</v>
      </c>
      <c r="BE47" s="84" t="s">
        <v>126</v>
      </c>
      <c r="BF47" s="84" t="s">
        <v>110</v>
      </c>
      <c r="BG47" s="53" t="s">
        <v>119</v>
      </c>
      <c r="BH47" s="84" t="s">
        <v>124</v>
      </c>
      <c r="BI47" s="53" t="s">
        <v>111</v>
      </c>
      <c r="BJ47" s="84" t="s">
        <v>111</v>
      </c>
      <c r="BK47" s="53" t="s">
        <v>110</v>
      </c>
      <c r="BL47" s="53" t="s">
        <v>126</v>
      </c>
      <c r="BM47" s="53" t="s">
        <v>110</v>
      </c>
      <c r="BN47" s="11" t="s">
        <v>110</v>
      </c>
      <c r="BO47" s="53" t="s">
        <v>119</v>
      </c>
      <c r="BP47" s="53" t="s">
        <v>111</v>
      </c>
      <c r="BQ47" s="53" t="s">
        <v>110</v>
      </c>
      <c r="BR47" s="53" t="s">
        <v>110</v>
      </c>
      <c r="BS47" s="84" t="s">
        <v>110</v>
      </c>
      <c r="BT47" s="53" t="s">
        <v>110</v>
      </c>
      <c r="BU47" s="53" t="s">
        <v>110</v>
      </c>
      <c r="BV47" s="53" t="s">
        <v>110</v>
      </c>
      <c r="BW47" s="53" t="s">
        <v>110</v>
      </c>
      <c r="BX47" s="53" t="s">
        <v>126</v>
      </c>
      <c r="BY47" s="84" t="s">
        <v>110</v>
      </c>
      <c r="BZ47" s="53" t="s">
        <v>111</v>
      </c>
      <c r="CA47" s="53" t="s">
        <v>110</v>
      </c>
      <c r="CB47" s="53" t="s">
        <v>119</v>
      </c>
      <c r="CC47" s="53" t="s">
        <v>110</v>
      </c>
      <c r="CD47" s="53" t="s">
        <v>110</v>
      </c>
      <c r="CE47" s="53" t="s">
        <v>110</v>
      </c>
      <c r="CF47" s="53" t="s">
        <v>110</v>
      </c>
      <c r="CG47" s="53" t="s">
        <v>119</v>
      </c>
      <c r="CH47" s="84" t="s">
        <v>110</v>
      </c>
      <c r="CI47" s="53" t="s">
        <v>111</v>
      </c>
      <c r="CJ47" s="53" t="s">
        <v>119</v>
      </c>
      <c r="CK47" s="53" t="s">
        <v>126</v>
      </c>
      <c r="CL47" s="53" t="s">
        <v>110</v>
      </c>
      <c r="CM47" s="53" t="s">
        <v>110</v>
      </c>
      <c r="CN47" s="49"/>
      <c r="CO47" t="s">
        <v>785</v>
      </c>
      <c r="CP47">
        <f>IFERROR(VLOOKUP(H47,'Lista Lideres'!$A$1:$B$350,2,0),0)</f>
        <v>0</v>
      </c>
    </row>
    <row r="48" spans="1:94" ht="13.8" hidden="1" x14ac:dyDescent="0.3">
      <c r="A48" s="46">
        <v>45565.826258946763</v>
      </c>
      <c r="B48" s="47" t="s">
        <v>181</v>
      </c>
      <c r="C48" s="47" t="s">
        <v>782</v>
      </c>
      <c r="D48" s="47" t="s">
        <v>93</v>
      </c>
      <c r="E48" s="47" t="s">
        <v>304</v>
      </c>
      <c r="F48" s="47" t="s">
        <v>171</v>
      </c>
      <c r="G48" s="47" t="s">
        <v>315</v>
      </c>
      <c r="H48" s="47" t="s">
        <v>316</v>
      </c>
      <c r="I48" s="47" t="s">
        <v>149</v>
      </c>
      <c r="J48" s="47" t="s">
        <v>196</v>
      </c>
      <c r="K48" s="47" t="s">
        <v>191</v>
      </c>
      <c r="L48" s="83" t="s">
        <v>213</v>
      </c>
      <c r="M48" s="8" t="s">
        <v>104</v>
      </c>
      <c r="N48" s="83" t="s">
        <v>105</v>
      </c>
      <c r="O48" s="83" t="s">
        <v>106</v>
      </c>
      <c r="P48" s="83" t="s">
        <v>107</v>
      </c>
      <c r="Q48" s="114" t="s">
        <v>108</v>
      </c>
      <c r="R48" s="47" t="s">
        <v>164</v>
      </c>
      <c r="S48" s="47" t="s">
        <v>119</v>
      </c>
      <c r="T48" s="47" t="s">
        <v>110</v>
      </c>
      <c r="U48" s="47" t="s">
        <v>110</v>
      </c>
      <c r="V48" s="83" t="s">
        <v>112</v>
      </c>
      <c r="W48" s="83" t="s">
        <v>113</v>
      </c>
      <c r="X48" s="114" t="s">
        <v>153</v>
      </c>
      <c r="Y48" s="47" t="s">
        <v>111</v>
      </c>
      <c r="Z48" s="47" t="s">
        <v>111</v>
      </c>
      <c r="AA48" s="47" t="s">
        <v>111</v>
      </c>
      <c r="AB48" s="47" t="s">
        <v>110</v>
      </c>
      <c r="AC48" s="83" t="s">
        <v>110</v>
      </c>
      <c r="AD48" s="83" t="s">
        <v>166</v>
      </c>
      <c r="AE48" s="83" t="s">
        <v>138</v>
      </c>
      <c r="AF48" s="95" t="s">
        <v>119</v>
      </c>
      <c r="AG48" s="83" t="s">
        <v>168</v>
      </c>
      <c r="AH48" s="47" t="s">
        <v>177</v>
      </c>
      <c r="AI48" s="83" t="s">
        <v>154</v>
      </c>
      <c r="AJ48" s="83" t="s">
        <v>197</v>
      </c>
      <c r="AK48" s="83" t="s">
        <v>110</v>
      </c>
      <c r="AL48" s="47" t="s">
        <v>168</v>
      </c>
      <c r="AM48" s="47" t="s">
        <v>123</v>
      </c>
      <c r="AN48" s="47" t="s">
        <v>177</v>
      </c>
      <c r="AO48" s="83" t="s">
        <v>123</v>
      </c>
      <c r="AP48" s="47" t="s">
        <v>123</v>
      </c>
      <c r="AQ48" s="83" t="s">
        <v>126</v>
      </c>
      <c r="AR48" s="83" t="s">
        <v>110</v>
      </c>
      <c r="AS48" s="47" t="s">
        <v>110</v>
      </c>
      <c r="AT48" s="16" t="s">
        <v>110</v>
      </c>
      <c r="AU48" s="17" t="s">
        <v>111</v>
      </c>
      <c r="AV48" s="47" t="s">
        <v>110</v>
      </c>
      <c r="AW48" s="47" t="s">
        <v>119</v>
      </c>
      <c r="AX48" s="47" t="s">
        <v>119</v>
      </c>
      <c r="AY48" s="47" t="s">
        <v>120</v>
      </c>
      <c r="AZ48" s="83" t="s">
        <v>126</v>
      </c>
      <c r="BA48" s="83" t="s">
        <v>111</v>
      </c>
      <c r="BB48" s="83" t="s">
        <v>139</v>
      </c>
      <c r="BC48" s="83" t="s">
        <v>120</v>
      </c>
      <c r="BD48" s="95" t="s">
        <v>124</v>
      </c>
      <c r="BE48" s="83" t="s">
        <v>140</v>
      </c>
      <c r="BF48" s="83" t="s">
        <v>110</v>
      </c>
      <c r="BG48" s="47" t="s">
        <v>119</v>
      </c>
      <c r="BH48" s="83" t="s">
        <v>124</v>
      </c>
      <c r="BI48" s="47" t="s">
        <v>111</v>
      </c>
      <c r="BJ48" s="83" t="s">
        <v>120</v>
      </c>
      <c r="BK48" s="47" t="s">
        <v>110</v>
      </c>
      <c r="BL48" s="47" t="s">
        <v>126</v>
      </c>
      <c r="BM48" s="47" t="s">
        <v>110</v>
      </c>
      <c r="BN48" s="18" t="s">
        <v>111</v>
      </c>
      <c r="BO48" s="47" t="s">
        <v>111</v>
      </c>
      <c r="BP48" s="47" t="s">
        <v>111</v>
      </c>
      <c r="BQ48" s="47" t="s">
        <v>110</v>
      </c>
      <c r="BR48" s="47" t="s">
        <v>110</v>
      </c>
      <c r="BS48" s="83" t="s">
        <v>111</v>
      </c>
      <c r="BT48" s="47" t="s">
        <v>111</v>
      </c>
      <c r="BU48" s="47" t="s">
        <v>111</v>
      </c>
      <c r="BV48" s="47" t="s">
        <v>119</v>
      </c>
      <c r="BW48" s="47" t="s">
        <v>110</v>
      </c>
      <c r="BX48" s="47" t="s">
        <v>126</v>
      </c>
      <c r="BY48" s="83" t="s">
        <v>111</v>
      </c>
      <c r="BZ48" s="47" t="s">
        <v>115</v>
      </c>
      <c r="CA48" s="47" t="s">
        <v>110</v>
      </c>
      <c r="CB48" s="47" t="s">
        <v>110</v>
      </c>
      <c r="CC48" s="47" t="s">
        <v>119</v>
      </c>
      <c r="CD48" s="47" t="s">
        <v>110</v>
      </c>
      <c r="CE48" s="47" t="s">
        <v>127</v>
      </c>
      <c r="CF48" s="47" t="s">
        <v>119</v>
      </c>
      <c r="CG48" s="47" t="s">
        <v>119</v>
      </c>
      <c r="CH48" s="83" t="s">
        <v>110</v>
      </c>
      <c r="CI48" s="47" t="s">
        <v>111</v>
      </c>
      <c r="CJ48" s="47" t="s">
        <v>119</v>
      </c>
      <c r="CK48" s="47" t="s">
        <v>126</v>
      </c>
      <c r="CL48" s="47" t="s">
        <v>110</v>
      </c>
      <c r="CM48" s="47" t="s">
        <v>111</v>
      </c>
      <c r="CN48" s="55" t="s">
        <v>317</v>
      </c>
      <c r="CO48" t="s">
        <v>785</v>
      </c>
      <c r="CP48">
        <f>IFERROR(VLOOKUP(H48,'Lista Lideres'!$A$1:$B$350,2,0),0)</f>
        <v>0</v>
      </c>
    </row>
    <row r="49" spans="1:94" ht="14.4" hidden="1" x14ac:dyDescent="0.3">
      <c r="A49" s="52">
        <v>45573.258920636574</v>
      </c>
      <c r="B49" s="47" t="s">
        <v>181</v>
      </c>
      <c r="C49" s="53" t="s">
        <v>782</v>
      </c>
      <c r="D49" s="53" t="s">
        <v>93</v>
      </c>
      <c r="E49" s="53" t="s">
        <v>199</v>
      </c>
      <c r="F49" s="53" t="s">
        <v>96</v>
      </c>
      <c r="G49" s="53" t="s">
        <v>318</v>
      </c>
      <c r="H49" s="53" t="s">
        <v>319</v>
      </c>
      <c r="I49" s="53" t="s">
        <v>100</v>
      </c>
      <c r="J49" s="53" t="s">
        <v>101</v>
      </c>
      <c r="K49" s="53" t="s">
        <v>174</v>
      </c>
      <c r="L49" s="84" t="s">
        <v>135</v>
      </c>
      <c r="M49" s="8" t="s">
        <v>104</v>
      </c>
      <c r="N49" s="84" t="s">
        <v>105</v>
      </c>
      <c r="O49" s="84" t="s">
        <v>106</v>
      </c>
      <c r="P49" s="84" t="s">
        <v>107</v>
      </c>
      <c r="Q49" s="115" t="s">
        <v>108</v>
      </c>
      <c r="R49" s="53" t="s">
        <v>164</v>
      </c>
      <c r="S49" s="53" t="s">
        <v>110</v>
      </c>
      <c r="T49" s="53" t="s">
        <v>110</v>
      </c>
      <c r="U49" s="53" t="s">
        <v>110</v>
      </c>
      <c r="V49" s="84" t="s">
        <v>320</v>
      </c>
      <c r="W49" s="84" t="s">
        <v>152</v>
      </c>
      <c r="X49" s="115" t="s">
        <v>153</v>
      </c>
      <c r="Y49" s="53" t="s">
        <v>111</v>
      </c>
      <c r="Z49" s="53" t="s">
        <v>111</v>
      </c>
      <c r="AA49" s="53" t="s">
        <v>111</v>
      </c>
      <c r="AB49" s="53" t="s">
        <v>111</v>
      </c>
      <c r="AC49" s="84" t="s">
        <v>110</v>
      </c>
      <c r="AD49" s="84" t="s">
        <v>166</v>
      </c>
      <c r="AE49" s="84" t="s">
        <v>118</v>
      </c>
      <c r="AF49" s="96" t="s">
        <v>111</v>
      </c>
      <c r="AG49" s="84" t="s">
        <v>110</v>
      </c>
      <c r="AH49" s="53" t="s">
        <v>110</v>
      </c>
      <c r="AI49" s="84" t="s">
        <v>110</v>
      </c>
      <c r="AJ49" s="84" t="s">
        <v>128</v>
      </c>
      <c r="AK49" s="84" t="s">
        <v>128</v>
      </c>
      <c r="AL49" s="53" t="s">
        <v>168</v>
      </c>
      <c r="AM49" s="53" t="s">
        <v>110</v>
      </c>
      <c r="AN49" s="53" t="s">
        <v>110</v>
      </c>
      <c r="AO49" s="84" t="s">
        <v>110</v>
      </c>
      <c r="AP49" s="53" t="s">
        <v>110</v>
      </c>
      <c r="AQ49" s="84" t="s">
        <v>124</v>
      </c>
      <c r="AR49" s="84" t="s">
        <v>110</v>
      </c>
      <c r="AS49" s="53" t="s">
        <v>110</v>
      </c>
      <c r="AT49" s="9" t="s">
        <v>110</v>
      </c>
      <c r="AU49" s="10" t="s">
        <v>111</v>
      </c>
      <c r="AV49" s="53" t="s">
        <v>119</v>
      </c>
      <c r="AW49" s="53" t="s">
        <v>119</v>
      </c>
      <c r="AX49" s="53" t="s">
        <v>110</v>
      </c>
      <c r="AY49" s="53" t="s">
        <v>111</v>
      </c>
      <c r="AZ49" s="84" t="s">
        <v>125</v>
      </c>
      <c r="BA49" s="84" t="s">
        <v>111</v>
      </c>
      <c r="BB49" s="84" t="s">
        <v>125</v>
      </c>
      <c r="BC49" s="84" t="s">
        <v>110</v>
      </c>
      <c r="BD49" s="96" t="s">
        <v>168</v>
      </c>
      <c r="BE49" s="84" t="s">
        <v>125</v>
      </c>
      <c r="BF49" s="84" t="s">
        <v>110</v>
      </c>
      <c r="BG49" s="53" t="s">
        <v>110</v>
      </c>
      <c r="BH49" s="84" t="s">
        <v>125</v>
      </c>
      <c r="BI49" s="53" t="s">
        <v>120</v>
      </c>
      <c r="BJ49" s="84" t="s">
        <v>119</v>
      </c>
      <c r="BK49" s="53" t="s">
        <v>168</v>
      </c>
      <c r="BL49" s="53" t="s">
        <v>126</v>
      </c>
      <c r="BM49" s="53" t="s">
        <v>110</v>
      </c>
      <c r="BN49" s="11" t="s">
        <v>115</v>
      </c>
      <c r="BO49" s="53" t="s">
        <v>111</v>
      </c>
      <c r="BP49" s="53" t="s">
        <v>120</v>
      </c>
      <c r="BQ49" s="53" t="s">
        <v>110</v>
      </c>
      <c r="BR49" s="53" t="s">
        <v>110</v>
      </c>
      <c r="BS49" s="84" t="s">
        <v>111</v>
      </c>
      <c r="BT49" s="53" t="s">
        <v>111</v>
      </c>
      <c r="BU49" s="53" t="s">
        <v>110</v>
      </c>
      <c r="BV49" s="53" t="s">
        <v>110</v>
      </c>
      <c r="BW49" s="53" t="s">
        <v>110</v>
      </c>
      <c r="BX49" s="53" t="s">
        <v>126</v>
      </c>
      <c r="BY49" s="84" t="s">
        <v>111</v>
      </c>
      <c r="BZ49" s="53" t="s">
        <v>115</v>
      </c>
      <c r="CA49" s="53" t="s">
        <v>110</v>
      </c>
      <c r="CB49" s="53" t="s">
        <v>110</v>
      </c>
      <c r="CC49" s="53" t="s">
        <v>111</v>
      </c>
      <c r="CD49" s="53" t="s">
        <v>110</v>
      </c>
      <c r="CE49" s="53" t="s">
        <v>127</v>
      </c>
      <c r="CF49" s="53" t="s">
        <v>119</v>
      </c>
      <c r="CG49" s="53" t="s">
        <v>119</v>
      </c>
      <c r="CH49" s="84" t="s">
        <v>110</v>
      </c>
      <c r="CI49" s="53" t="s">
        <v>110</v>
      </c>
      <c r="CJ49" s="53" t="s">
        <v>119</v>
      </c>
      <c r="CK49" s="53" t="s">
        <v>125</v>
      </c>
      <c r="CL49" s="53" t="s">
        <v>111</v>
      </c>
      <c r="CM49" s="53" t="s">
        <v>111</v>
      </c>
      <c r="CN49" s="56"/>
      <c r="CO49" t="s">
        <v>786</v>
      </c>
      <c r="CP49">
        <f>IFERROR(VLOOKUP(H49,'Lista Lideres'!$A$1:$B$350,2,0),0)</f>
        <v>0</v>
      </c>
    </row>
    <row r="50" spans="1:94" ht="13.8" hidden="1" x14ac:dyDescent="0.3">
      <c r="A50" s="46">
        <v>45565.805771597225</v>
      </c>
      <c r="B50" s="47" t="s">
        <v>181</v>
      </c>
      <c r="C50" s="47" t="s">
        <v>782</v>
      </c>
      <c r="D50" s="47" t="s">
        <v>93</v>
      </c>
      <c r="E50" s="47" t="s">
        <v>304</v>
      </c>
      <c r="F50" s="47" t="s">
        <v>96</v>
      </c>
      <c r="G50" s="47" t="s">
        <v>321</v>
      </c>
      <c r="H50" s="47" t="s">
        <v>322</v>
      </c>
      <c r="I50" s="47" t="s">
        <v>149</v>
      </c>
      <c r="J50" s="47" t="s">
        <v>101</v>
      </c>
      <c r="K50" s="47" t="s">
        <v>191</v>
      </c>
      <c r="L50" s="83" t="s">
        <v>162</v>
      </c>
      <c r="M50" s="8" t="s">
        <v>104</v>
      </c>
      <c r="N50" s="83" t="s">
        <v>105</v>
      </c>
      <c r="O50" s="83" t="s">
        <v>106</v>
      </c>
      <c r="P50" s="83" t="s">
        <v>107</v>
      </c>
      <c r="Q50" s="114" t="s">
        <v>151</v>
      </c>
      <c r="R50" s="47" t="s">
        <v>109</v>
      </c>
      <c r="S50" s="47" t="s">
        <v>111</v>
      </c>
      <c r="T50" s="47" t="s">
        <v>111</v>
      </c>
      <c r="U50" s="47" t="s">
        <v>111</v>
      </c>
      <c r="V50" s="83" t="s">
        <v>112</v>
      </c>
      <c r="W50" s="83" t="s">
        <v>113</v>
      </c>
      <c r="X50" s="114" t="s">
        <v>165</v>
      </c>
      <c r="Y50" s="47" t="s">
        <v>115</v>
      </c>
      <c r="Z50" s="47" t="s">
        <v>115</v>
      </c>
      <c r="AA50" s="47" t="s">
        <v>115</v>
      </c>
      <c r="AB50" s="47" t="s">
        <v>115</v>
      </c>
      <c r="AC50" s="83" t="s">
        <v>111</v>
      </c>
      <c r="AD50" s="83" t="s">
        <v>117</v>
      </c>
      <c r="AE50" s="83" t="s">
        <v>118</v>
      </c>
      <c r="AF50" s="95" t="s">
        <v>111</v>
      </c>
      <c r="AG50" s="83" t="s">
        <v>120</v>
      </c>
      <c r="AH50" s="47" t="s">
        <v>121</v>
      </c>
      <c r="AI50" s="83" t="s">
        <v>110</v>
      </c>
      <c r="AJ50" s="83" t="s">
        <v>128</v>
      </c>
      <c r="AK50" s="83" t="s">
        <v>128</v>
      </c>
      <c r="AL50" s="47" t="s">
        <v>110</v>
      </c>
      <c r="AM50" s="47" t="s">
        <v>128</v>
      </c>
      <c r="AN50" s="47" t="s">
        <v>121</v>
      </c>
      <c r="AO50" s="83" t="s">
        <v>121</v>
      </c>
      <c r="AP50" s="47" t="s">
        <v>110</v>
      </c>
      <c r="AQ50" s="83" t="s">
        <v>126</v>
      </c>
      <c r="AR50" s="83" t="s">
        <v>119</v>
      </c>
      <c r="AS50" s="47" t="s">
        <v>110</v>
      </c>
      <c r="AT50" s="16" t="s">
        <v>129</v>
      </c>
      <c r="AU50" s="17" t="s">
        <v>115</v>
      </c>
      <c r="AV50" s="47" t="s">
        <v>119</v>
      </c>
      <c r="AW50" s="47" t="s">
        <v>129</v>
      </c>
      <c r="AX50" s="47" t="s">
        <v>119</v>
      </c>
      <c r="AY50" s="47" t="s">
        <v>120</v>
      </c>
      <c r="AZ50" s="83" t="s">
        <v>125</v>
      </c>
      <c r="BA50" s="83" t="s">
        <v>110</v>
      </c>
      <c r="BB50" s="83" t="s">
        <v>125</v>
      </c>
      <c r="BC50" s="83" t="s">
        <v>110</v>
      </c>
      <c r="BD50" s="95" t="s">
        <v>125</v>
      </c>
      <c r="BE50" s="83" t="s">
        <v>126</v>
      </c>
      <c r="BF50" s="83" t="s">
        <v>121</v>
      </c>
      <c r="BG50" s="47" t="s">
        <v>110</v>
      </c>
      <c r="BH50" s="83" t="s">
        <v>142</v>
      </c>
      <c r="BI50" s="47" t="s">
        <v>111</v>
      </c>
      <c r="BJ50" s="83" t="s">
        <v>110</v>
      </c>
      <c r="BK50" s="47" t="s">
        <v>121</v>
      </c>
      <c r="BL50" s="47" t="s">
        <v>125</v>
      </c>
      <c r="BM50" s="47" t="s">
        <v>127</v>
      </c>
      <c r="BN50" s="18" t="s">
        <v>111</v>
      </c>
      <c r="BO50" s="47" t="s">
        <v>111</v>
      </c>
      <c r="BP50" s="47" t="s">
        <v>120</v>
      </c>
      <c r="BQ50" s="47" t="s">
        <v>111</v>
      </c>
      <c r="BR50" s="47" t="s">
        <v>115</v>
      </c>
      <c r="BS50" s="83" t="s">
        <v>111</v>
      </c>
      <c r="BT50" s="47" t="s">
        <v>111</v>
      </c>
      <c r="BU50" s="47" t="s">
        <v>111</v>
      </c>
      <c r="BV50" s="47" t="s">
        <v>119</v>
      </c>
      <c r="BW50" s="47" t="s">
        <v>123</v>
      </c>
      <c r="BX50" s="47" t="s">
        <v>126</v>
      </c>
      <c r="BY50" s="83" t="s">
        <v>111</v>
      </c>
      <c r="BZ50" s="47" t="s">
        <v>115</v>
      </c>
      <c r="CA50" s="47" t="s">
        <v>115</v>
      </c>
      <c r="CB50" s="47" t="s">
        <v>129</v>
      </c>
      <c r="CC50" s="47" t="s">
        <v>111</v>
      </c>
      <c r="CD50" s="47" t="s">
        <v>119</v>
      </c>
      <c r="CE50" s="47" t="s">
        <v>127</v>
      </c>
      <c r="CF50" s="47" t="s">
        <v>111</v>
      </c>
      <c r="CG50" s="47" t="s">
        <v>119</v>
      </c>
      <c r="CH50" s="83" t="s">
        <v>111</v>
      </c>
      <c r="CI50" s="47" t="s">
        <v>111</v>
      </c>
      <c r="CJ50" s="47" t="s">
        <v>119</v>
      </c>
      <c r="CK50" s="47" t="s">
        <v>125</v>
      </c>
      <c r="CL50" s="47" t="s">
        <v>110</v>
      </c>
      <c r="CM50" s="47" t="s">
        <v>111</v>
      </c>
      <c r="CN50" s="50" t="s">
        <v>323</v>
      </c>
      <c r="CO50" t="s">
        <v>785</v>
      </c>
      <c r="CP50">
        <f>IFERROR(VLOOKUP(H50,'Lista Lideres'!$A$1:$B$350,2,0),0)</f>
        <v>1</v>
      </c>
    </row>
    <row r="51" spans="1:94" ht="14.4" hidden="1" x14ac:dyDescent="0.3">
      <c r="A51" s="52">
        <v>45564.974492592592</v>
      </c>
      <c r="B51" s="47" t="s">
        <v>181</v>
      </c>
      <c r="C51" s="53" t="s">
        <v>782</v>
      </c>
      <c r="D51" s="53" t="s">
        <v>93</v>
      </c>
      <c r="E51" s="53" t="s">
        <v>324</v>
      </c>
      <c r="F51" s="53" t="s">
        <v>96</v>
      </c>
      <c r="G51" s="53" t="s">
        <v>325</v>
      </c>
      <c r="H51" s="53" t="s">
        <v>326</v>
      </c>
      <c r="I51" s="53" t="s">
        <v>100</v>
      </c>
      <c r="J51" s="53" t="s">
        <v>101</v>
      </c>
      <c r="K51" s="53" t="s">
        <v>102</v>
      </c>
      <c r="L51" s="84" t="s">
        <v>103</v>
      </c>
      <c r="M51" s="8" t="s">
        <v>104</v>
      </c>
      <c r="N51" s="84" t="s">
        <v>105</v>
      </c>
      <c r="O51" s="84" t="s">
        <v>106</v>
      </c>
      <c r="P51" s="84" t="s">
        <v>107</v>
      </c>
      <c r="Q51" s="115" t="s">
        <v>151</v>
      </c>
      <c r="R51" s="84" t="s">
        <v>184</v>
      </c>
      <c r="S51" s="53" t="s">
        <v>110</v>
      </c>
      <c r="T51" s="53" t="s">
        <v>111</v>
      </c>
      <c r="U51" s="53" t="s">
        <v>110</v>
      </c>
      <c r="V51" s="84" t="s">
        <v>126</v>
      </c>
      <c r="W51" s="84" t="s">
        <v>113</v>
      </c>
      <c r="X51" s="115" t="s">
        <v>235</v>
      </c>
      <c r="Y51" s="53" t="s">
        <v>115</v>
      </c>
      <c r="Z51" s="53" t="s">
        <v>115</v>
      </c>
      <c r="AA51" s="53" t="s">
        <v>115</v>
      </c>
      <c r="AB51" s="53" t="s">
        <v>119</v>
      </c>
      <c r="AC51" s="84" t="s">
        <v>110</v>
      </c>
      <c r="AD51" s="84" t="s">
        <v>166</v>
      </c>
      <c r="AE51" s="84" t="s">
        <v>167</v>
      </c>
      <c r="AF51" s="96" t="s">
        <v>120</v>
      </c>
      <c r="AG51" s="84" t="s">
        <v>111</v>
      </c>
      <c r="AH51" s="53" t="s">
        <v>110</v>
      </c>
      <c r="AI51" s="84" t="s">
        <v>110</v>
      </c>
      <c r="AJ51" s="84" t="s">
        <v>110</v>
      </c>
      <c r="AK51" s="84" t="s">
        <v>110</v>
      </c>
      <c r="AL51" s="53" t="s">
        <v>110</v>
      </c>
      <c r="AM51" s="53" t="s">
        <v>110</v>
      </c>
      <c r="AN51" s="53" t="s">
        <v>110</v>
      </c>
      <c r="AO51" s="84" t="s">
        <v>110</v>
      </c>
      <c r="AP51" s="53" t="s">
        <v>110</v>
      </c>
      <c r="AQ51" s="84" t="s">
        <v>126</v>
      </c>
      <c r="AR51" s="84" t="s">
        <v>110</v>
      </c>
      <c r="AS51" s="53" t="s">
        <v>110</v>
      </c>
      <c r="AT51" s="9" t="s">
        <v>110</v>
      </c>
      <c r="AU51" s="10" t="s">
        <v>115</v>
      </c>
      <c r="AV51" s="53" t="s">
        <v>115</v>
      </c>
      <c r="AW51" s="53" t="s">
        <v>111</v>
      </c>
      <c r="AX51" s="53" t="s">
        <v>111</v>
      </c>
      <c r="AY51" s="53" t="s">
        <v>120</v>
      </c>
      <c r="AZ51" s="84" t="s">
        <v>126</v>
      </c>
      <c r="BA51" s="84" t="s">
        <v>111</v>
      </c>
      <c r="BB51" s="84" t="s">
        <v>126</v>
      </c>
      <c r="BC51" s="84" t="s">
        <v>120</v>
      </c>
      <c r="BD51" s="96" t="s">
        <v>125</v>
      </c>
      <c r="BE51" s="84" t="s">
        <v>126</v>
      </c>
      <c r="BF51" s="84" t="s">
        <v>110</v>
      </c>
      <c r="BG51" s="53" t="s">
        <v>110</v>
      </c>
      <c r="BH51" s="84" t="s">
        <v>126</v>
      </c>
      <c r="BI51" s="53" t="s">
        <v>111</v>
      </c>
      <c r="BJ51" s="84" t="s">
        <v>120</v>
      </c>
      <c r="BK51" s="53" t="s">
        <v>110</v>
      </c>
      <c r="BL51" s="53" t="s">
        <v>126</v>
      </c>
      <c r="BM51" s="53" t="s">
        <v>110</v>
      </c>
      <c r="BN51" s="11" t="s">
        <v>115</v>
      </c>
      <c r="BO51" s="53" t="s">
        <v>111</v>
      </c>
      <c r="BP51" s="53" t="s">
        <v>120</v>
      </c>
      <c r="BQ51" s="53" t="s">
        <v>115</v>
      </c>
      <c r="BR51" s="53" t="s">
        <v>115</v>
      </c>
      <c r="BS51" s="84" t="s">
        <v>115</v>
      </c>
      <c r="BT51" s="53" t="s">
        <v>115</v>
      </c>
      <c r="BU51" s="53" t="s">
        <v>111</v>
      </c>
      <c r="BV51" s="53" t="s">
        <v>110</v>
      </c>
      <c r="BW51" s="53" t="s">
        <v>110</v>
      </c>
      <c r="BX51" s="53" t="s">
        <v>142</v>
      </c>
      <c r="BY51" s="84" t="s">
        <v>111</v>
      </c>
      <c r="BZ51" s="53" t="s">
        <v>129</v>
      </c>
      <c r="CA51" s="53" t="s">
        <v>115</v>
      </c>
      <c r="CB51" s="53" t="s">
        <v>119</v>
      </c>
      <c r="CC51" s="53" t="s">
        <v>110</v>
      </c>
      <c r="CD51" s="53" t="s">
        <v>129</v>
      </c>
      <c r="CE51" s="53" t="s">
        <v>127</v>
      </c>
      <c r="CF51" s="53" t="s">
        <v>111</v>
      </c>
      <c r="CG51" s="53" t="s">
        <v>115</v>
      </c>
      <c r="CH51" s="84" t="s">
        <v>111</v>
      </c>
      <c r="CI51" s="53" t="s">
        <v>115</v>
      </c>
      <c r="CJ51" s="53" t="s">
        <v>110</v>
      </c>
      <c r="CK51" s="53" t="s">
        <v>126</v>
      </c>
      <c r="CL51" s="53" t="s">
        <v>110</v>
      </c>
      <c r="CM51" s="53" t="s">
        <v>120</v>
      </c>
      <c r="CN51" s="56"/>
      <c r="CO51" t="s">
        <v>786</v>
      </c>
      <c r="CP51">
        <f>IFERROR(VLOOKUP(H51,'Lista Lideres'!$A$1:$B$350,2,0),0)</f>
        <v>0</v>
      </c>
    </row>
    <row r="52" spans="1:94" ht="13.8" hidden="1" x14ac:dyDescent="0.3">
      <c r="A52" s="46">
        <v>45565.82033106481</v>
      </c>
      <c r="B52" s="47" t="s">
        <v>181</v>
      </c>
      <c r="C52" s="47" t="s">
        <v>782</v>
      </c>
      <c r="D52" s="47" t="s">
        <v>93</v>
      </c>
      <c r="E52" s="47" t="s">
        <v>304</v>
      </c>
      <c r="F52" s="47" t="s">
        <v>171</v>
      </c>
      <c r="G52" s="47" t="s">
        <v>327</v>
      </c>
      <c r="H52" s="47" t="s">
        <v>328</v>
      </c>
      <c r="I52" s="47" t="s">
        <v>100</v>
      </c>
      <c r="J52" s="47" t="s">
        <v>183</v>
      </c>
      <c r="K52" s="47" t="s">
        <v>102</v>
      </c>
      <c r="L52" s="83" t="s">
        <v>103</v>
      </c>
      <c r="M52" s="8" t="s">
        <v>104</v>
      </c>
      <c r="N52" s="83" t="s">
        <v>105</v>
      </c>
      <c r="O52" s="83" t="s">
        <v>106</v>
      </c>
      <c r="P52" s="83" t="s">
        <v>107</v>
      </c>
      <c r="Q52" s="114" t="s">
        <v>108</v>
      </c>
      <c r="R52" s="47" t="s">
        <v>176</v>
      </c>
      <c r="S52" s="47" t="s">
        <v>110</v>
      </c>
      <c r="T52" s="47" t="s">
        <v>110</v>
      </c>
      <c r="U52" s="47" t="s">
        <v>110</v>
      </c>
      <c r="V52" s="83" t="s">
        <v>126</v>
      </c>
      <c r="W52" s="83" t="s">
        <v>113</v>
      </c>
      <c r="X52" s="114" t="s">
        <v>153</v>
      </c>
      <c r="Y52" s="47" t="s">
        <v>111</v>
      </c>
      <c r="Z52" s="47" t="s">
        <v>111</v>
      </c>
      <c r="AA52" s="47" t="s">
        <v>111</v>
      </c>
      <c r="AB52" s="47" t="s">
        <v>111</v>
      </c>
      <c r="AC52" s="83" t="s">
        <v>111</v>
      </c>
      <c r="AD52" s="83" t="s">
        <v>166</v>
      </c>
      <c r="AE52" s="83" t="s">
        <v>138</v>
      </c>
      <c r="AF52" s="95" t="s">
        <v>110</v>
      </c>
      <c r="AG52" s="83" t="s">
        <v>168</v>
      </c>
      <c r="AH52" s="47" t="s">
        <v>168</v>
      </c>
      <c r="AI52" s="83" t="s">
        <v>110</v>
      </c>
      <c r="AJ52" s="83" t="s">
        <v>110</v>
      </c>
      <c r="AK52" s="83" t="s">
        <v>110</v>
      </c>
      <c r="AL52" s="47" t="s">
        <v>110</v>
      </c>
      <c r="AM52" s="47" t="s">
        <v>110</v>
      </c>
      <c r="AN52" s="47" t="s">
        <v>110</v>
      </c>
      <c r="AO52" s="83" t="s">
        <v>110</v>
      </c>
      <c r="AP52" s="47" t="s">
        <v>110</v>
      </c>
      <c r="AQ52" s="83" t="s">
        <v>126</v>
      </c>
      <c r="AR52" s="83" t="s">
        <v>110</v>
      </c>
      <c r="AS52" s="47" t="s">
        <v>110</v>
      </c>
      <c r="AT52" s="16" t="s">
        <v>129</v>
      </c>
      <c r="AU52" s="17" t="s">
        <v>111</v>
      </c>
      <c r="AV52" s="47" t="s">
        <v>129</v>
      </c>
      <c r="AW52" s="47" t="s">
        <v>129</v>
      </c>
      <c r="AX52" s="47" t="s">
        <v>129</v>
      </c>
      <c r="AY52" s="47" t="s">
        <v>120</v>
      </c>
      <c r="AZ52" s="83" t="s">
        <v>126</v>
      </c>
      <c r="BA52" s="83" t="s">
        <v>110</v>
      </c>
      <c r="BB52" s="83" t="s">
        <v>126</v>
      </c>
      <c r="BC52" s="83" t="s">
        <v>110</v>
      </c>
      <c r="BD52" s="95" t="s">
        <v>126</v>
      </c>
      <c r="BE52" s="83" t="s">
        <v>126</v>
      </c>
      <c r="BF52" s="83" t="s">
        <v>110</v>
      </c>
      <c r="BG52" s="47" t="s">
        <v>110</v>
      </c>
      <c r="BH52" s="83" t="s">
        <v>125</v>
      </c>
      <c r="BI52" s="47" t="s">
        <v>111</v>
      </c>
      <c r="BJ52" s="83" t="s">
        <v>110</v>
      </c>
      <c r="BK52" s="47" t="s">
        <v>110</v>
      </c>
      <c r="BL52" s="47" t="s">
        <v>126</v>
      </c>
      <c r="BM52" s="47" t="s">
        <v>110</v>
      </c>
      <c r="BN52" s="18" t="s">
        <v>111</v>
      </c>
      <c r="BO52" s="47" t="s">
        <v>111</v>
      </c>
      <c r="BP52" s="47" t="s">
        <v>120</v>
      </c>
      <c r="BQ52" s="47" t="s">
        <v>111</v>
      </c>
      <c r="BR52" s="47" t="s">
        <v>111</v>
      </c>
      <c r="BS52" s="83" t="s">
        <v>111</v>
      </c>
      <c r="BT52" s="47" t="s">
        <v>115</v>
      </c>
      <c r="BU52" s="47" t="s">
        <v>111</v>
      </c>
      <c r="BV52" s="47" t="s">
        <v>110</v>
      </c>
      <c r="BW52" s="47" t="s">
        <v>123</v>
      </c>
      <c r="BX52" s="47" t="s">
        <v>126</v>
      </c>
      <c r="BY52" s="83" t="s">
        <v>111</v>
      </c>
      <c r="BZ52" s="47" t="s">
        <v>115</v>
      </c>
      <c r="CA52" s="47" t="s">
        <v>110</v>
      </c>
      <c r="CB52" s="47" t="s">
        <v>129</v>
      </c>
      <c r="CC52" s="47" t="s">
        <v>110</v>
      </c>
      <c r="CD52" s="47" t="s">
        <v>110</v>
      </c>
      <c r="CE52" s="47" t="s">
        <v>116</v>
      </c>
      <c r="CF52" s="47" t="s">
        <v>110</v>
      </c>
      <c r="CG52" s="47" t="s">
        <v>110</v>
      </c>
      <c r="CH52" s="83" t="s">
        <v>110</v>
      </c>
      <c r="CI52" s="47" t="s">
        <v>111</v>
      </c>
      <c r="CJ52" s="47" t="s">
        <v>119</v>
      </c>
      <c r="CK52" s="47" t="s">
        <v>126</v>
      </c>
      <c r="CL52" s="47" t="s">
        <v>110</v>
      </c>
      <c r="CM52" s="47" t="s">
        <v>111</v>
      </c>
      <c r="CN52" s="55" t="s">
        <v>329</v>
      </c>
      <c r="CO52" t="s">
        <v>786</v>
      </c>
      <c r="CP52">
        <f>IFERROR(VLOOKUP(H52,'Lista Lideres'!$A$1:$B$350,2,0),0)</f>
        <v>0</v>
      </c>
    </row>
    <row r="53" spans="1:94" ht="13.8" hidden="1" x14ac:dyDescent="0.3">
      <c r="A53" s="52">
        <v>45561.293147847224</v>
      </c>
      <c r="B53" s="47" t="s">
        <v>181</v>
      </c>
      <c r="C53" s="53" t="s">
        <v>782</v>
      </c>
      <c r="D53" s="53" t="s">
        <v>93</v>
      </c>
      <c r="E53" s="53" t="s">
        <v>330</v>
      </c>
      <c r="F53" s="53" t="s">
        <v>96</v>
      </c>
      <c r="G53" s="53" t="s">
        <v>331</v>
      </c>
      <c r="H53" s="53" t="s">
        <v>331</v>
      </c>
      <c r="I53" s="53" t="s">
        <v>100</v>
      </c>
      <c r="J53" s="53" t="s">
        <v>173</v>
      </c>
      <c r="K53" s="53" t="s">
        <v>102</v>
      </c>
      <c r="L53" s="84" t="s">
        <v>150</v>
      </c>
      <c r="M53" s="8" t="s">
        <v>104</v>
      </c>
      <c r="N53" s="84" t="s">
        <v>105</v>
      </c>
      <c r="O53" s="84" t="s">
        <v>106</v>
      </c>
      <c r="P53" s="84" t="s">
        <v>107</v>
      </c>
      <c r="Q53" s="115" t="s">
        <v>163</v>
      </c>
      <c r="R53" s="53" t="s">
        <v>176</v>
      </c>
      <c r="S53" s="53" t="s">
        <v>110</v>
      </c>
      <c r="T53" s="53" t="s">
        <v>110</v>
      </c>
      <c r="U53" s="53" t="s">
        <v>115</v>
      </c>
      <c r="V53" s="84" t="s">
        <v>126</v>
      </c>
      <c r="W53" s="84" t="s">
        <v>113</v>
      </c>
      <c r="X53" s="115" t="s">
        <v>114</v>
      </c>
      <c r="Y53" s="53" t="s">
        <v>115</v>
      </c>
      <c r="Z53" s="53" t="s">
        <v>115</v>
      </c>
      <c r="AA53" s="53" t="s">
        <v>115</v>
      </c>
      <c r="AB53" s="53" t="s">
        <v>115</v>
      </c>
      <c r="AC53" s="84" t="s">
        <v>111</v>
      </c>
      <c r="AD53" s="84" t="s">
        <v>137</v>
      </c>
      <c r="AE53" s="84" t="s">
        <v>118</v>
      </c>
      <c r="AF53" s="96" t="s">
        <v>111</v>
      </c>
      <c r="AG53" s="84" t="s">
        <v>120</v>
      </c>
      <c r="AH53" s="53" t="s">
        <v>110</v>
      </c>
      <c r="AI53" s="84" t="s">
        <v>110</v>
      </c>
      <c r="AJ53" s="84" t="s">
        <v>110</v>
      </c>
      <c r="AK53" s="84" t="s">
        <v>110</v>
      </c>
      <c r="AL53" s="53" t="s">
        <v>110</v>
      </c>
      <c r="AM53" s="53" t="s">
        <v>110</v>
      </c>
      <c r="AN53" s="53" t="s">
        <v>110</v>
      </c>
      <c r="AO53" s="84" t="s">
        <v>110</v>
      </c>
      <c r="AP53" s="53" t="s">
        <v>110</v>
      </c>
      <c r="AQ53" s="84" t="s">
        <v>126</v>
      </c>
      <c r="AR53" s="84" t="s">
        <v>110</v>
      </c>
      <c r="AS53" s="53" t="s">
        <v>110</v>
      </c>
      <c r="AT53" s="9" t="s">
        <v>110</v>
      </c>
      <c r="AU53" s="10" t="s">
        <v>110</v>
      </c>
      <c r="AV53" s="53" t="s">
        <v>110</v>
      </c>
      <c r="AW53" s="53" t="s">
        <v>110</v>
      </c>
      <c r="AX53" s="53" t="s">
        <v>110</v>
      </c>
      <c r="AY53" s="53" t="s">
        <v>110</v>
      </c>
      <c r="AZ53" s="84" t="s">
        <v>126</v>
      </c>
      <c r="BA53" s="84" t="s">
        <v>110</v>
      </c>
      <c r="BB53" s="84" t="s">
        <v>126</v>
      </c>
      <c r="BC53" s="84" t="s">
        <v>110</v>
      </c>
      <c r="BD53" s="96" t="s">
        <v>126</v>
      </c>
      <c r="BE53" s="84" t="s">
        <v>126</v>
      </c>
      <c r="BF53" s="84" t="s">
        <v>110</v>
      </c>
      <c r="BG53" s="53" t="s">
        <v>110</v>
      </c>
      <c r="BH53" s="84" t="s">
        <v>126</v>
      </c>
      <c r="BI53" s="53" t="s">
        <v>110</v>
      </c>
      <c r="BJ53" s="84" t="s">
        <v>110</v>
      </c>
      <c r="BK53" s="53" t="s">
        <v>110</v>
      </c>
      <c r="BL53" s="53" t="s">
        <v>126</v>
      </c>
      <c r="BM53" s="53" t="s">
        <v>110</v>
      </c>
      <c r="BN53" s="11" t="s">
        <v>110</v>
      </c>
      <c r="BO53" s="53" t="s">
        <v>110</v>
      </c>
      <c r="BP53" s="53" t="s">
        <v>110</v>
      </c>
      <c r="BQ53" s="53" t="s">
        <v>110</v>
      </c>
      <c r="BR53" s="53" t="s">
        <v>110</v>
      </c>
      <c r="BS53" s="84" t="s">
        <v>110</v>
      </c>
      <c r="BT53" s="53" t="s">
        <v>110</v>
      </c>
      <c r="BU53" s="53" t="s">
        <v>110</v>
      </c>
      <c r="BV53" s="53" t="s">
        <v>110</v>
      </c>
      <c r="BW53" s="53" t="s">
        <v>110</v>
      </c>
      <c r="BX53" s="53" t="s">
        <v>126</v>
      </c>
      <c r="BY53" s="84" t="s">
        <v>110</v>
      </c>
      <c r="BZ53" s="53" t="s">
        <v>110</v>
      </c>
      <c r="CA53" s="53" t="s">
        <v>110</v>
      </c>
      <c r="CB53" s="53" t="s">
        <v>110</v>
      </c>
      <c r="CC53" s="53" t="s">
        <v>110</v>
      </c>
      <c r="CD53" s="53" t="s">
        <v>110</v>
      </c>
      <c r="CE53" s="53" t="s">
        <v>110</v>
      </c>
      <c r="CF53" s="53" t="s">
        <v>110</v>
      </c>
      <c r="CG53" s="53" t="s">
        <v>110</v>
      </c>
      <c r="CH53" s="84" t="s">
        <v>110</v>
      </c>
      <c r="CI53" s="53" t="s">
        <v>110</v>
      </c>
      <c r="CJ53" s="53" t="s">
        <v>110</v>
      </c>
      <c r="CK53" s="53" t="s">
        <v>126</v>
      </c>
      <c r="CL53" s="53" t="s">
        <v>110</v>
      </c>
      <c r="CM53" s="53" t="s">
        <v>110</v>
      </c>
      <c r="CN53" s="57" t="s">
        <v>332</v>
      </c>
      <c r="CO53" t="s">
        <v>786</v>
      </c>
      <c r="CP53">
        <f>IFERROR(VLOOKUP(H53,'Lista Lideres'!$A$1:$B$350,2,0),0)</f>
        <v>0</v>
      </c>
    </row>
    <row r="54" spans="1:94" ht="13.8" hidden="1" x14ac:dyDescent="0.3">
      <c r="A54" s="46">
        <v>45566.136130266204</v>
      </c>
      <c r="B54" s="47" t="s">
        <v>181</v>
      </c>
      <c r="C54" s="47" t="s">
        <v>782</v>
      </c>
      <c r="D54" s="47" t="s">
        <v>131</v>
      </c>
      <c r="E54" s="47" t="s">
        <v>304</v>
      </c>
      <c r="F54" s="47" t="s">
        <v>96</v>
      </c>
      <c r="G54" s="47" t="s">
        <v>208</v>
      </c>
      <c r="H54" s="47" t="s">
        <v>208</v>
      </c>
      <c r="I54" s="47" t="s">
        <v>100</v>
      </c>
      <c r="J54" s="47" t="s">
        <v>183</v>
      </c>
      <c r="K54" s="47" t="s">
        <v>191</v>
      </c>
      <c r="L54" s="83" t="s">
        <v>103</v>
      </c>
      <c r="M54" s="8" t="s">
        <v>104</v>
      </c>
      <c r="N54" s="83" t="s">
        <v>105</v>
      </c>
      <c r="O54" s="83" t="s">
        <v>106</v>
      </c>
      <c r="P54" s="83" t="s">
        <v>107</v>
      </c>
      <c r="Q54" s="114" t="s">
        <v>163</v>
      </c>
      <c r="R54" s="47" t="s">
        <v>109</v>
      </c>
      <c r="S54" s="47" t="s">
        <v>110</v>
      </c>
      <c r="T54" s="47" t="s">
        <v>110</v>
      </c>
      <c r="U54" s="47" t="s">
        <v>110</v>
      </c>
      <c r="V54" s="83" t="s">
        <v>112</v>
      </c>
      <c r="W54" s="83" t="s">
        <v>113</v>
      </c>
      <c r="X54" s="114" t="s">
        <v>114</v>
      </c>
      <c r="Y54" s="47" t="s">
        <v>110</v>
      </c>
      <c r="Z54" s="47" t="s">
        <v>115</v>
      </c>
      <c r="AA54" s="47" t="s">
        <v>115</v>
      </c>
      <c r="AB54" s="47" t="s">
        <v>115</v>
      </c>
      <c r="AC54" s="83" t="s">
        <v>110</v>
      </c>
      <c r="AD54" s="83" t="s">
        <v>166</v>
      </c>
      <c r="AE54" s="83" t="s">
        <v>167</v>
      </c>
      <c r="AF54" s="95" t="s">
        <v>110</v>
      </c>
      <c r="AG54" s="83" t="s">
        <v>111</v>
      </c>
      <c r="AH54" s="47" t="s">
        <v>110</v>
      </c>
      <c r="AI54" s="83" t="s">
        <v>121</v>
      </c>
      <c r="AJ54" s="83" t="s">
        <v>121</v>
      </c>
      <c r="AK54" s="83" t="s">
        <v>110</v>
      </c>
      <c r="AL54" s="47" t="s">
        <v>110</v>
      </c>
      <c r="AM54" s="47" t="s">
        <v>110</v>
      </c>
      <c r="AN54" s="47" t="s">
        <v>110</v>
      </c>
      <c r="AO54" s="83" t="s">
        <v>110</v>
      </c>
      <c r="AP54" s="47" t="s">
        <v>128</v>
      </c>
      <c r="AQ54" s="83" t="s">
        <v>126</v>
      </c>
      <c r="AR54" s="83" t="s">
        <v>110</v>
      </c>
      <c r="AS54" s="47" t="s">
        <v>110</v>
      </c>
      <c r="AT54" s="16" t="s">
        <v>110</v>
      </c>
      <c r="AU54" s="17" t="s">
        <v>110</v>
      </c>
      <c r="AV54" s="47" t="s">
        <v>110</v>
      </c>
      <c r="AW54" s="47" t="s">
        <v>110</v>
      </c>
      <c r="AX54" s="47" t="s">
        <v>110</v>
      </c>
      <c r="AY54" s="47" t="s">
        <v>110</v>
      </c>
      <c r="AZ54" s="83" t="s">
        <v>126</v>
      </c>
      <c r="BA54" s="83" t="s">
        <v>110</v>
      </c>
      <c r="BB54" s="83" t="s">
        <v>126</v>
      </c>
      <c r="BC54" s="83" t="s">
        <v>110</v>
      </c>
      <c r="BD54" s="95" t="s">
        <v>126</v>
      </c>
      <c r="BE54" s="83" t="s">
        <v>142</v>
      </c>
      <c r="BF54" s="83" t="s">
        <v>121</v>
      </c>
      <c r="BG54" s="47" t="s">
        <v>110</v>
      </c>
      <c r="BH54" s="83" t="s">
        <v>142</v>
      </c>
      <c r="BI54" s="47" t="s">
        <v>119</v>
      </c>
      <c r="BJ54" s="83" t="s">
        <v>119</v>
      </c>
      <c r="BK54" s="47" t="s">
        <v>110</v>
      </c>
      <c r="BL54" s="47" t="s">
        <v>125</v>
      </c>
      <c r="BM54" s="47" t="s">
        <v>110</v>
      </c>
      <c r="BN54" s="18" t="s">
        <v>110</v>
      </c>
      <c r="BO54" s="47" t="s">
        <v>111</v>
      </c>
      <c r="BP54" s="47" t="s">
        <v>120</v>
      </c>
      <c r="BQ54" s="47" t="s">
        <v>111</v>
      </c>
      <c r="BR54" s="47" t="s">
        <v>110</v>
      </c>
      <c r="BS54" s="83" t="s">
        <v>111</v>
      </c>
      <c r="BT54" s="47" t="s">
        <v>115</v>
      </c>
      <c r="BU54" s="47" t="s">
        <v>110</v>
      </c>
      <c r="BV54" s="47" t="s">
        <v>110</v>
      </c>
      <c r="BW54" s="47" t="s">
        <v>123</v>
      </c>
      <c r="BX54" s="47" t="s">
        <v>126</v>
      </c>
      <c r="BY54" s="83" t="s">
        <v>111</v>
      </c>
      <c r="BZ54" s="47" t="s">
        <v>115</v>
      </c>
      <c r="CA54" s="47" t="s">
        <v>110</v>
      </c>
      <c r="CB54" s="47" t="s">
        <v>110</v>
      </c>
      <c r="CC54" s="47" t="s">
        <v>110</v>
      </c>
      <c r="CD54" s="47" t="s">
        <v>110</v>
      </c>
      <c r="CE54" s="47" t="s">
        <v>110</v>
      </c>
      <c r="CF54" s="47" t="s">
        <v>110</v>
      </c>
      <c r="CG54" s="47" t="s">
        <v>110</v>
      </c>
      <c r="CH54" s="83" t="s">
        <v>110</v>
      </c>
      <c r="CI54" s="47" t="s">
        <v>111</v>
      </c>
      <c r="CJ54" s="47" t="s">
        <v>129</v>
      </c>
      <c r="CK54" s="47" t="s">
        <v>126</v>
      </c>
      <c r="CL54" s="47" t="s">
        <v>119</v>
      </c>
      <c r="CM54" s="47" t="s">
        <v>111</v>
      </c>
      <c r="CN54" s="55" t="s">
        <v>333</v>
      </c>
      <c r="CO54" t="s">
        <v>786</v>
      </c>
      <c r="CP54">
        <f>IFERROR(VLOOKUP(H54,'Lista Lideres'!$A$1:$B$350,2,0),0)</f>
        <v>0</v>
      </c>
    </row>
    <row r="55" spans="1:94" ht="13.8" hidden="1" x14ac:dyDescent="0.3">
      <c r="A55" s="52">
        <v>45561.748981018522</v>
      </c>
      <c r="B55" s="47" t="s">
        <v>181</v>
      </c>
      <c r="C55" s="53" t="s">
        <v>782</v>
      </c>
      <c r="D55" s="53" t="s">
        <v>93</v>
      </c>
      <c r="E55" s="53" t="s">
        <v>199</v>
      </c>
      <c r="F55" s="53" t="s">
        <v>96</v>
      </c>
      <c r="G55" s="53" t="s">
        <v>280</v>
      </c>
      <c r="H55" s="53" t="s">
        <v>334</v>
      </c>
      <c r="I55" s="53" t="s">
        <v>100</v>
      </c>
      <c r="J55" s="53" t="s">
        <v>196</v>
      </c>
      <c r="K55" s="53" t="s">
        <v>102</v>
      </c>
      <c r="L55" s="84" t="s">
        <v>135</v>
      </c>
      <c r="M55" s="8" t="s">
        <v>104</v>
      </c>
      <c r="N55" s="84" t="s">
        <v>105</v>
      </c>
      <c r="O55" s="84" t="s">
        <v>106</v>
      </c>
      <c r="P55" s="84" t="s">
        <v>107</v>
      </c>
      <c r="Q55" s="115" t="s">
        <v>108</v>
      </c>
      <c r="R55" s="53" t="s">
        <v>164</v>
      </c>
      <c r="S55" s="53" t="s">
        <v>110</v>
      </c>
      <c r="T55" s="53" t="s">
        <v>119</v>
      </c>
      <c r="U55" s="53" t="s">
        <v>119</v>
      </c>
      <c r="V55" s="84" t="s">
        <v>112</v>
      </c>
      <c r="W55" s="84" t="s">
        <v>113</v>
      </c>
      <c r="X55" s="115" t="s">
        <v>114</v>
      </c>
      <c r="Y55" s="53" t="s">
        <v>111</v>
      </c>
      <c r="Z55" s="53" t="s">
        <v>110</v>
      </c>
      <c r="AA55" s="53" t="s">
        <v>168</v>
      </c>
      <c r="AB55" s="53" t="s">
        <v>115</v>
      </c>
      <c r="AC55" s="84" t="s">
        <v>116</v>
      </c>
      <c r="AD55" s="84" t="s">
        <v>137</v>
      </c>
      <c r="AE55" s="84" t="s">
        <v>118</v>
      </c>
      <c r="AF55" s="96" t="s">
        <v>111</v>
      </c>
      <c r="AG55" s="84" t="s">
        <v>111</v>
      </c>
      <c r="AH55" s="53" t="s">
        <v>110</v>
      </c>
      <c r="AI55" s="84" t="s">
        <v>110</v>
      </c>
      <c r="AJ55" s="84" t="s">
        <v>121</v>
      </c>
      <c r="AK55" s="84" t="s">
        <v>128</v>
      </c>
      <c r="AL55" s="53" t="s">
        <v>122</v>
      </c>
      <c r="AM55" s="53" t="s">
        <v>128</v>
      </c>
      <c r="AN55" s="53" t="s">
        <v>110</v>
      </c>
      <c r="AO55" s="84" t="s">
        <v>110</v>
      </c>
      <c r="AP55" s="53" t="s">
        <v>123</v>
      </c>
      <c r="AQ55" s="84" t="s">
        <v>126</v>
      </c>
      <c r="AR55" s="84" t="s">
        <v>119</v>
      </c>
      <c r="AS55" s="53" t="s">
        <v>111</v>
      </c>
      <c r="AT55" s="9" t="s">
        <v>119</v>
      </c>
      <c r="AU55" s="10" t="s">
        <v>111</v>
      </c>
      <c r="AV55" s="53" t="s">
        <v>110</v>
      </c>
      <c r="AW55" s="53" t="s">
        <v>110</v>
      </c>
      <c r="AX55" s="53" t="s">
        <v>119</v>
      </c>
      <c r="AY55" s="53" t="s">
        <v>111</v>
      </c>
      <c r="AZ55" s="84" t="s">
        <v>142</v>
      </c>
      <c r="BA55" s="84" t="s">
        <v>120</v>
      </c>
      <c r="BB55" s="84" t="s">
        <v>125</v>
      </c>
      <c r="BC55" s="84" t="s">
        <v>110</v>
      </c>
      <c r="BD55" s="96" t="s">
        <v>124</v>
      </c>
      <c r="BE55" s="84" t="s">
        <v>125</v>
      </c>
      <c r="BF55" s="84" t="s">
        <v>110</v>
      </c>
      <c r="BG55" s="53" t="s">
        <v>110</v>
      </c>
      <c r="BH55" s="84" t="s">
        <v>125</v>
      </c>
      <c r="BI55" s="53" t="s">
        <v>111</v>
      </c>
      <c r="BJ55" s="84" t="s">
        <v>111</v>
      </c>
      <c r="BK55" s="53" t="s">
        <v>122</v>
      </c>
      <c r="BL55" s="53" t="s">
        <v>126</v>
      </c>
      <c r="BM55" s="53" t="s">
        <v>110</v>
      </c>
      <c r="BN55" s="11" t="s">
        <v>111</v>
      </c>
      <c r="BO55" s="53" t="s">
        <v>111</v>
      </c>
      <c r="BP55" s="53" t="s">
        <v>120</v>
      </c>
      <c r="BQ55" s="53" t="s">
        <v>115</v>
      </c>
      <c r="BR55" s="53" t="s">
        <v>110</v>
      </c>
      <c r="BS55" s="84" t="s">
        <v>111</v>
      </c>
      <c r="BT55" s="53" t="s">
        <v>111</v>
      </c>
      <c r="BU55" s="53" t="s">
        <v>110</v>
      </c>
      <c r="BV55" s="53" t="s">
        <v>110</v>
      </c>
      <c r="BW55" s="53" t="s">
        <v>128</v>
      </c>
      <c r="BX55" s="53" t="s">
        <v>126</v>
      </c>
      <c r="BY55" s="84" t="s">
        <v>111</v>
      </c>
      <c r="BZ55" s="53" t="s">
        <v>115</v>
      </c>
      <c r="CA55" s="53" t="s">
        <v>110</v>
      </c>
      <c r="CB55" s="53" t="s">
        <v>119</v>
      </c>
      <c r="CC55" s="53" t="s">
        <v>110</v>
      </c>
      <c r="CD55" s="53" t="s">
        <v>119</v>
      </c>
      <c r="CE55" s="53" t="s">
        <v>110</v>
      </c>
      <c r="CF55" s="53" t="s">
        <v>110</v>
      </c>
      <c r="CG55" s="53" t="s">
        <v>119</v>
      </c>
      <c r="CH55" s="84" t="s">
        <v>110</v>
      </c>
      <c r="CI55" s="53" t="s">
        <v>111</v>
      </c>
      <c r="CJ55" s="53" t="s">
        <v>129</v>
      </c>
      <c r="CK55" s="53" t="s">
        <v>125</v>
      </c>
      <c r="CL55" s="53" t="s">
        <v>110</v>
      </c>
      <c r="CM55" s="53" t="s">
        <v>111</v>
      </c>
      <c r="CN55" s="57" t="s">
        <v>335</v>
      </c>
      <c r="CO55" t="s">
        <v>786</v>
      </c>
      <c r="CP55">
        <f>IFERROR(VLOOKUP(H55,'Lista Lideres'!$A$1:$B$350,2,0),0)</f>
        <v>0</v>
      </c>
    </row>
    <row r="56" spans="1:94" ht="13.8" hidden="1" x14ac:dyDescent="0.3">
      <c r="A56" s="46">
        <v>45562.100749050922</v>
      </c>
      <c r="B56" s="47" t="s">
        <v>181</v>
      </c>
      <c r="C56" s="47" t="s">
        <v>782</v>
      </c>
      <c r="D56" s="47" t="s">
        <v>131</v>
      </c>
      <c r="E56" s="47" t="s">
        <v>336</v>
      </c>
      <c r="F56" s="47" t="s">
        <v>97</v>
      </c>
      <c r="G56" s="47" t="s">
        <v>337</v>
      </c>
      <c r="H56" s="47" t="s">
        <v>338</v>
      </c>
      <c r="I56" s="47" t="s">
        <v>161</v>
      </c>
      <c r="J56" s="47" t="s">
        <v>101</v>
      </c>
      <c r="K56" s="47" t="s">
        <v>102</v>
      </c>
      <c r="L56" s="83" t="s">
        <v>103</v>
      </c>
      <c r="M56" s="8" t="s">
        <v>104</v>
      </c>
      <c r="N56" s="83" t="s">
        <v>105</v>
      </c>
      <c r="O56" s="83" t="s">
        <v>106</v>
      </c>
      <c r="P56" s="83" t="s">
        <v>107</v>
      </c>
      <c r="Q56" s="114" t="s">
        <v>108</v>
      </c>
      <c r="R56" s="47" t="s">
        <v>109</v>
      </c>
      <c r="S56" s="47" t="s">
        <v>129</v>
      </c>
      <c r="T56" s="47" t="s">
        <v>129</v>
      </c>
      <c r="U56" s="47" t="s">
        <v>129</v>
      </c>
      <c r="V56" s="83" t="s">
        <v>136</v>
      </c>
      <c r="W56" s="83" t="s">
        <v>113</v>
      </c>
      <c r="X56" s="114" t="s">
        <v>153</v>
      </c>
      <c r="Y56" s="47" t="s">
        <v>115</v>
      </c>
      <c r="Z56" s="47" t="s">
        <v>111</v>
      </c>
      <c r="AA56" s="47" t="s">
        <v>111</v>
      </c>
      <c r="AB56" s="47" t="s">
        <v>111</v>
      </c>
      <c r="AC56" s="83" t="s">
        <v>110</v>
      </c>
      <c r="AD56" s="83" t="s">
        <v>137</v>
      </c>
      <c r="AE56" s="83" t="s">
        <v>118</v>
      </c>
      <c r="AF56" s="95" t="s">
        <v>119</v>
      </c>
      <c r="AG56" s="83" t="s">
        <v>119</v>
      </c>
      <c r="AH56" s="47" t="s">
        <v>122</v>
      </c>
      <c r="AI56" s="83" t="s">
        <v>121</v>
      </c>
      <c r="AJ56" s="83" t="s">
        <v>122</v>
      </c>
      <c r="AK56" s="83" t="s">
        <v>122</v>
      </c>
      <c r="AL56" s="47" t="s">
        <v>177</v>
      </c>
      <c r="AM56" s="47" t="s">
        <v>123</v>
      </c>
      <c r="AN56" s="47" t="s">
        <v>128</v>
      </c>
      <c r="AO56" s="83" t="s">
        <v>128</v>
      </c>
      <c r="AP56" s="47" t="s">
        <v>110</v>
      </c>
      <c r="AQ56" s="83" t="s">
        <v>124</v>
      </c>
      <c r="AR56" s="83" t="s">
        <v>111</v>
      </c>
      <c r="AS56" s="47" t="s">
        <v>111</v>
      </c>
      <c r="AT56" s="16" t="s">
        <v>129</v>
      </c>
      <c r="AU56" s="17" t="s">
        <v>110</v>
      </c>
      <c r="AV56" s="47" t="s">
        <v>129</v>
      </c>
      <c r="AW56" s="47" t="s">
        <v>129</v>
      </c>
      <c r="AX56" s="47" t="s">
        <v>129</v>
      </c>
      <c r="AY56" s="47" t="s">
        <v>111</v>
      </c>
      <c r="AZ56" s="83" t="s">
        <v>126</v>
      </c>
      <c r="BA56" s="83" t="s">
        <v>111</v>
      </c>
      <c r="BB56" s="83" t="s">
        <v>126</v>
      </c>
      <c r="BC56" s="83" t="s">
        <v>111</v>
      </c>
      <c r="BD56" s="95" t="s">
        <v>142</v>
      </c>
      <c r="BE56" s="83" t="s">
        <v>126</v>
      </c>
      <c r="BF56" s="83" t="s">
        <v>110</v>
      </c>
      <c r="BG56" s="47" t="s">
        <v>110</v>
      </c>
      <c r="BH56" s="83" t="s">
        <v>142</v>
      </c>
      <c r="BI56" s="47" t="s">
        <v>120</v>
      </c>
      <c r="BJ56" s="83" t="s">
        <v>111</v>
      </c>
      <c r="BK56" s="47" t="s">
        <v>121</v>
      </c>
      <c r="BL56" s="47" t="s">
        <v>142</v>
      </c>
      <c r="BM56" s="47" t="s">
        <v>127</v>
      </c>
      <c r="BN56" s="18" t="s">
        <v>111</v>
      </c>
      <c r="BO56" s="47" t="s">
        <v>111</v>
      </c>
      <c r="BP56" s="47" t="s">
        <v>111</v>
      </c>
      <c r="BQ56" s="47" t="s">
        <v>111</v>
      </c>
      <c r="BR56" s="47" t="s">
        <v>111</v>
      </c>
      <c r="BS56" s="83" t="s">
        <v>111</v>
      </c>
      <c r="BT56" s="47" t="s">
        <v>115</v>
      </c>
      <c r="BU56" s="47" t="s">
        <v>111</v>
      </c>
      <c r="BV56" s="47" t="s">
        <v>110</v>
      </c>
      <c r="BW56" s="47" t="s">
        <v>110</v>
      </c>
      <c r="BX56" s="47" t="s">
        <v>124</v>
      </c>
      <c r="BY56" s="83" t="s">
        <v>111</v>
      </c>
      <c r="BZ56" s="47" t="s">
        <v>111</v>
      </c>
      <c r="CA56" s="47" t="s">
        <v>111</v>
      </c>
      <c r="CB56" s="47" t="s">
        <v>119</v>
      </c>
      <c r="CC56" s="47" t="s">
        <v>119</v>
      </c>
      <c r="CD56" s="47" t="s">
        <v>129</v>
      </c>
      <c r="CE56" s="47" t="s">
        <v>127</v>
      </c>
      <c r="CF56" s="47" t="s">
        <v>111</v>
      </c>
      <c r="CG56" s="47" t="s">
        <v>110</v>
      </c>
      <c r="CH56" s="83" t="s">
        <v>110</v>
      </c>
      <c r="CI56" s="47" t="s">
        <v>111</v>
      </c>
      <c r="CJ56" s="47" t="s">
        <v>129</v>
      </c>
      <c r="CK56" s="47" t="s">
        <v>126</v>
      </c>
      <c r="CL56" s="47" t="s">
        <v>111</v>
      </c>
      <c r="CM56" s="47" t="s">
        <v>111</v>
      </c>
      <c r="CN56" s="55" t="s">
        <v>339</v>
      </c>
      <c r="CO56" t="s">
        <v>785</v>
      </c>
      <c r="CP56">
        <f>IFERROR(VLOOKUP(H56,'Lista Lideres'!$A$1:$B$350,2,0),0)</f>
        <v>0</v>
      </c>
    </row>
    <row r="57" spans="1:94" ht="14.4" hidden="1" x14ac:dyDescent="0.3">
      <c r="A57" s="52">
        <v>45565.872406435185</v>
      </c>
      <c r="B57" s="47" t="s">
        <v>181</v>
      </c>
      <c r="C57" s="53" t="s">
        <v>782</v>
      </c>
      <c r="D57" s="53" t="s">
        <v>93</v>
      </c>
      <c r="E57" s="53" t="s">
        <v>236</v>
      </c>
      <c r="F57" s="53" t="s">
        <v>96</v>
      </c>
      <c r="G57" s="53" t="s">
        <v>340</v>
      </c>
      <c r="H57" s="53" t="s">
        <v>341</v>
      </c>
      <c r="I57" s="53" t="s">
        <v>190</v>
      </c>
      <c r="J57" s="53" t="s">
        <v>183</v>
      </c>
      <c r="K57" s="53" t="s">
        <v>102</v>
      </c>
      <c r="L57" s="84" t="s">
        <v>103</v>
      </c>
      <c r="M57" s="8" t="s">
        <v>104</v>
      </c>
      <c r="N57" s="84" t="s">
        <v>105</v>
      </c>
      <c r="O57" s="84" t="s">
        <v>106</v>
      </c>
      <c r="P57" s="84" t="s">
        <v>107</v>
      </c>
      <c r="Q57" s="115" t="s">
        <v>163</v>
      </c>
      <c r="R57" s="53" t="s">
        <v>164</v>
      </c>
      <c r="S57" s="53" t="s">
        <v>110</v>
      </c>
      <c r="T57" s="53" t="s">
        <v>110</v>
      </c>
      <c r="U57" s="53" t="s">
        <v>111</v>
      </c>
      <c r="V57" s="84" t="s">
        <v>112</v>
      </c>
      <c r="W57" s="84" t="s">
        <v>113</v>
      </c>
      <c r="X57" s="115" t="s">
        <v>114</v>
      </c>
      <c r="Y57" s="53" t="s">
        <v>111</v>
      </c>
      <c r="Z57" s="53" t="s">
        <v>111</v>
      </c>
      <c r="AA57" s="53" t="s">
        <v>110</v>
      </c>
      <c r="AB57" s="53" t="s">
        <v>111</v>
      </c>
      <c r="AC57" s="84" t="s">
        <v>110</v>
      </c>
      <c r="AD57" s="84" t="s">
        <v>166</v>
      </c>
      <c r="AE57" s="84" t="s">
        <v>118</v>
      </c>
      <c r="AF57" s="96" t="s">
        <v>110</v>
      </c>
      <c r="AG57" s="84" t="s">
        <v>111</v>
      </c>
      <c r="AH57" s="53" t="s">
        <v>110</v>
      </c>
      <c r="AI57" s="84" t="s">
        <v>128</v>
      </c>
      <c r="AJ57" s="84" t="s">
        <v>110</v>
      </c>
      <c r="AK57" s="84" t="s">
        <v>110</v>
      </c>
      <c r="AL57" s="53" t="s">
        <v>110</v>
      </c>
      <c r="AM57" s="53" t="s">
        <v>123</v>
      </c>
      <c r="AN57" s="53" t="s">
        <v>110</v>
      </c>
      <c r="AO57" s="84" t="s">
        <v>110</v>
      </c>
      <c r="AP57" s="53" t="s">
        <v>110</v>
      </c>
      <c r="AQ57" s="84" t="s">
        <v>126</v>
      </c>
      <c r="AR57" s="84" t="s">
        <v>110</v>
      </c>
      <c r="AS57" s="53" t="s">
        <v>110</v>
      </c>
      <c r="AT57" s="9" t="s">
        <v>111</v>
      </c>
      <c r="AU57" s="10" t="s">
        <v>110</v>
      </c>
      <c r="AV57" s="53" t="s">
        <v>110</v>
      </c>
      <c r="AW57" s="53" t="s">
        <v>110</v>
      </c>
      <c r="AX57" s="53" t="s">
        <v>111</v>
      </c>
      <c r="AY57" s="53" t="s">
        <v>120</v>
      </c>
      <c r="AZ57" s="84" t="s">
        <v>126</v>
      </c>
      <c r="BA57" s="84" t="s">
        <v>110</v>
      </c>
      <c r="BB57" s="84" t="s">
        <v>126</v>
      </c>
      <c r="BC57" s="84" t="s">
        <v>110</v>
      </c>
      <c r="BD57" s="96" t="s">
        <v>126</v>
      </c>
      <c r="BE57" s="84" t="s">
        <v>126</v>
      </c>
      <c r="BF57" s="84" t="s">
        <v>122</v>
      </c>
      <c r="BG57" s="53" t="s">
        <v>119</v>
      </c>
      <c r="BH57" s="84" t="s">
        <v>126</v>
      </c>
      <c r="BI57" s="53" t="s">
        <v>120</v>
      </c>
      <c r="BJ57" s="84" t="s">
        <v>110</v>
      </c>
      <c r="BK57" s="53" t="s">
        <v>110</v>
      </c>
      <c r="BL57" s="53" t="s">
        <v>126</v>
      </c>
      <c r="BM57" s="53" t="s">
        <v>110</v>
      </c>
      <c r="BN57" s="11" t="s">
        <v>111</v>
      </c>
      <c r="BO57" s="53" t="s">
        <v>111</v>
      </c>
      <c r="BP57" s="53" t="s">
        <v>111</v>
      </c>
      <c r="BQ57" s="53" t="s">
        <v>110</v>
      </c>
      <c r="BR57" s="53" t="s">
        <v>111</v>
      </c>
      <c r="BS57" s="84" t="s">
        <v>111</v>
      </c>
      <c r="BT57" s="53" t="s">
        <v>115</v>
      </c>
      <c r="BU57" s="53" t="s">
        <v>111</v>
      </c>
      <c r="BV57" s="53" t="s">
        <v>110</v>
      </c>
      <c r="BW57" s="53" t="s">
        <v>110</v>
      </c>
      <c r="BX57" s="53" t="s">
        <v>126</v>
      </c>
      <c r="BY57" s="84" t="s">
        <v>110</v>
      </c>
      <c r="BZ57" s="53" t="s">
        <v>111</v>
      </c>
      <c r="CA57" s="53" t="s">
        <v>111</v>
      </c>
      <c r="CB57" s="53" t="s">
        <v>110</v>
      </c>
      <c r="CC57" s="53" t="s">
        <v>110</v>
      </c>
      <c r="CD57" s="53" t="s">
        <v>110</v>
      </c>
      <c r="CE57" s="53" t="s">
        <v>110</v>
      </c>
      <c r="CF57" s="53" t="s">
        <v>110</v>
      </c>
      <c r="CG57" s="53" t="s">
        <v>110</v>
      </c>
      <c r="CH57" s="84" t="s">
        <v>110</v>
      </c>
      <c r="CI57" s="53" t="s">
        <v>111</v>
      </c>
      <c r="CJ57" s="53" t="s">
        <v>111</v>
      </c>
      <c r="CK57" s="53" t="s">
        <v>126</v>
      </c>
      <c r="CL57" s="53" t="s">
        <v>111</v>
      </c>
      <c r="CM57" s="53" t="s">
        <v>111</v>
      </c>
      <c r="CN57" s="49"/>
      <c r="CO57" t="s">
        <v>785</v>
      </c>
      <c r="CP57">
        <f>IFERROR(VLOOKUP(H57,'Lista Lideres'!$A$1:$B$350,2,0),0)</f>
        <v>0</v>
      </c>
    </row>
    <row r="58" spans="1:94" ht="13.8" hidden="1" x14ac:dyDescent="0.3">
      <c r="A58" s="46">
        <v>45561.898242719908</v>
      </c>
      <c r="B58" s="47" t="s">
        <v>181</v>
      </c>
      <c r="C58" s="47" t="s">
        <v>782</v>
      </c>
      <c r="D58" s="47" t="s">
        <v>93</v>
      </c>
      <c r="E58" s="47" t="s">
        <v>342</v>
      </c>
      <c r="F58" s="47" t="s">
        <v>96</v>
      </c>
      <c r="G58" s="47" t="s">
        <v>159</v>
      </c>
      <c r="H58" s="47" t="s">
        <v>343</v>
      </c>
      <c r="I58" s="47" t="s">
        <v>100</v>
      </c>
      <c r="J58" s="47" t="s">
        <v>101</v>
      </c>
      <c r="K58" s="47" t="s">
        <v>102</v>
      </c>
      <c r="L58" s="83" t="s">
        <v>103</v>
      </c>
      <c r="M58" s="8" t="s">
        <v>104</v>
      </c>
      <c r="N58" s="83" t="s">
        <v>105</v>
      </c>
      <c r="O58" s="83" t="s">
        <v>106</v>
      </c>
      <c r="P58" s="83" t="s">
        <v>107</v>
      </c>
      <c r="Q58" s="114" t="s">
        <v>163</v>
      </c>
      <c r="R58" s="47" t="s">
        <v>109</v>
      </c>
      <c r="S58" s="47" t="s">
        <v>111</v>
      </c>
      <c r="T58" s="47" t="s">
        <v>110</v>
      </c>
      <c r="U58" s="47" t="s">
        <v>110</v>
      </c>
      <c r="V58" s="83" t="s">
        <v>136</v>
      </c>
      <c r="W58" s="83" t="s">
        <v>113</v>
      </c>
      <c r="X58" s="114" t="s">
        <v>235</v>
      </c>
      <c r="Y58" s="47" t="s">
        <v>111</v>
      </c>
      <c r="Z58" s="47" t="s">
        <v>115</v>
      </c>
      <c r="AA58" s="47" t="s">
        <v>111</v>
      </c>
      <c r="AB58" s="47" t="s">
        <v>119</v>
      </c>
      <c r="AC58" s="83" t="s">
        <v>116</v>
      </c>
      <c r="AD58" s="83" t="s">
        <v>137</v>
      </c>
      <c r="AE58" s="83" t="s">
        <v>118</v>
      </c>
      <c r="AF58" s="95" t="s">
        <v>111</v>
      </c>
      <c r="AG58" s="83" t="s">
        <v>119</v>
      </c>
      <c r="AH58" s="47" t="s">
        <v>122</v>
      </c>
      <c r="AI58" s="83" t="s">
        <v>128</v>
      </c>
      <c r="AJ58" s="83" t="s">
        <v>110</v>
      </c>
      <c r="AK58" s="83" t="s">
        <v>121</v>
      </c>
      <c r="AL58" s="47" t="s">
        <v>122</v>
      </c>
      <c r="AM58" s="47" t="s">
        <v>123</v>
      </c>
      <c r="AN58" s="47" t="s">
        <v>110</v>
      </c>
      <c r="AO58" s="83" t="s">
        <v>110</v>
      </c>
      <c r="AP58" s="47" t="s">
        <v>110</v>
      </c>
      <c r="AQ58" s="83" t="s">
        <v>203</v>
      </c>
      <c r="AR58" s="83" t="s">
        <v>111</v>
      </c>
      <c r="AS58" s="47" t="s">
        <v>115</v>
      </c>
      <c r="AT58" s="16" t="s">
        <v>119</v>
      </c>
      <c r="AU58" s="17" t="s">
        <v>110</v>
      </c>
      <c r="AV58" s="47" t="s">
        <v>129</v>
      </c>
      <c r="AW58" s="47" t="s">
        <v>119</v>
      </c>
      <c r="AX58" s="47" t="s">
        <v>110</v>
      </c>
      <c r="AY58" s="47" t="s">
        <v>120</v>
      </c>
      <c r="AZ58" s="83" t="s">
        <v>126</v>
      </c>
      <c r="BA58" s="83" t="s">
        <v>120</v>
      </c>
      <c r="BB58" s="83" t="s">
        <v>126</v>
      </c>
      <c r="BC58" s="83" t="s">
        <v>120</v>
      </c>
      <c r="BD58" s="95" t="s">
        <v>124</v>
      </c>
      <c r="BE58" s="83" t="s">
        <v>142</v>
      </c>
      <c r="BF58" s="83" t="s">
        <v>110</v>
      </c>
      <c r="BG58" s="47" t="s">
        <v>111</v>
      </c>
      <c r="BH58" s="83" t="s">
        <v>142</v>
      </c>
      <c r="BI58" s="47" t="s">
        <v>111</v>
      </c>
      <c r="BJ58" s="83" t="s">
        <v>110</v>
      </c>
      <c r="BK58" s="47" t="s">
        <v>168</v>
      </c>
      <c r="BL58" s="47" t="s">
        <v>126</v>
      </c>
      <c r="BM58" s="47" t="s">
        <v>110</v>
      </c>
      <c r="BN58" s="18" t="s">
        <v>115</v>
      </c>
      <c r="BO58" s="47" t="s">
        <v>119</v>
      </c>
      <c r="BP58" s="47" t="s">
        <v>120</v>
      </c>
      <c r="BQ58" s="47" t="s">
        <v>115</v>
      </c>
      <c r="BR58" s="47" t="s">
        <v>115</v>
      </c>
      <c r="BS58" s="83" t="s">
        <v>110</v>
      </c>
      <c r="BT58" s="47" t="s">
        <v>115</v>
      </c>
      <c r="BU58" s="47" t="s">
        <v>115</v>
      </c>
      <c r="BV58" s="47" t="s">
        <v>110</v>
      </c>
      <c r="BW58" s="47" t="s">
        <v>110</v>
      </c>
      <c r="BX58" s="47" t="s">
        <v>126</v>
      </c>
      <c r="BY58" s="83" t="s">
        <v>115</v>
      </c>
      <c r="BZ58" s="47" t="s">
        <v>115</v>
      </c>
      <c r="CA58" s="47" t="s">
        <v>111</v>
      </c>
      <c r="CB58" s="47" t="s">
        <v>119</v>
      </c>
      <c r="CC58" s="47" t="s">
        <v>110</v>
      </c>
      <c r="CD58" s="47" t="s">
        <v>110</v>
      </c>
      <c r="CE58" s="47" t="s">
        <v>116</v>
      </c>
      <c r="CF58" s="47" t="s">
        <v>110</v>
      </c>
      <c r="CG58" s="47" t="s">
        <v>119</v>
      </c>
      <c r="CH58" s="83" t="s">
        <v>110</v>
      </c>
      <c r="CI58" s="47" t="s">
        <v>115</v>
      </c>
      <c r="CJ58" s="47" t="s">
        <v>119</v>
      </c>
      <c r="CK58" s="47" t="s">
        <v>126</v>
      </c>
      <c r="CL58" s="47" t="s">
        <v>115</v>
      </c>
      <c r="CM58" s="47" t="s">
        <v>120</v>
      </c>
      <c r="CN58" s="50" t="s">
        <v>344</v>
      </c>
      <c r="CO58" t="s">
        <v>786</v>
      </c>
      <c r="CP58">
        <f>IFERROR(VLOOKUP(H58,'Lista Lideres'!$A$1:$B$350,2,0),0)</f>
        <v>0</v>
      </c>
    </row>
    <row r="59" spans="1:94" ht="13.8" hidden="1" x14ac:dyDescent="0.3">
      <c r="A59" s="52">
        <v>45565.951063831017</v>
      </c>
      <c r="B59" s="47" t="s">
        <v>181</v>
      </c>
      <c r="C59" s="53" t="s">
        <v>782</v>
      </c>
      <c r="D59" s="53" t="s">
        <v>93</v>
      </c>
      <c r="E59" s="53" t="s">
        <v>304</v>
      </c>
      <c r="F59" s="53" t="s">
        <v>96</v>
      </c>
      <c r="G59" s="53" t="s">
        <v>345</v>
      </c>
      <c r="H59" s="53" t="s">
        <v>346</v>
      </c>
      <c r="I59" s="53" t="s">
        <v>100</v>
      </c>
      <c r="J59" s="53" t="s">
        <v>183</v>
      </c>
      <c r="K59" s="53" t="s">
        <v>102</v>
      </c>
      <c r="L59" s="84" t="s">
        <v>103</v>
      </c>
      <c r="M59" s="8" t="s">
        <v>104</v>
      </c>
      <c r="N59" s="84" t="s">
        <v>105</v>
      </c>
      <c r="O59" s="84" t="s">
        <v>106</v>
      </c>
      <c r="P59" s="84" t="s">
        <v>107</v>
      </c>
      <c r="Q59" s="115" t="s">
        <v>108</v>
      </c>
      <c r="R59" s="53" t="s">
        <v>109</v>
      </c>
      <c r="S59" s="53" t="s">
        <v>111</v>
      </c>
      <c r="T59" s="53" t="s">
        <v>111</v>
      </c>
      <c r="U59" s="53" t="s">
        <v>110</v>
      </c>
      <c r="V59" s="84" t="s">
        <v>126</v>
      </c>
      <c r="W59" s="84" t="s">
        <v>152</v>
      </c>
      <c r="X59" s="115" t="s">
        <v>153</v>
      </c>
      <c r="Y59" s="53" t="s">
        <v>111</v>
      </c>
      <c r="Z59" s="53" t="s">
        <v>111</v>
      </c>
      <c r="AA59" s="53" t="s">
        <v>111</v>
      </c>
      <c r="AB59" s="53" t="s">
        <v>110</v>
      </c>
      <c r="AC59" s="84" t="s">
        <v>111</v>
      </c>
      <c r="AD59" s="84" t="s">
        <v>166</v>
      </c>
      <c r="AE59" s="84" t="s">
        <v>118</v>
      </c>
      <c r="AF59" s="96" t="s">
        <v>111</v>
      </c>
      <c r="AG59" s="84" t="s">
        <v>119</v>
      </c>
      <c r="AH59" s="53" t="s">
        <v>110</v>
      </c>
      <c r="AI59" s="84" t="s">
        <v>121</v>
      </c>
      <c r="AJ59" s="84" t="s">
        <v>128</v>
      </c>
      <c r="AK59" s="84" t="s">
        <v>110</v>
      </c>
      <c r="AL59" s="53" t="s">
        <v>128</v>
      </c>
      <c r="AM59" s="53" t="s">
        <v>128</v>
      </c>
      <c r="AN59" s="53" t="s">
        <v>110</v>
      </c>
      <c r="AO59" s="84" t="s">
        <v>110</v>
      </c>
      <c r="AP59" s="53" t="s">
        <v>110</v>
      </c>
      <c r="AQ59" s="84" t="s">
        <v>126</v>
      </c>
      <c r="AR59" s="84" t="s">
        <v>110</v>
      </c>
      <c r="AS59" s="53" t="s">
        <v>110</v>
      </c>
      <c r="AT59" s="9" t="s">
        <v>110</v>
      </c>
      <c r="AU59" s="10" t="s">
        <v>111</v>
      </c>
      <c r="AV59" s="53" t="s">
        <v>119</v>
      </c>
      <c r="AW59" s="53" t="s">
        <v>119</v>
      </c>
      <c r="AX59" s="53" t="s">
        <v>110</v>
      </c>
      <c r="AY59" s="53" t="s">
        <v>110</v>
      </c>
      <c r="AZ59" s="84" t="s">
        <v>125</v>
      </c>
      <c r="BA59" s="84" t="s">
        <v>111</v>
      </c>
      <c r="BB59" s="84" t="s">
        <v>126</v>
      </c>
      <c r="BC59" s="84" t="s">
        <v>111</v>
      </c>
      <c r="BD59" s="96" t="s">
        <v>125</v>
      </c>
      <c r="BE59" s="84" t="s">
        <v>126</v>
      </c>
      <c r="BF59" s="84" t="s">
        <v>110</v>
      </c>
      <c r="BG59" s="53" t="s">
        <v>111</v>
      </c>
      <c r="BH59" s="84" t="s">
        <v>126</v>
      </c>
      <c r="BI59" s="53" t="s">
        <v>111</v>
      </c>
      <c r="BJ59" s="84" t="s">
        <v>119</v>
      </c>
      <c r="BK59" s="53" t="s">
        <v>110</v>
      </c>
      <c r="BL59" s="53" t="s">
        <v>126</v>
      </c>
      <c r="BM59" s="53" t="s">
        <v>110</v>
      </c>
      <c r="BN59" s="11" t="s">
        <v>111</v>
      </c>
      <c r="BO59" s="53" t="s">
        <v>111</v>
      </c>
      <c r="BP59" s="53" t="s">
        <v>111</v>
      </c>
      <c r="BQ59" s="53" t="s">
        <v>111</v>
      </c>
      <c r="BR59" s="53" t="s">
        <v>111</v>
      </c>
      <c r="BS59" s="84" t="s">
        <v>111</v>
      </c>
      <c r="BT59" s="53" t="s">
        <v>110</v>
      </c>
      <c r="BU59" s="53" t="s">
        <v>110</v>
      </c>
      <c r="BV59" s="53" t="s">
        <v>110</v>
      </c>
      <c r="BW59" s="53" t="s">
        <v>110</v>
      </c>
      <c r="BX59" s="53" t="s">
        <v>125</v>
      </c>
      <c r="BY59" s="84" t="s">
        <v>111</v>
      </c>
      <c r="BZ59" s="53" t="s">
        <v>111</v>
      </c>
      <c r="CA59" s="53" t="s">
        <v>110</v>
      </c>
      <c r="CB59" s="53" t="s">
        <v>110</v>
      </c>
      <c r="CC59" s="53" t="s">
        <v>111</v>
      </c>
      <c r="CD59" s="53" t="s">
        <v>129</v>
      </c>
      <c r="CE59" s="53" t="s">
        <v>127</v>
      </c>
      <c r="CF59" s="53" t="s">
        <v>110</v>
      </c>
      <c r="CG59" s="53" t="s">
        <v>110</v>
      </c>
      <c r="CH59" s="84" t="s">
        <v>111</v>
      </c>
      <c r="CI59" s="53" t="s">
        <v>111</v>
      </c>
      <c r="CJ59" s="53" t="s">
        <v>119</v>
      </c>
      <c r="CK59" s="53" t="s">
        <v>126</v>
      </c>
      <c r="CL59" s="53" t="s">
        <v>110</v>
      </c>
      <c r="CM59" s="53" t="s">
        <v>110</v>
      </c>
      <c r="CN59" s="50" t="s">
        <v>347</v>
      </c>
      <c r="CO59" t="s">
        <v>786</v>
      </c>
      <c r="CP59">
        <f>IFERROR(VLOOKUP(H59,'Lista Lideres'!$A$1:$B$350,2,0),0)</f>
        <v>0</v>
      </c>
    </row>
    <row r="60" spans="1:94" ht="14.4" hidden="1" x14ac:dyDescent="0.3">
      <c r="A60" s="13">
        <v>45569.774129201389</v>
      </c>
      <c r="B60" s="14" t="s">
        <v>91</v>
      </c>
      <c r="C60" s="14" t="s">
        <v>782</v>
      </c>
      <c r="D60" s="14" t="s">
        <v>93</v>
      </c>
      <c r="E60" s="14" t="s">
        <v>204</v>
      </c>
      <c r="F60" s="14" t="s">
        <v>97</v>
      </c>
      <c r="G60" s="14" t="s">
        <v>440</v>
      </c>
      <c r="H60" s="14" t="s">
        <v>440</v>
      </c>
      <c r="I60" s="14" t="s">
        <v>100</v>
      </c>
      <c r="J60" s="14" t="s">
        <v>101</v>
      </c>
      <c r="K60" s="14" t="s">
        <v>191</v>
      </c>
      <c r="L60" s="76" t="s">
        <v>213</v>
      </c>
      <c r="M60" s="58" t="s">
        <v>104</v>
      </c>
      <c r="N60" s="76" t="s">
        <v>352</v>
      </c>
      <c r="O60" s="76" t="s">
        <v>352</v>
      </c>
      <c r="P60" s="76" t="s">
        <v>175</v>
      </c>
      <c r="Q60" s="107" t="s">
        <v>108</v>
      </c>
      <c r="R60" s="14" t="s">
        <v>164</v>
      </c>
      <c r="S60" s="14" t="s">
        <v>110</v>
      </c>
      <c r="T60" s="14" t="s">
        <v>110</v>
      </c>
      <c r="U60" s="14" t="s">
        <v>110</v>
      </c>
      <c r="V60" s="76" t="s">
        <v>112</v>
      </c>
      <c r="W60" s="76" t="s">
        <v>363</v>
      </c>
      <c r="X60" s="107" t="s">
        <v>153</v>
      </c>
      <c r="Y60" s="72" t="s">
        <v>206</v>
      </c>
      <c r="Z60" s="14" t="s">
        <v>110</v>
      </c>
      <c r="AA60" s="14" t="s">
        <v>129</v>
      </c>
      <c r="AB60" s="14" t="s">
        <v>119</v>
      </c>
      <c r="AC60" s="76" t="s">
        <v>116</v>
      </c>
      <c r="AD60" s="76" t="s">
        <v>137</v>
      </c>
      <c r="AE60" s="76" t="s">
        <v>118</v>
      </c>
      <c r="AF60" s="88" t="s">
        <v>110</v>
      </c>
      <c r="AG60" s="76" t="s">
        <v>110</v>
      </c>
      <c r="AH60" s="14" t="s">
        <v>122</v>
      </c>
      <c r="AI60" s="76" t="s">
        <v>110</v>
      </c>
      <c r="AJ60" s="76" t="s">
        <v>197</v>
      </c>
      <c r="AK60" s="76" t="s">
        <v>225</v>
      </c>
      <c r="AL60" s="14" t="s">
        <v>110</v>
      </c>
      <c r="AM60" s="14" t="s">
        <v>110</v>
      </c>
      <c r="AN60" s="14" t="s">
        <v>110</v>
      </c>
      <c r="AO60" s="76" t="s">
        <v>110</v>
      </c>
      <c r="AP60" s="14" t="s">
        <v>128</v>
      </c>
      <c r="AQ60" s="76" t="s">
        <v>126</v>
      </c>
      <c r="AR60" s="76" t="s">
        <v>110</v>
      </c>
      <c r="AS60" s="14" t="s">
        <v>111</v>
      </c>
      <c r="AT60" s="16" t="s">
        <v>119</v>
      </c>
      <c r="AU60" s="17" t="s">
        <v>110</v>
      </c>
      <c r="AV60" s="14" t="s">
        <v>119</v>
      </c>
      <c r="AW60" s="14" t="s">
        <v>119</v>
      </c>
      <c r="AX60" s="14" t="s">
        <v>110</v>
      </c>
      <c r="AY60" s="14" t="s">
        <v>111</v>
      </c>
      <c r="AZ60" s="76" t="s">
        <v>142</v>
      </c>
      <c r="BA60" s="76" t="s">
        <v>110</v>
      </c>
      <c r="BB60" s="76" t="s">
        <v>126</v>
      </c>
      <c r="BC60" s="76" t="s">
        <v>110</v>
      </c>
      <c r="BD60" s="88" t="s">
        <v>214</v>
      </c>
      <c r="BE60" s="76" t="s">
        <v>140</v>
      </c>
      <c r="BF60" s="76" t="s">
        <v>141</v>
      </c>
      <c r="BG60" s="14" t="s">
        <v>110</v>
      </c>
      <c r="BH60" s="76" t="s">
        <v>125</v>
      </c>
      <c r="BI60" s="14" t="s">
        <v>111</v>
      </c>
      <c r="BJ60" s="76" t="s">
        <v>110</v>
      </c>
      <c r="BK60" s="14" t="s">
        <v>110</v>
      </c>
      <c r="BL60" s="14" t="s">
        <v>126</v>
      </c>
      <c r="BM60" s="14" t="s">
        <v>110</v>
      </c>
      <c r="BN60" s="18" t="s">
        <v>111</v>
      </c>
      <c r="BO60" s="14" t="s">
        <v>119</v>
      </c>
      <c r="BP60" s="14" t="s">
        <v>120</v>
      </c>
      <c r="BQ60" s="14" t="s">
        <v>110</v>
      </c>
      <c r="BR60" s="14" t="s">
        <v>110</v>
      </c>
      <c r="BS60" s="76" t="s">
        <v>119</v>
      </c>
      <c r="BT60" s="14" t="s">
        <v>110</v>
      </c>
      <c r="BU60" s="14" t="s">
        <v>110</v>
      </c>
      <c r="BV60" s="14" t="s">
        <v>110</v>
      </c>
      <c r="BW60" s="14" t="s">
        <v>110</v>
      </c>
      <c r="BX60" s="14" t="s">
        <v>126</v>
      </c>
      <c r="BY60" s="76" t="s">
        <v>110</v>
      </c>
      <c r="BZ60" s="14" t="s">
        <v>111</v>
      </c>
      <c r="CA60" s="14" t="s">
        <v>110</v>
      </c>
      <c r="CB60" s="14" t="s">
        <v>111</v>
      </c>
      <c r="CC60" s="14" t="s">
        <v>110</v>
      </c>
      <c r="CD60" s="14" t="s">
        <v>110</v>
      </c>
      <c r="CE60" s="14" t="s">
        <v>127</v>
      </c>
      <c r="CF60" s="14" t="s">
        <v>110</v>
      </c>
      <c r="CG60" s="14" t="s">
        <v>119</v>
      </c>
      <c r="CH60" s="76" t="s">
        <v>110</v>
      </c>
      <c r="CI60" s="14" t="s">
        <v>110</v>
      </c>
      <c r="CJ60" s="14" t="s">
        <v>110</v>
      </c>
      <c r="CK60" s="14" t="s">
        <v>126</v>
      </c>
      <c r="CL60" s="14" t="s">
        <v>110</v>
      </c>
      <c r="CM60" s="14" t="s">
        <v>110</v>
      </c>
      <c r="CN60" s="19"/>
      <c r="CO60" t="s">
        <v>786</v>
      </c>
      <c r="CP60">
        <f>IFERROR(VLOOKUP(H60,'Lista Lideres'!$A$1:$B$350,2,0),0)</f>
        <v>0</v>
      </c>
    </row>
    <row r="61" spans="1:94" ht="13.8" hidden="1" x14ac:dyDescent="0.3">
      <c r="A61" s="6">
        <v>45586.613788622686</v>
      </c>
      <c r="B61" s="14" t="s">
        <v>91</v>
      </c>
      <c r="C61" s="7" t="s">
        <v>782</v>
      </c>
      <c r="D61" s="7" t="s">
        <v>93</v>
      </c>
      <c r="E61" s="7" t="s">
        <v>204</v>
      </c>
      <c r="F61" s="7" t="s">
        <v>96</v>
      </c>
      <c r="G61" s="7" t="s">
        <v>361</v>
      </c>
      <c r="H61" s="7" t="s">
        <v>520</v>
      </c>
      <c r="I61" s="7" t="s">
        <v>149</v>
      </c>
      <c r="J61" s="7" t="s">
        <v>101</v>
      </c>
      <c r="K61" s="7" t="s">
        <v>191</v>
      </c>
      <c r="L61" s="75" t="s">
        <v>213</v>
      </c>
      <c r="M61" s="58" t="s">
        <v>104</v>
      </c>
      <c r="N61" s="75" t="s">
        <v>388</v>
      </c>
      <c r="O61" s="75" t="s">
        <v>282</v>
      </c>
      <c r="P61" s="75" t="s">
        <v>107</v>
      </c>
      <c r="Q61" s="106" t="s">
        <v>108</v>
      </c>
      <c r="R61" s="7" t="s">
        <v>164</v>
      </c>
      <c r="S61" s="7" t="s">
        <v>110</v>
      </c>
      <c r="T61" s="7" t="s">
        <v>119</v>
      </c>
      <c r="U61" s="7" t="s">
        <v>110</v>
      </c>
      <c r="V61" s="75" t="s">
        <v>126</v>
      </c>
      <c r="W61" s="75" t="s">
        <v>152</v>
      </c>
      <c r="X61" s="106" t="s">
        <v>153</v>
      </c>
      <c r="Y61" s="71" t="s">
        <v>111</v>
      </c>
      <c r="Z61" s="7" t="s">
        <v>111</v>
      </c>
      <c r="AA61" s="7" t="s">
        <v>111</v>
      </c>
      <c r="AB61" s="7" t="s">
        <v>115</v>
      </c>
      <c r="AC61" s="75" t="s">
        <v>116</v>
      </c>
      <c r="AD61" s="75" t="s">
        <v>117</v>
      </c>
      <c r="AE61" s="75" t="s">
        <v>118</v>
      </c>
      <c r="AF61" s="87" t="s">
        <v>111</v>
      </c>
      <c r="AG61" s="75" t="s">
        <v>168</v>
      </c>
      <c r="AH61" s="7" t="s">
        <v>122</v>
      </c>
      <c r="AI61" s="75" t="s">
        <v>154</v>
      </c>
      <c r="AJ61" s="75" t="s">
        <v>110</v>
      </c>
      <c r="AK61" s="75" t="s">
        <v>225</v>
      </c>
      <c r="AL61" s="7" t="s">
        <v>110</v>
      </c>
      <c r="AM61" s="7" t="s">
        <v>128</v>
      </c>
      <c r="AN61" s="7" t="s">
        <v>128</v>
      </c>
      <c r="AO61" s="75" t="s">
        <v>110</v>
      </c>
      <c r="AP61" s="7" t="s">
        <v>128</v>
      </c>
      <c r="AQ61" s="75" t="s">
        <v>124</v>
      </c>
      <c r="AR61" s="75" t="s">
        <v>111</v>
      </c>
      <c r="AS61" s="7" t="s">
        <v>111</v>
      </c>
      <c r="AT61" s="9" t="s">
        <v>129</v>
      </c>
      <c r="AU61" s="10" t="s">
        <v>111</v>
      </c>
      <c r="AV61" s="7" t="s">
        <v>119</v>
      </c>
      <c r="AW61" s="7" t="s">
        <v>119</v>
      </c>
      <c r="AX61" s="7" t="s">
        <v>110</v>
      </c>
      <c r="AY61" s="7" t="s">
        <v>120</v>
      </c>
      <c r="AZ61" s="75" t="s">
        <v>126</v>
      </c>
      <c r="BA61" s="75" t="s">
        <v>111</v>
      </c>
      <c r="BB61" s="75" t="s">
        <v>139</v>
      </c>
      <c r="BC61" s="75" t="s">
        <v>110</v>
      </c>
      <c r="BD61" s="87" t="s">
        <v>125</v>
      </c>
      <c r="BE61" s="75" t="s">
        <v>140</v>
      </c>
      <c r="BF61" s="75" t="s">
        <v>110</v>
      </c>
      <c r="BG61" s="7" t="s">
        <v>111</v>
      </c>
      <c r="BH61" s="75" t="s">
        <v>142</v>
      </c>
      <c r="BI61" s="7" t="s">
        <v>120</v>
      </c>
      <c r="BJ61" s="75" t="s">
        <v>119</v>
      </c>
      <c r="BK61" s="7" t="s">
        <v>168</v>
      </c>
      <c r="BL61" s="7" t="s">
        <v>142</v>
      </c>
      <c r="BM61" s="7" t="s">
        <v>127</v>
      </c>
      <c r="BN61" s="11" t="s">
        <v>110</v>
      </c>
      <c r="BO61" s="7" t="s">
        <v>115</v>
      </c>
      <c r="BP61" s="7" t="s">
        <v>120</v>
      </c>
      <c r="BQ61" s="7" t="s">
        <v>111</v>
      </c>
      <c r="BR61" s="7" t="s">
        <v>110</v>
      </c>
      <c r="BS61" s="75" t="s">
        <v>111</v>
      </c>
      <c r="BT61" s="7" t="s">
        <v>111</v>
      </c>
      <c r="BU61" s="7" t="s">
        <v>110</v>
      </c>
      <c r="BV61" s="7" t="s">
        <v>119</v>
      </c>
      <c r="BW61" s="7" t="s">
        <v>123</v>
      </c>
      <c r="BX61" s="7" t="s">
        <v>126</v>
      </c>
      <c r="BY61" s="75" t="s">
        <v>111</v>
      </c>
      <c r="BZ61" s="7" t="s">
        <v>111</v>
      </c>
      <c r="CA61" s="7" t="s">
        <v>110</v>
      </c>
      <c r="CB61" s="7" t="s">
        <v>110</v>
      </c>
      <c r="CC61" s="7" t="s">
        <v>111</v>
      </c>
      <c r="CD61" s="7" t="s">
        <v>110</v>
      </c>
      <c r="CE61" s="7" t="s">
        <v>110</v>
      </c>
      <c r="CF61" s="7" t="s">
        <v>111</v>
      </c>
      <c r="CG61" s="7" t="s">
        <v>111</v>
      </c>
      <c r="CH61" s="75" t="s">
        <v>111</v>
      </c>
      <c r="CI61" s="7" t="s">
        <v>111</v>
      </c>
      <c r="CJ61" s="7" t="s">
        <v>110</v>
      </c>
      <c r="CK61" s="7" t="s">
        <v>126</v>
      </c>
      <c r="CL61" s="7" t="s">
        <v>110</v>
      </c>
      <c r="CM61" s="7" t="s">
        <v>111</v>
      </c>
      <c r="CN61" s="20" t="s">
        <v>521</v>
      </c>
      <c r="CO61" t="s">
        <v>785</v>
      </c>
      <c r="CP61">
        <f>IFERROR(VLOOKUP(H61,'Lista Lideres'!$A$1:$B$350,2,0),0)</f>
        <v>0</v>
      </c>
    </row>
    <row r="62" spans="1:94" ht="13.8" hidden="1" x14ac:dyDescent="0.3">
      <c r="A62" s="13">
        <v>45600.521784039352</v>
      </c>
      <c r="B62" s="14" t="s">
        <v>91</v>
      </c>
      <c r="C62" s="14" t="s">
        <v>782</v>
      </c>
      <c r="D62" s="14" t="s">
        <v>93</v>
      </c>
      <c r="E62" s="14" t="s">
        <v>204</v>
      </c>
      <c r="F62" s="14" t="s">
        <v>171</v>
      </c>
      <c r="G62" s="14" t="s">
        <v>361</v>
      </c>
      <c r="H62" s="14" t="s">
        <v>522</v>
      </c>
      <c r="I62" s="14" t="s">
        <v>100</v>
      </c>
      <c r="J62" s="14" t="s">
        <v>196</v>
      </c>
      <c r="K62" s="14" t="s">
        <v>191</v>
      </c>
      <c r="L62" s="76" t="s">
        <v>213</v>
      </c>
      <c r="M62" s="58" t="s">
        <v>104</v>
      </c>
      <c r="N62" s="76" t="s">
        <v>388</v>
      </c>
      <c r="O62" s="76" t="s">
        <v>106</v>
      </c>
      <c r="P62" s="76" t="s">
        <v>107</v>
      </c>
      <c r="Q62" s="107" t="s">
        <v>108</v>
      </c>
      <c r="R62" s="14" t="s">
        <v>176</v>
      </c>
      <c r="S62" s="14" t="s">
        <v>119</v>
      </c>
      <c r="T62" s="14" t="s">
        <v>119</v>
      </c>
      <c r="U62" s="14" t="s">
        <v>129</v>
      </c>
      <c r="V62" s="76" t="s">
        <v>136</v>
      </c>
      <c r="W62" s="76" t="s">
        <v>113</v>
      </c>
      <c r="X62" s="107" t="s">
        <v>165</v>
      </c>
      <c r="Y62" s="72" t="s">
        <v>206</v>
      </c>
      <c r="Z62" s="14" t="s">
        <v>111</v>
      </c>
      <c r="AA62" s="14" t="s">
        <v>111</v>
      </c>
      <c r="AB62" s="14" t="s">
        <v>115</v>
      </c>
      <c r="AC62" s="76" t="s">
        <v>119</v>
      </c>
      <c r="AD62" s="76" t="s">
        <v>221</v>
      </c>
      <c r="AE62" s="76" t="s">
        <v>118</v>
      </c>
      <c r="AF62" s="88" t="s">
        <v>111</v>
      </c>
      <c r="AG62" s="76" t="s">
        <v>111</v>
      </c>
      <c r="AH62" s="14" t="s">
        <v>128</v>
      </c>
      <c r="AI62" s="76" t="s">
        <v>154</v>
      </c>
      <c r="AJ62" s="76" t="s">
        <v>197</v>
      </c>
      <c r="AK62" s="76" t="s">
        <v>225</v>
      </c>
      <c r="AL62" s="14" t="s">
        <v>122</v>
      </c>
      <c r="AM62" s="14" t="s">
        <v>123</v>
      </c>
      <c r="AN62" s="14" t="s">
        <v>123</v>
      </c>
      <c r="AO62" s="76" t="s">
        <v>123</v>
      </c>
      <c r="AP62" s="14" t="s">
        <v>110</v>
      </c>
      <c r="AQ62" s="76" t="s">
        <v>124</v>
      </c>
      <c r="AR62" s="76" t="s">
        <v>111</v>
      </c>
      <c r="AS62" s="14" t="s">
        <v>119</v>
      </c>
      <c r="AT62" s="16" t="s">
        <v>129</v>
      </c>
      <c r="AU62" s="17" t="s">
        <v>110</v>
      </c>
      <c r="AV62" s="14" t="s">
        <v>119</v>
      </c>
      <c r="AW62" s="14" t="s">
        <v>119</v>
      </c>
      <c r="AX62" s="14" t="s">
        <v>119</v>
      </c>
      <c r="AY62" s="14" t="s">
        <v>120</v>
      </c>
      <c r="AZ62" s="76" t="s">
        <v>124</v>
      </c>
      <c r="BA62" s="76" t="s">
        <v>110</v>
      </c>
      <c r="BB62" s="76" t="s">
        <v>139</v>
      </c>
      <c r="BC62" s="76" t="s">
        <v>120</v>
      </c>
      <c r="BD62" s="88" t="s">
        <v>126</v>
      </c>
      <c r="BE62" s="76" t="s">
        <v>140</v>
      </c>
      <c r="BF62" s="76" t="s">
        <v>141</v>
      </c>
      <c r="BG62" s="14" t="s">
        <v>129</v>
      </c>
      <c r="BH62" s="76" t="s">
        <v>142</v>
      </c>
      <c r="BI62" s="14" t="s">
        <v>120</v>
      </c>
      <c r="BJ62" s="76" t="s">
        <v>168</v>
      </c>
      <c r="BK62" s="14" t="s">
        <v>128</v>
      </c>
      <c r="BL62" s="14" t="s">
        <v>126</v>
      </c>
      <c r="BM62" s="14" t="s">
        <v>127</v>
      </c>
      <c r="BN62" s="18" t="s">
        <v>119</v>
      </c>
      <c r="BO62" s="14" t="s">
        <v>111</v>
      </c>
      <c r="BP62" s="14" t="s">
        <v>111</v>
      </c>
      <c r="BQ62" s="14" t="s">
        <v>110</v>
      </c>
      <c r="BR62" s="14" t="s">
        <v>110</v>
      </c>
      <c r="BS62" s="76" t="s">
        <v>111</v>
      </c>
      <c r="BT62" s="14" t="s">
        <v>111</v>
      </c>
      <c r="BU62" s="14" t="s">
        <v>119</v>
      </c>
      <c r="BV62" s="14" t="s">
        <v>111</v>
      </c>
      <c r="BW62" s="14" t="s">
        <v>128</v>
      </c>
      <c r="BX62" s="14" t="s">
        <v>125</v>
      </c>
      <c r="BY62" s="76" t="s">
        <v>110</v>
      </c>
      <c r="BZ62" s="14" t="s">
        <v>111</v>
      </c>
      <c r="CA62" s="14" t="s">
        <v>110</v>
      </c>
      <c r="CB62" s="14" t="s">
        <v>111</v>
      </c>
      <c r="CC62" s="14" t="s">
        <v>111</v>
      </c>
      <c r="CD62" s="14" t="s">
        <v>119</v>
      </c>
      <c r="CE62" s="14" t="s">
        <v>116</v>
      </c>
      <c r="CF62" s="14" t="s">
        <v>111</v>
      </c>
      <c r="CG62" s="14" t="s">
        <v>111</v>
      </c>
      <c r="CH62" s="76" t="s">
        <v>119</v>
      </c>
      <c r="CI62" s="14" t="s">
        <v>119</v>
      </c>
      <c r="CJ62" s="14" t="s">
        <v>119</v>
      </c>
      <c r="CK62" s="14" t="s">
        <v>125</v>
      </c>
      <c r="CL62" s="14" t="s">
        <v>119</v>
      </c>
      <c r="CM62" s="14" t="s">
        <v>111</v>
      </c>
      <c r="CN62" s="59" t="s">
        <v>523</v>
      </c>
      <c r="CO62" t="s">
        <v>786</v>
      </c>
      <c r="CP62">
        <f>IFERROR(VLOOKUP(H62,'Lista Lideres'!$A$1:$B$350,2,0),0)</f>
        <v>0</v>
      </c>
    </row>
    <row r="63" spans="1:94" ht="13.8" hidden="1" x14ac:dyDescent="0.3">
      <c r="A63" s="6">
        <v>45569.761612523143</v>
      </c>
      <c r="B63" s="14" t="s">
        <v>91</v>
      </c>
      <c r="C63" s="7" t="s">
        <v>783</v>
      </c>
      <c r="D63" s="7" t="s">
        <v>93</v>
      </c>
      <c r="E63" s="7" t="s">
        <v>204</v>
      </c>
      <c r="F63" s="7" t="s">
        <v>171</v>
      </c>
      <c r="G63" s="7" t="s">
        <v>361</v>
      </c>
      <c r="H63" s="7" t="s">
        <v>361</v>
      </c>
      <c r="I63" s="7" t="s">
        <v>161</v>
      </c>
      <c r="J63" s="7" t="s">
        <v>183</v>
      </c>
      <c r="K63" s="7" t="s">
        <v>102</v>
      </c>
      <c r="L63" s="75" t="s">
        <v>103</v>
      </c>
      <c r="M63" s="58" t="s">
        <v>104</v>
      </c>
      <c r="N63" s="75" t="s">
        <v>388</v>
      </c>
      <c r="O63" s="75" t="s">
        <v>106</v>
      </c>
      <c r="P63" s="75" t="s">
        <v>175</v>
      </c>
      <c r="Q63" s="106" t="s">
        <v>163</v>
      </c>
      <c r="R63" s="7" t="s">
        <v>164</v>
      </c>
      <c r="S63" s="7" t="s">
        <v>119</v>
      </c>
      <c r="T63" s="7" t="s">
        <v>119</v>
      </c>
      <c r="U63" s="7" t="s">
        <v>119</v>
      </c>
      <c r="V63" s="75" t="s">
        <v>112</v>
      </c>
      <c r="W63" s="75" t="s">
        <v>113</v>
      </c>
      <c r="X63" s="106" t="s">
        <v>165</v>
      </c>
      <c r="Y63" s="71" t="s">
        <v>206</v>
      </c>
      <c r="Z63" s="7" t="s">
        <v>110</v>
      </c>
      <c r="AA63" s="7" t="s">
        <v>111</v>
      </c>
      <c r="AB63" s="7" t="s">
        <v>119</v>
      </c>
      <c r="AC63" s="75" t="s">
        <v>111</v>
      </c>
      <c r="AD63" s="75" t="s">
        <v>137</v>
      </c>
      <c r="AE63" s="75" t="s">
        <v>118</v>
      </c>
      <c r="AF63" s="87" t="s">
        <v>110</v>
      </c>
      <c r="AG63" s="75" t="s">
        <v>111</v>
      </c>
      <c r="AH63" s="7" t="s">
        <v>122</v>
      </c>
      <c r="AI63" s="75" t="s">
        <v>121</v>
      </c>
      <c r="AJ63" s="75" t="s">
        <v>122</v>
      </c>
      <c r="AK63" s="75" t="s">
        <v>122</v>
      </c>
      <c r="AL63" s="7" t="s">
        <v>128</v>
      </c>
      <c r="AM63" s="7" t="s">
        <v>128</v>
      </c>
      <c r="AN63" s="7" t="s">
        <v>123</v>
      </c>
      <c r="AO63" s="75" t="s">
        <v>123</v>
      </c>
      <c r="AP63" s="7" t="s">
        <v>128</v>
      </c>
      <c r="AQ63" s="75" t="s">
        <v>124</v>
      </c>
      <c r="AR63" s="75" t="s">
        <v>119</v>
      </c>
      <c r="AS63" s="7" t="s">
        <v>111</v>
      </c>
      <c r="AT63" s="9" t="s">
        <v>129</v>
      </c>
      <c r="AU63" s="10" t="s">
        <v>111</v>
      </c>
      <c r="AV63" s="7" t="s">
        <v>129</v>
      </c>
      <c r="AW63" s="7" t="s">
        <v>119</v>
      </c>
      <c r="AX63" s="7" t="s">
        <v>119</v>
      </c>
      <c r="AY63" s="7" t="s">
        <v>120</v>
      </c>
      <c r="AZ63" s="75" t="s">
        <v>125</v>
      </c>
      <c r="BA63" s="75" t="s">
        <v>111</v>
      </c>
      <c r="BB63" s="75" t="s">
        <v>125</v>
      </c>
      <c r="BC63" s="75" t="s">
        <v>120</v>
      </c>
      <c r="BD63" s="87" t="s">
        <v>125</v>
      </c>
      <c r="BE63" s="75" t="s">
        <v>124</v>
      </c>
      <c r="BF63" s="75" t="s">
        <v>121</v>
      </c>
      <c r="BG63" s="7" t="s">
        <v>111</v>
      </c>
      <c r="BH63" s="75" t="s">
        <v>124</v>
      </c>
      <c r="BI63" s="7" t="s">
        <v>120</v>
      </c>
      <c r="BJ63" s="75" t="s">
        <v>119</v>
      </c>
      <c r="BK63" s="7" t="s">
        <v>128</v>
      </c>
      <c r="BL63" s="7" t="s">
        <v>125</v>
      </c>
      <c r="BM63" s="7" t="s">
        <v>127</v>
      </c>
      <c r="BN63" s="11" t="s">
        <v>119</v>
      </c>
      <c r="BO63" s="7" t="s">
        <v>119</v>
      </c>
      <c r="BP63" s="7" t="s">
        <v>120</v>
      </c>
      <c r="BQ63" s="7" t="s">
        <v>111</v>
      </c>
      <c r="BR63" s="7" t="s">
        <v>111</v>
      </c>
      <c r="BS63" s="75" t="s">
        <v>115</v>
      </c>
      <c r="BT63" s="7" t="s">
        <v>111</v>
      </c>
      <c r="BU63" s="7" t="s">
        <v>111</v>
      </c>
      <c r="BV63" s="7" t="s">
        <v>119</v>
      </c>
      <c r="BW63" s="7" t="s">
        <v>178</v>
      </c>
      <c r="BX63" s="7" t="s">
        <v>124</v>
      </c>
      <c r="BY63" s="75" t="s">
        <v>115</v>
      </c>
      <c r="BZ63" s="7" t="s">
        <v>115</v>
      </c>
      <c r="CA63" s="7" t="s">
        <v>111</v>
      </c>
      <c r="CB63" s="7" t="s">
        <v>119</v>
      </c>
      <c r="CC63" s="7" t="s">
        <v>111</v>
      </c>
      <c r="CD63" s="7" t="s">
        <v>111</v>
      </c>
      <c r="CE63" s="7" t="s">
        <v>127</v>
      </c>
      <c r="CF63" s="7" t="s">
        <v>111</v>
      </c>
      <c r="CG63" s="7" t="s">
        <v>119</v>
      </c>
      <c r="CH63" s="75" t="s">
        <v>111</v>
      </c>
      <c r="CI63" s="7" t="s">
        <v>115</v>
      </c>
      <c r="CJ63" s="7" t="s">
        <v>129</v>
      </c>
      <c r="CK63" s="7" t="s">
        <v>125</v>
      </c>
      <c r="CL63" s="7" t="s">
        <v>119</v>
      </c>
      <c r="CM63" s="7" t="s">
        <v>111</v>
      </c>
      <c r="CN63" s="12" t="s">
        <v>524</v>
      </c>
      <c r="CO63" t="s">
        <v>785</v>
      </c>
      <c r="CP63">
        <f>IFERROR(VLOOKUP(H63,'Lista Lideres'!$A$1:$B$350,2,0),0)</f>
        <v>0</v>
      </c>
    </row>
    <row r="64" spans="1:94" ht="13.8" hidden="1" x14ac:dyDescent="0.3">
      <c r="A64" s="13">
        <v>45569.100940798613</v>
      </c>
      <c r="B64" s="14" t="s">
        <v>91</v>
      </c>
      <c r="C64" s="14" t="s">
        <v>783</v>
      </c>
      <c r="D64" s="14" t="s">
        <v>93</v>
      </c>
      <c r="E64" s="14" t="s">
        <v>204</v>
      </c>
      <c r="F64" s="14" t="s">
        <v>97</v>
      </c>
      <c r="G64" s="14" t="s">
        <v>205</v>
      </c>
      <c r="H64" s="14" t="s">
        <v>205</v>
      </c>
      <c r="I64" s="14" t="s">
        <v>195</v>
      </c>
      <c r="J64" s="14" t="s">
        <v>101</v>
      </c>
      <c r="K64" s="14" t="s">
        <v>191</v>
      </c>
      <c r="L64" s="76" t="s">
        <v>213</v>
      </c>
      <c r="M64" s="58" t="s">
        <v>104</v>
      </c>
      <c r="N64" s="76" t="s">
        <v>388</v>
      </c>
      <c r="O64" s="76" t="s">
        <v>106</v>
      </c>
      <c r="P64" s="76" t="s">
        <v>175</v>
      </c>
      <c r="Q64" s="107" t="s">
        <v>151</v>
      </c>
      <c r="R64" s="14" t="s">
        <v>164</v>
      </c>
      <c r="S64" s="14" t="s">
        <v>110</v>
      </c>
      <c r="T64" s="14" t="s">
        <v>119</v>
      </c>
      <c r="U64" s="14" t="s">
        <v>119</v>
      </c>
      <c r="V64" s="76" t="s">
        <v>112</v>
      </c>
      <c r="W64" s="76" t="s">
        <v>113</v>
      </c>
      <c r="X64" s="107" t="s">
        <v>153</v>
      </c>
      <c r="Y64" s="72" t="s">
        <v>115</v>
      </c>
      <c r="Z64" s="14" t="s">
        <v>111</v>
      </c>
      <c r="AA64" s="14" t="s">
        <v>111</v>
      </c>
      <c r="AB64" s="14" t="s">
        <v>115</v>
      </c>
      <c r="AC64" s="76" t="s">
        <v>111</v>
      </c>
      <c r="AD64" s="76" t="s">
        <v>137</v>
      </c>
      <c r="AE64" s="76" t="s">
        <v>138</v>
      </c>
      <c r="AF64" s="88" t="s">
        <v>110</v>
      </c>
      <c r="AG64" s="76" t="s">
        <v>110</v>
      </c>
      <c r="AH64" s="14" t="s">
        <v>177</v>
      </c>
      <c r="AI64" s="76" t="s">
        <v>110</v>
      </c>
      <c r="AJ64" s="76" t="s">
        <v>110</v>
      </c>
      <c r="AK64" s="76" t="s">
        <v>110</v>
      </c>
      <c r="AL64" s="14" t="s">
        <v>122</v>
      </c>
      <c r="AM64" s="14" t="s">
        <v>123</v>
      </c>
      <c r="AN64" s="14" t="s">
        <v>123</v>
      </c>
      <c r="AO64" s="76" t="s">
        <v>123</v>
      </c>
      <c r="AP64" s="14" t="s">
        <v>123</v>
      </c>
      <c r="AQ64" s="76" t="s">
        <v>203</v>
      </c>
      <c r="AR64" s="76" t="s">
        <v>110</v>
      </c>
      <c r="AS64" s="14" t="s">
        <v>110</v>
      </c>
      <c r="AT64" s="16" t="s">
        <v>129</v>
      </c>
      <c r="AU64" s="17" t="s">
        <v>115</v>
      </c>
      <c r="AV64" s="14" t="s">
        <v>129</v>
      </c>
      <c r="AW64" s="14" t="s">
        <v>119</v>
      </c>
      <c r="AX64" s="14" t="s">
        <v>129</v>
      </c>
      <c r="AY64" s="14" t="s">
        <v>111</v>
      </c>
      <c r="AZ64" s="76" t="s">
        <v>126</v>
      </c>
      <c r="BA64" s="76" t="s">
        <v>110</v>
      </c>
      <c r="BB64" s="76" t="s">
        <v>126</v>
      </c>
      <c r="BC64" s="76" t="s">
        <v>111</v>
      </c>
      <c r="BD64" s="88" t="s">
        <v>124</v>
      </c>
      <c r="BE64" s="76" t="s">
        <v>126</v>
      </c>
      <c r="BF64" s="76" t="s">
        <v>110</v>
      </c>
      <c r="BG64" s="14" t="s">
        <v>110</v>
      </c>
      <c r="BH64" s="76" t="s">
        <v>142</v>
      </c>
      <c r="BI64" s="14" t="s">
        <v>120</v>
      </c>
      <c r="BJ64" s="76" t="s">
        <v>110</v>
      </c>
      <c r="BK64" s="14" t="s">
        <v>110</v>
      </c>
      <c r="BL64" s="14" t="s">
        <v>126</v>
      </c>
      <c r="BM64" s="14" t="s">
        <v>186</v>
      </c>
      <c r="BN64" s="18" t="s">
        <v>115</v>
      </c>
      <c r="BO64" s="14" t="s">
        <v>115</v>
      </c>
      <c r="BP64" s="14" t="s">
        <v>120</v>
      </c>
      <c r="BQ64" s="14" t="s">
        <v>110</v>
      </c>
      <c r="BR64" s="14" t="s">
        <v>111</v>
      </c>
      <c r="BS64" s="76" t="s">
        <v>115</v>
      </c>
      <c r="BT64" s="14" t="s">
        <v>115</v>
      </c>
      <c r="BU64" s="14" t="s">
        <v>115</v>
      </c>
      <c r="BV64" s="14" t="s">
        <v>110</v>
      </c>
      <c r="BW64" s="14" t="s">
        <v>123</v>
      </c>
      <c r="BX64" s="14" t="s">
        <v>125</v>
      </c>
      <c r="BY64" s="76" t="s">
        <v>115</v>
      </c>
      <c r="BZ64" s="14" t="s">
        <v>115</v>
      </c>
      <c r="CA64" s="14" t="s">
        <v>115</v>
      </c>
      <c r="CB64" s="14" t="s">
        <v>129</v>
      </c>
      <c r="CC64" s="14" t="s">
        <v>111</v>
      </c>
      <c r="CD64" s="14" t="s">
        <v>119</v>
      </c>
      <c r="CE64" s="14" t="s">
        <v>127</v>
      </c>
      <c r="CF64" s="14" t="s">
        <v>115</v>
      </c>
      <c r="CG64" s="14" t="s">
        <v>129</v>
      </c>
      <c r="CH64" s="76" t="s">
        <v>119</v>
      </c>
      <c r="CI64" s="14" t="s">
        <v>110</v>
      </c>
      <c r="CJ64" s="14" t="s">
        <v>119</v>
      </c>
      <c r="CK64" s="14" t="s">
        <v>125</v>
      </c>
      <c r="CL64" s="14" t="s">
        <v>110</v>
      </c>
      <c r="CM64" s="14" t="s">
        <v>120</v>
      </c>
      <c r="CN64" s="20" t="s">
        <v>525</v>
      </c>
      <c r="CO64" t="s">
        <v>786</v>
      </c>
      <c r="CP64">
        <f>IFERROR(VLOOKUP(H64,'Lista Lideres'!$A$1:$B$350,2,0),0)</f>
        <v>0</v>
      </c>
    </row>
    <row r="65" spans="1:94" ht="14.4" hidden="1" x14ac:dyDescent="0.3">
      <c r="A65" s="6">
        <v>45580.636252974538</v>
      </c>
      <c r="B65" s="14" t="s">
        <v>91</v>
      </c>
      <c r="C65" s="7" t="s">
        <v>783</v>
      </c>
      <c r="D65" s="7" t="s">
        <v>93</v>
      </c>
      <c r="E65" s="7" t="s">
        <v>204</v>
      </c>
      <c r="F65" s="7" t="s">
        <v>96</v>
      </c>
      <c r="G65" s="7" t="s">
        <v>98</v>
      </c>
      <c r="H65" s="7" t="s">
        <v>98</v>
      </c>
      <c r="I65" s="7" t="s">
        <v>161</v>
      </c>
      <c r="J65" s="7" t="s">
        <v>101</v>
      </c>
      <c r="K65" s="7" t="s">
        <v>191</v>
      </c>
      <c r="L65" s="75" t="s">
        <v>103</v>
      </c>
      <c r="M65" s="58" t="s">
        <v>104</v>
      </c>
      <c r="N65" s="75" t="s">
        <v>388</v>
      </c>
      <c r="O65" s="75" t="s">
        <v>106</v>
      </c>
      <c r="P65" s="75" t="s">
        <v>175</v>
      </c>
      <c r="Q65" s="106" t="s">
        <v>163</v>
      </c>
      <c r="R65" s="7" t="s">
        <v>164</v>
      </c>
      <c r="S65" s="7" t="s">
        <v>119</v>
      </c>
      <c r="T65" s="7" t="s">
        <v>119</v>
      </c>
      <c r="U65" s="7" t="s">
        <v>119</v>
      </c>
      <c r="V65" s="75" t="s">
        <v>126</v>
      </c>
      <c r="W65" s="75" t="s">
        <v>113</v>
      </c>
      <c r="X65" s="106" t="s">
        <v>153</v>
      </c>
      <c r="Y65" s="71" t="s">
        <v>111</v>
      </c>
      <c r="Z65" s="7" t="s">
        <v>111</v>
      </c>
      <c r="AA65" s="7" t="s">
        <v>111</v>
      </c>
      <c r="AB65" s="7" t="s">
        <v>110</v>
      </c>
      <c r="AC65" s="75" t="s">
        <v>110</v>
      </c>
      <c r="AD65" s="75" t="s">
        <v>166</v>
      </c>
      <c r="AE65" s="75" t="s">
        <v>118</v>
      </c>
      <c r="AF65" s="87" t="s">
        <v>119</v>
      </c>
      <c r="AG65" s="75" t="s">
        <v>110</v>
      </c>
      <c r="AH65" s="7" t="s">
        <v>110</v>
      </c>
      <c r="AI65" s="75" t="s">
        <v>122</v>
      </c>
      <c r="AJ65" s="75" t="s">
        <v>110</v>
      </c>
      <c r="AK65" s="75" t="s">
        <v>110</v>
      </c>
      <c r="AL65" s="7" t="s">
        <v>110</v>
      </c>
      <c r="AM65" s="7" t="s">
        <v>110</v>
      </c>
      <c r="AN65" s="7" t="s">
        <v>123</v>
      </c>
      <c r="AO65" s="75" t="s">
        <v>110</v>
      </c>
      <c r="AP65" s="7" t="s">
        <v>110</v>
      </c>
      <c r="AQ65" s="75" t="s">
        <v>124</v>
      </c>
      <c r="AR65" s="75" t="s">
        <v>110</v>
      </c>
      <c r="AS65" s="7" t="s">
        <v>110</v>
      </c>
      <c r="AT65" s="9" t="s">
        <v>110</v>
      </c>
      <c r="AU65" s="10" t="s">
        <v>110</v>
      </c>
      <c r="AV65" s="7" t="s">
        <v>110</v>
      </c>
      <c r="AW65" s="7" t="s">
        <v>110</v>
      </c>
      <c r="AX65" s="7" t="s">
        <v>119</v>
      </c>
      <c r="AY65" s="7" t="s">
        <v>111</v>
      </c>
      <c r="AZ65" s="75" t="s">
        <v>126</v>
      </c>
      <c r="BA65" s="75" t="s">
        <v>111</v>
      </c>
      <c r="BB65" s="75" t="s">
        <v>126</v>
      </c>
      <c r="BC65" s="75" t="s">
        <v>110</v>
      </c>
      <c r="BD65" s="87" t="s">
        <v>126</v>
      </c>
      <c r="BE65" s="75" t="s">
        <v>126</v>
      </c>
      <c r="BF65" s="75" t="s">
        <v>110</v>
      </c>
      <c r="BG65" s="7" t="s">
        <v>119</v>
      </c>
      <c r="BH65" s="75" t="s">
        <v>126</v>
      </c>
      <c r="BI65" s="7" t="s">
        <v>110</v>
      </c>
      <c r="BJ65" s="75" t="s">
        <v>110</v>
      </c>
      <c r="BK65" s="7" t="s">
        <v>110</v>
      </c>
      <c r="BL65" s="7" t="s">
        <v>126</v>
      </c>
      <c r="BM65" s="7" t="s">
        <v>110</v>
      </c>
      <c r="BN65" s="11" t="s">
        <v>119</v>
      </c>
      <c r="BO65" s="7" t="s">
        <v>110</v>
      </c>
      <c r="BP65" s="7" t="s">
        <v>111</v>
      </c>
      <c r="BQ65" s="7" t="s">
        <v>110</v>
      </c>
      <c r="BR65" s="7" t="s">
        <v>110</v>
      </c>
      <c r="BS65" s="75" t="s">
        <v>110</v>
      </c>
      <c r="BT65" s="7" t="s">
        <v>110</v>
      </c>
      <c r="BU65" s="7" t="s">
        <v>110</v>
      </c>
      <c r="BV65" s="7" t="s">
        <v>110</v>
      </c>
      <c r="BW65" s="7" t="s">
        <v>110</v>
      </c>
      <c r="BX65" s="7" t="s">
        <v>125</v>
      </c>
      <c r="BY65" s="75" t="s">
        <v>110</v>
      </c>
      <c r="BZ65" s="7" t="s">
        <v>111</v>
      </c>
      <c r="CA65" s="7" t="s">
        <v>119</v>
      </c>
      <c r="CB65" s="7" t="s">
        <v>111</v>
      </c>
      <c r="CC65" s="7" t="s">
        <v>110</v>
      </c>
      <c r="CD65" s="7" t="s">
        <v>110</v>
      </c>
      <c r="CE65" s="7" t="s">
        <v>110</v>
      </c>
      <c r="CF65" s="7" t="s">
        <v>111</v>
      </c>
      <c r="CG65" s="7" t="s">
        <v>119</v>
      </c>
      <c r="CH65" s="75" t="s">
        <v>110</v>
      </c>
      <c r="CI65" s="7" t="s">
        <v>111</v>
      </c>
      <c r="CJ65" s="7" t="s">
        <v>119</v>
      </c>
      <c r="CK65" s="7" t="s">
        <v>126</v>
      </c>
      <c r="CL65" s="7" t="s">
        <v>119</v>
      </c>
      <c r="CM65" s="7" t="s">
        <v>110</v>
      </c>
      <c r="CN65" s="21"/>
      <c r="CO65" t="s">
        <v>785</v>
      </c>
      <c r="CP65">
        <f>IFERROR(VLOOKUP(H65,'Lista Lideres'!$A$1:$B$350,2,0),0)</f>
        <v>0</v>
      </c>
    </row>
    <row r="66" spans="1:94" ht="13.8" hidden="1" x14ac:dyDescent="0.3">
      <c r="A66" s="29">
        <v>45561.792379803243</v>
      </c>
      <c r="B66" s="30" t="s">
        <v>169</v>
      </c>
      <c r="C66" s="30" t="s">
        <v>782</v>
      </c>
      <c r="D66" s="30" t="s">
        <v>93</v>
      </c>
      <c r="E66" s="30" t="s">
        <v>199</v>
      </c>
      <c r="F66" s="30" t="s">
        <v>146</v>
      </c>
      <c r="G66" s="30" t="s">
        <v>367</v>
      </c>
      <c r="H66" s="30" t="s">
        <v>367</v>
      </c>
      <c r="I66" s="30" t="s">
        <v>100</v>
      </c>
      <c r="J66" s="30" t="s">
        <v>101</v>
      </c>
      <c r="K66" s="30" t="s">
        <v>174</v>
      </c>
      <c r="L66" s="79" t="s">
        <v>135</v>
      </c>
      <c r="M66" s="58" t="s">
        <v>351</v>
      </c>
      <c r="N66" s="79" t="s">
        <v>282</v>
      </c>
      <c r="O66" s="79" t="s">
        <v>352</v>
      </c>
      <c r="P66" s="79" t="s">
        <v>264</v>
      </c>
      <c r="Q66" s="110" t="s">
        <v>151</v>
      </c>
      <c r="R66" s="30" t="s">
        <v>164</v>
      </c>
      <c r="S66" s="30" t="s">
        <v>119</v>
      </c>
      <c r="T66" s="30" t="s">
        <v>119</v>
      </c>
      <c r="U66" s="30" t="s">
        <v>110</v>
      </c>
      <c r="V66" s="79" t="s">
        <v>126</v>
      </c>
      <c r="W66" s="79" t="s">
        <v>152</v>
      </c>
      <c r="X66" s="110" t="s">
        <v>235</v>
      </c>
      <c r="Y66" s="30" t="s">
        <v>206</v>
      </c>
      <c r="Z66" s="30" t="s">
        <v>119</v>
      </c>
      <c r="AA66" s="30" t="s">
        <v>119</v>
      </c>
      <c r="AB66" s="30" t="s">
        <v>111</v>
      </c>
      <c r="AC66" s="79" t="s">
        <v>110</v>
      </c>
      <c r="AD66" s="79" t="s">
        <v>166</v>
      </c>
      <c r="AE66" s="79" t="s">
        <v>138</v>
      </c>
      <c r="AF66" s="91" t="s">
        <v>119</v>
      </c>
      <c r="AG66" s="79" t="s">
        <v>111</v>
      </c>
      <c r="AH66" s="30" t="s">
        <v>122</v>
      </c>
      <c r="AI66" s="79" t="s">
        <v>154</v>
      </c>
      <c r="AJ66" s="79" t="s">
        <v>110</v>
      </c>
      <c r="AK66" s="79" t="s">
        <v>110</v>
      </c>
      <c r="AL66" s="30" t="s">
        <v>122</v>
      </c>
      <c r="AM66" s="30" t="s">
        <v>123</v>
      </c>
      <c r="AN66" s="30" t="s">
        <v>123</v>
      </c>
      <c r="AO66" s="79" t="s">
        <v>123</v>
      </c>
      <c r="AP66" s="30" t="s">
        <v>123</v>
      </c>
      <c r="AQ66" s="79" t="s">
        <v>126</v>
      </c>
      <c r="AR66" s="79" t="s">
        <v>119</v>
      </c>
      <c r="AS66" s="30" t="s">
        <v>110</v>
      </c>
      <c r="AT66" s="16" t="s">
        <v>111</v>
      </c>
      <c r="AU66" s="17" t="s">
        <v>110</v>
      </c>
      <c r="AV66" s="30" t="s">
        <v>110</v>
      </c>
      <c r="AW66" s="30" t="s">
        <v>111</v>
      </c>
      <c r="AX66" s="30" t="s">
        <v>110</v>
      </c>
      <c r="AY66" s="30" t="s">
        <v>111</v>
      </c>
      <c r="AZ66" s="79" t="s">
        <v>126</v>
      </c>
      <c r="BA66" s="79" t="s">
        <v>110</v>
      </c>
      <c r="BB66" s="79" t="s">
        <v>139</v>
      </c>
      <c r="BC66" s="79" t="s">
        <v>119</v>
      </c>
      <c r="BD66" s="91" t="s">
        <v>124</v>
      </c>
      <c r="BE66" s="79" t="s">
        <v>140</v>
      </c>
      <c r="BF66" s="79" t="s">
        <v>110</v>
      </c>
      <c r="BG66" s="30" t="s">
        <v>119</v>
      </c>
      <c r="BH66" s="79" t="s">
        <v>126</v>
      </c>
      <c r="BI66" s="30" t="s">
        <v>110</v>
      </c>
      <c r="BJ66" s="79" t="s">
        <v>111</v>
      </c>
      <c r="BK66" s="30" t="s">
        <v>122</v>
      </c>
      <c r="BL66" s="30" t="s">
        <v>124</v>
      </c>
      <c r="BM66" s="30" t="s">
        <v>209</v>
      </c>
      <c r="BN66" s="18" t="s">
        <v>110</v>
      </c>
      <c r="BO66" s="30" t="s">
        <v>110</v>
      </c>
      <c r="BP66" s="30" t="s">
        <v>111</v>
      </c>
      <c r="BQ66" s="30" t="s">
        <v>110</v>
      </c>
      <c r="BR66" s="30" t="s">
        <v>110</v>
      </c>
      <c r="BS66" s="79" t="s">
        <v>119</v>
      </c>
      <c r="BT66" s="30" t="s">
        <v>110</v>
      </c>
      <c r="BU66" s="30" t="s">
        <v>110</v>
      </c>
      <c r="BV66" s="30" t="s">
        <v>111</v>
      </c>
      <c r="BW66" s="30" t="s">
        <v>110</v>
      </c>
      <c r="BX66" s="30" t="s">
        <v>125</v>
      </c>
      <c r="BY66" s="79" t="s">
        <v>119</v>
      </c>
      <c r="BZ66" s="30" t="s">
        <v>110</v>
      </c>
      <c r="CA66" s="30" t="s">
        <v>119</v>
      </c>
      <c r="CB66" s="30" t="s">
        <v>110</v>
      </c>
      <c r="CC66" s="30" t="s">
        <v>129</v>
      </c>
      <c r="CD66" s="30" t="s">
        <v>110</v>
      </c>
      <c r="CE66" s="30" t="s">
        <v>110</v>
      </c>
      <c r="CF66" s="30" t="s">
        <v>119</v>
      </c>
      <c r="CG66" s="30" t="s">
        <v>119</v>
      </c>
      <c r="CH66" s="79" t="s">
        <v>119</v>
      </c>
      <c r="CI66" s="30" t="s">
        <v>111</v>
      </c>
      <c r="CJ66" s="30" t="s">
        <v>119</v>
      </c>
      <c r="CK66" s="30" t="s">
        <v>124</v>
      </c>
      <c r="CL66" s="30" t="s">
        <v>119</v>
      </c>
      <c r="CM66" s="30" t="s">
        <v>119</v>
      </c>
      <c r="CN66" s="27" t="s">
        <v>368</v>
      </c>
      <c r="CO66" t="s">
        <v>786</v>
      </c>
      <c r="CP66">
        <f>IFERROR(VLOOKUP(H66,'Lista Lideres'!$A$1:$B$350,2,0),0)</f>
        <v>1</v>
      </c>
    </row>
    <row r="67" spans="1:94" ht="13.8" hidden="1" x14ac:dyDescent="0.3">
      <c r="A67" s="25">
        <v>45562.698017280098</v>
      </c>
      <c r="B67" s="30" t="s">
        <v>169</v>
      </c>
      <c r="C67" s="26" t="s">
        <v>782</v>
      </c>
      <c r="D67" s="26" t="s">
        <v>93</v>
      </c>
      <c r="E67" s="26" t="s">
        <v>236</v>
      </c>
      <c r="F67" s="26" t="s">
        <v>171</v>
      </c>
      <c r="G67" s="26" t="s">
        <v>369</v>
      </c>
      <c r="H67" s="26" t="s">
        <v>369</v>
      </c>
      <c r="I67" s="26" t="s">
        <v>100</v>
      </c>
      <c r="J67" s="26" t="s">
        <v>173</v>
      </c>
      <c r="K67" s="26" t="s">
        <v>191</v>
      </c>
      <c r="L67" s="80" t="s">
        <v>213</v>
      </c>
      <c r="M67" s="58" t="s">
        <v>351</v>
      </c>
      <c r="N67" s="80" t="s">
        <v>282</v>
      </c>
      <c r="O67" s="80" t="s">
        <v>352</v>
      </c>
      <c r="P67" s="80" t="s">
        <v>175</v>
      </c>
      <c r="Q67" s="111" t="s">
        <v>163</v>
      </c>
      <c r="R67" s="26" t="s">
        <v>164</v>
      </c>
      <c r="S67" s="26" t="s">
        <v>119</v>
      </c>
      <c r="T67" s="26" t="s">
        <v>119</v>
      </c>
      <c r="U67" s="26" t="s">
        <v>119</v>
      </c>
      <c r="V67" s="80" t="s">
        <v>126</v>
      </c>
      <c r="W67" s="80" t="s">
        <v>363</v>
      </c>
      <c r="X67" s="111" t="s">
        <v>114</v>
      </c>
      <c r="Y67" s="26" t="s">
        <v>111</v>
      </c>
      <c r="Z67" s="26" t="s">
        <v>119</v>
      </c>
      <c r="AA67" s="26" t="s">
        <v>119</v>
      </c>
      <c r="AB67" s="26" t="s">
        <v>111</v>
      </c>
      <c r="AC67" s="80" t="s">
        <v>110</v>
      </c>
      <c r="AD67" s="80" t="s">
        <v>166</v>
      </c>
      <c r="AE67" s="80" t="s">
        <v>167</v>
      </c>
      <c r="AF67" s="92" t="s">
        <v>119</v>
      </c>
      <c r="AG67" s="80" t="s">
        <v>110</v>
      </c>
      <c r="AH67" s="26" t="s">
        <v>177</v>
      </c>
      <c r="AI67" s="80" t="s">
        <v>154</v>
      </c>
      <c r="AJ67" s="80" t="s">
        <v>197</v>
      </c>
      <c r="AK67" s="80" t="s">
        <v>121</v>
      </c>
      <c r="AL67" s="26" t="s">
        <v>122</v>
      </c>
      <c r="AM67" s="26" t="s">
        <v>123</v>
      </c>
      <c r="AN67" s="26" t="s">
        <v>123</v>
      </c>
      <c r="AO67" s="80" t="s">
        <v>123</v>
      </c>
      <c r="AP67" s="26" t="s">
        <v>178</v>
      </c>
      <c r="AQ67" s="80" t="s">
        <v>126</v>
      </c>
      <c r="AR67" s="80" t="s">
        <v>110</v>
      </c>
      <c r="AS67" s="26" t="s">
        <v>119</v>
      </c>
      <c r="AT67" s="9" t="s">
        <v>129</v>
      </c>
      <c r="AU67" s="10" t="s">
        <v>110</v>
      </c>
      <c r="AV67" s="26" t="s">
        <v>110</v>
      </c>
      <c r="AW67" s="26" t="s">
        <v>110</v>
      </c>
      <c r="AX67" s="26" t="s">
        <v>110</v>
      </c>
      <c r="AY67" s="26" t="s">
        <v>111</v>
      </c>
      <c r="AZ67" s="80" t="s">
        <v>142</v>
      </c>
      <c r="BA67" s="80" t="s">
        <v>110</v>
      </c>
      <c r="BB67" s="80" t="s">
        <v>139</v>
      </c>
      <c r="BC67" s="80" t="s">
        <v>111</v>
      </c>
      <c r="BD67" s="92" t="s">
        <v>124</v>
      </c>
      <c r="BE67" s="80" t="s">
        <v>140</v>
      </c>
      <c r="BF67" s="80" t="s">
        <v>141</v>
      </c>
      <c r="BG67" s="26" t="s">
        <v>119</v>
      </c>
      <c r="BH67" s="80" t="s">
        <v>142</v>
      </c>
      <c r="BI67" s="26" t="s">
        <v>111</v>
      </c>
      <c r="BJ67" s="80" t="s">
        <v>111</v>
      </c>
      <c r="BK67" s="26" t="s">
        <v>122</v>
      </c>
      <c r="BL67" s="26" t="s">
        <v>124</v>
      </c>
      <c r="BM67" s="26" t="s">
        <v>110</v>
      </c>
      <c r="BN67" s="11" t="s">
        <v>119</v>
      </c>
      <c r="BO67" s="26" t="s">
        <v>111</v>
      </c>
      <c r="BP67" s="26" t="s">
        <v>120</v>
      </c>
      <c r="BQ67" s="26" t="s">
        <v>119</v>
      </c>
      <c r="BR67" s="26" t="s">
        <v>119</v>
      </c>
      <c r="BS67" s="80" t="s">
        <v>110</v>
      </c>
      <c r="BT67" s="26" t="s">
        <v>111</v>
      </c>
      <c r="BU67" s="26" t="s">
        <v>110</v>
      </c>
      <c r="BV67" s="26" t="s">
        <v>120</v>
      </c>
      <c r="BW67" s="26" t="s">
        <v>110</v>
      </c>
      <c r="BX67" s="26" t="s">
        <v>126</v>
      </c>
      <c r="BY67" s="80" t="s">
        <v>119</v>
      </c>
      <c r="BZ67" s="26" t="s">
        <v>115</v>
      </c>
      <c r="CA67" s="26" t="s">
        <v>119</v>
      </c>
      <c r="CB67" s="26" t="s">
        <v>110</v>
      </c>
      <c r="CC67" s="26" t="s">
        <v>119</v>
      </c>
      <c r="CD67" s="26" t="s">
        <v>110</v>
      </c>
      <c r="CE67" s="26" t="s">
        <v>209</v>
      </c>
      <c r="CF67" s="26" t="s">
        <v>119</v>
      </c>
      <c r="CG67" s="26" t="s">
        <v>129</v>
      </c>
      <c r="CH67" s="80" t="s">
        <v>119</v>
      </c>
      <c r="CI67" s="26" t="s">
        <v>111</v>
      </c>
      <c r="CJ67" s="26" t="s">
        <v>111</v>
      </c>
      <c r="CK67" s="26" t="s">
        <v>124</v>
      </c>
      <c r="CL67" s="26" t="s">
        <v>110</v>
      </c>
      <c r="CM67" s="26" t="s">
        <v>110</v>
      </c>
      <c r="CN67" s="27" t="s">
        <v>370</v>
      </c>
      <c r="CO67" t="s">
        <v>786</v>
      </c>
      <c r="CP67">
        <f>IFERROR(VLOOKUP(H67,'Lista Lideres'!$A$1:$B$350,2,0),0)</f>
        <v>1</v>
      </c>
    </row>
    <row r="68" spans="1:94" ht="13.8" hidden="1" x14ac:dyDescent="0.3">
      <c r="A68" s="29">
        <v>45561.904292974534</v>
      </c>
      <c r="B68" s="30" t="s">
        <v>169</v>
      </c>
      <c r="C68" s="30" t="s">
        <v>782</v>
      </c>
      <c r="D68" s="30" t="s">
        <v>93</v>
      </c>
      <c r="E68" s="30" t="s">
        <v>300</v>
      </c>
      <c r="F68" s="30" t="s">
        <v>171</v>
      </c>
      <c r="G68" s="30" t="s">
        <v>371</v>
      </c>
      <c r="H68" s="30" t="s">
        <v>372</v>
      </c>
      <c r="I68" s="30" t="s">
        <v>100</v>
      </c>
      <c r="J68" s="30" t="s">
        <v>196</v>
      </c>
      <c r="K68" s="30" t="s">
        <v>174</v>
      </c>
      <c r="L68" s="79" t="s">
        <v>162</v>
      </c>
      <c r="M68" s="58" t="s">
        <v>351</v>
      </c>
      <c r="N68" s="79" t="s">
        <v>282</v>
      </c>
      <c r="O68" s="79" t="s">
        <v>352</v>
      </c>
      <c r="P68" s="79" t="s">
        <v>175</v>
      </c>
      <c r="Q68" s="110" t="s">
        <v>108</v>
      </c>
      <c r="R68" s="30" t="s">
        <v>109</v>
      </c>
      <c r="S68" s="30" t="s">
        <v>110</v>
      </c>
      <c r="T68" s="30" t="s">
        <v>110</v>
      </c>
      <c r="U68" s="30" t="s">
        <v>119</v>
      </c>
      <c r="V68" s="79" t="s">
        <v>136</v>
      </c>
      <c r="W68" s="79" t="s">
        <v>152</v>
      </c>
      <c r="X68" s="110" t="s">
        <v>165</v>
      </c>
      <c r="Y68" s="30" t="s">
        <v>115</v>
      </c>
      <c r="Z68" s="30" t="s">
        <v>115</v>
      </c>
      <c r="AA68" s="30" t="s">
        <v>115</v>
      </c>
      <c r="AB68" s="30" t="s">
        <v>115</v>
      </c>
      <c r="AC68" s="79" t="s">
        <v>116</v>
      </c>
      <c r="AD68" s="79" t="s">
        <v>117</v>
      </c>
      <c r="AE68" s="79" t="s">
        <v>167</v>
      </c>
      <c r="AF68" s="91" t="s">
        <v>120</v>
      </c>
      <c r="AG68" s="79" t="s">
        <v>119</v>
      </c>
      <c r="AH68" s="30" t="s">
        <v>128</v>
      </c>
      <c r="AI68" s="79" t="s">
        <v>128</v>
      </c>
      <c r="AJ68" s="79" t="s">
        <v>128</v>
      </c>
      <c r="AK68" s="79" t="s">
        <v>121</v>
      </c>
      <c r="AL68" s="30" t="s">
        <v>128</v>
      </c>
      <c r="AM68" s="30" t="s">
        <v>128</v>
      </c>
      <c r="AN68" s="30" t="s">
        <v>128</v>
      </c>
      <c r="AO68" s="79" t="s">
        <v>128</v>
      </c>
      <c r="AP68" s="30" t="s">
        <v>128</v>
      </c>
      <c r="AQ68" s="79" t="s">
        <v>126</v>
      </c>
      <c r="AR68" s="79" t="s">
        <v>111</v>
      </c>
      <c r="AS68" s="30" t="s">
        <v>111</v>
      </c>
      <c r="AT68" s="16" t="s">
        <v>119</v>
      </c>
      <c r="AU68" s="17" t="s">
        <v>111</v>
      </c>
      <c r="AV68" s="30" t="s">
        <v>119</v>
      </c>
      <c r="AW68" s="30" t="s">
        <v>119</v>
      </c>
      <c r="AX68" s="30" t="s">
        <v>110</v>
      </c>
      <c r="AY68" s="30" t="s">
        <v>120</v>
      </c>
      <c r="AZ68" s="79" t="s">
        <v>126</v>
      </c>
      <c r="BA68" s="79" t="s">
        <v>111</v>
      </c>
      <c r="BB68" s="79" t="s">
        <v>125</v>
      </c>
      <c r="BC68" s="79" t="s">
        <v>110</v>
      </c>
      <c r="BD68" s="91" t="s">
        <v>126</v>
      </c>
      <c r="BE68" s="79" t="s">
        <v>126</v>
      </c>
      <c r="BF68" s="79" t="s">
        <v>128</v>
      </c>
      <c r="BG68" s="30" t="s">
        <v>110</v>
      </c>
      <c r="BH68" s="79" t="s">
        <v>124</v>
      </c>
      <c r="BI68" s="30" t="s">
        <v>111</v>
      </c>
      <c r="BJ68" s="79" t="s">
        <v>110</v>
      </c>
      <c r="BK68" s="30" t="s">
        <v>128</v>
      </c>
      <c r="BL68" s="30" t="s">
        <v>126</v>
      </c>
      <c r="BM68" s="30" t="s">
        <v>110</v>
      </c>
      <c r="BN68" s="18" t="s">
        <v>111</v>
      </c>
      <c r="BO68" s="30" t="s">
        <v>111</v>
      </c>
      <c r="BP68" s="30" t="s">
        <v>120</v>
      </c>
      <c r="BQ68" s="30" t="s">
        <v>111</v>
      </c>
      <c r="BR68" s="30" t="s">
        <v>111</v>
      </c>
      <c r="BS68" s="79" t="s">
        <v>111</v>
      </c>
      <c r="BT68" s="30" t="s">
        <v>115</v>
      </c>
      <c r="BU68" s="30" t="s">
        <v>115</v>
      </c>
      <c r="BV68" s="30" t="s">
        <v>110</v>
      </c>
      <c r="BW68" s="30" t="s">
        <v>123</v>
      </c>
      <c r="BX68" s="30" t="s">
        <v>124</v>
      </c>
      <c r="BY68" s="79" t="s">
        <v>111</v>
      </c>
      <c r="BZ68" s="30" t="s">
        <v>115</v>
      </c>
      <c r="CA68" s="30" t="s">
        <v>111</v>
      </c>
      <c r="CB68" s="30" t="s">
        <v>119</v>
      </c>
      <c r="CC68" s="30" t="s">
        <v>111</v>
      </c>
      <c r="CD68" s="30" t="s">
        <v>119</v>
      </c>
      <c r="CE68" s="30" t="s">
        <v>116</v>
      </c>
      <c r="CF68" s="30" t="s">
        <v>111</v>
      </c>
      <c r="CG68" s="30" t="s">
        <v>110</v>
      </c>
      <c r="CH68" s="79" t="s">
        <v>110</v>
      </c>
      <c r="CI68" s="30" t="s">
        <v>115</v>
      </c>
      <c r="CJ68" s="30" t="s">
        <v>110</v>
      </c>
      <c r="CK68" s="30" t="s">
        <v>126</v>
      </c>
      <c r="CL68" s="30" t="s">
        <v>111</v>
      </c>
      <c r="CM68" s="30" t="s">
        <v>111</v>
      </c>
      <c r="CN68" s="34" t="s">
        <v>373</v>
      </c>
      <c r="CO68" t="s">
        <v>786</v>
      </c>
      <c r="CP68">
        <f>IFERROR(VLOOKUP(H68,'Lista Lideres'!$A$1:$B$350,2,0),0)</f>
        <v>0</v>
      </c>
    </row>
    <row r="69" spans="1:94" ht="14.4" hidden="1" x14ac:dyDescent="0.3">
      <c r="A69" s="25">
        <v>45580.6545759375</v>
      </c>
      <c r="B69" s="30" t="s">
        <v>169</v>
      </c>
      <c r="C69" s="26" t="s">
        <v>782</v>
      </c>
      <c r="D69" s="26" t="s">
        <v>93</v>
      </c>
      <c r="E69" s="26" t="s">
        <v>236</v>
      </c>
      <c r="F69" s="26" t="s">
        <v>171</v>
      </c>
      <c r="G69" s="26" t="s">
        <v>374</v>
      </c>
      <c r="H69" s="26" t="s">
        <v>375</v>
      </c>
      <c r="I69" s="26" t="s">
        <v>100</v>
      </c>
      <c r="J69" s="26" t="s">
        <v>173</v>
      </c>
      <c r="K69" s="26" t="s">
        <v>191</v>
      </c>
      <c r="L69" s="80" t="s">
        <v>135</v>
      </c>
      <c r="M69" s="58" t="s">
        <v>351</v>
      </c>
      <c r="N69" s="80" t="s">
        <v>282</v>
      </c>
      <c r="O69" s="80" t="s">
        <v>352</v>
      </c>
      <c r="P69" s="80" t="s">
        <v>175</v>
      </c>
      <c r="Q69" s="111" t="s">
        <v>108</v>
      </c>
      <c r="R69" s="26" t="s">
        <v>164</v>
      </c>
      <c r="S69" s="26" t="s">
        <v>110</v>
      </c>
      <c r="T69" s="26" t="s">
        <v>110</v>
      </c>
      <c r="U69" s="26" t="s">
        <v>110</v>
      </c>
      <c r="V69" s="80" t="s">
        <v>112</v>
      </c>
      <c r="W69" s="80" t="s">
        <v>152</v>
      </c>
      <c r="X69" s="111" t="s">
        <v>235</v>
      </c>
      <c r="Y69" s="26" t="s">
        <v>111</v>
      </c>
      <c r="Z69" s="26" t="s">
        <v>115</v>
      </c>
      <c r="AA69" s="26" t="s">
        <v>111</v>
      </c>
      <c r="AB69" s="26" t="s">
        <v>111</v>
      </c>
      <c r="AC69" s="80" t="s">
        <v>111</v>
      </c>
      <c r="AD69" s="80" t="s">
        <v>137</v>
      </c>
      <c r="AE69" s="80" t="s">
        <v>118</v>
      </c>
      <c r="AF69" s="92" t="s">
        <v>111</v>
      </c>
      <c r="AG69" s="80" t="s">
        <v>119</v>
      </c>
      <c r="AH69" s="26" t="s">
        <v>128</v>
      </c>
      <c r="AI69" s="80" t="s">
        <v>122</v>
      </c>
      <c r="AJ69" s="80" t="s">
        <v>121</v>
      </c>
      <c r="AK69" s="80" t="s">
        <v>122</v>
      </c>
      <c r="AL69" s="26" t="s">
        <v>128</v>
      </c>
      <c r="AM69" s="26" t="s">
        <v>128</v>
      </c>
      <c r="AN69" s="26" t="s">
        <v>128</v>
      </c>
      <c r="AO69" s="80" t="s">
        <v>128</v>
      </c>
      <c r="AP69" s="26" t="s">
        <v>128</v>
      </c>
      <c r="AQ69" s="80" t="s">
        <v>126</v>
      </c>
      <c r="AR69" s="80" t="s">
        <v>110</v>
      </c>
      <c r="AS69" s="26" t="s">
        <v>110</v>
      </c>
      <c r="AT69" s="9" t="s">
        <v>119</v>
      </c>
      <c r="AU69" s="10" t="s">
        <v>111</v>
      </c>
      <c r="AV69" s="26" t="s">
        <v>119</v>
      </c>
      <c r="AW69" s="26" t="s">
        <v>119</v>
      </c>
      <c r="AX69" s="26" t="s">
        <v>119</v>
      </c>
      <c r="AY69" s="26" t="s">
        <v>111</v>
      </c>
      <c r="AZ69" s="80" t="s">
        <v>125</v>
      </c>
      <c r="BA69" s="80" t="s">
        <v>111</v>
      </c>
      <c r="BB69" s="80" t="s">
        <v>142</v>
      </c>
      <c r="BC69" s="80" t="s">
        <v>111</v>
      </c>
      <c r="BD69" s="92" t="s">
        <v>125</v>
      </c>
      <c r="BE69" s="80" t="s">
        <v>142</v>
      </c>
      <c r="BF69" s="80" t="s">
        <v>121</v>
      </c>
      <c r="BG69" s="26" t="s">
        <v>111</v>
      </c>
      <c r="BH69" s="80" t="s">
        <v>125</v>
      </c>
      <c r="BI69" s="26" t="s">
        <v>111</v>
      </c>
      <c r="BJ69" s="80" t="s">
        <v>119</v>
      </c>
      <c r="BK69" s="26" t="s">
        <v>128</v>
      </c>
      <c r="BL69" s="26" t="s">
        <v>125</v>
      </c>
      <c r="BM69" s="26" t="s">
        <v>110</v>
      </c>
      <c r="BN69" s="11" t="s">
        <v>111</v>
      </c>
      <c r="BO69" s="26" t="s">
        <v>111</v>
      </c>
      <c r="BP69" s="26" t="s">
        <v>111</v>
      </c>
      <c r="BQ69" s="26" t="s">
        <v>111</v>
      </c>
      <c r="BR69" s="26" t="s">
        <v>111</v>
      </c>
      <c r="BS69" s="80" t="s">
        <v>111</v>
      </c>
      <c r="BT69" s="26" t="s">
        <v>111</v>
      </c>
      <c r="BU69" s="26" t="s">
        <v>111</v>
      </c>
      <c r="BV69" s="26" t="s">
        <v>110</v>
      </c>
      <c r="BW69" s="26" t="s">
        <v>110</v>
      </c>
      <c r="BX69" s="26" t="s">
        <v>124</v>
      </c>
      <c r="BY69" s="80" t="s">
        <v>110</v>
      </c>
      <c r="BZ69" s="26" t="s">
        <v>111</v>
      </c>
      <c r="CA69" s="26" t="s">
        <v>110</v>
      </c>
      <c r="CB69" s="26" t="s">
        <v>119</v>
      </c>
      <c r="CC69" s="26" t="s">
        <v>111</v>
      </c>
      <c r="CD69" s="26" t="s">
        <v>119</v>
      </c>
      <c r="CE69" s="26" t="s">
        <v>110</v>
      </c>
      <c r="CF69" s="26" t="s">
        <v>110</v>
      </c>
      <c r="CG69" s="26" t="s">
        <v>110</v>
      </c>
      <c r="CH69" s="80" t="s">
        <v>111</v>
      </c>
      <c r="CI69" s="26" t="s">
        <v>111</v>
      </c>
      <c r="CJ69" s="26" t="s">
        <v>119</v>
      </c>
      <c r="CK69" s="26" t="s">
        <v>125</v>
      </c>
      <c r="CL69" s="26" t="s">
        <v>111</v>
      </c>
      <c r="CM69" s="26" t="s">
        <v>111</v>
      </c>
      <c r="CN69" s="33"/>
      <c r="CO69" t="s">
        <v>786</v>
      </c>
      <c r="CP69">
        <f>IFERROR(VLOOKUP(H69,'Lista Lideres'!$A$1:$B$350,2,0),0)</f>
        <v>0</v>
      </c>
    </row>
    <row r="70" spans="1:94" ht="14.4" hidden="1" x14ac:dyDescent="0.3">
      <c r="A70" s="39">
        <v>45581.455499490738</v>
      </c>
      <c r="B70" s="36" t="s">
        <v>252</v>
      </c>
      <c r="C70" s="36" t="s">
        <v>782</v>
      </c>
      <c r="D70" s="36" t="s">
        <v>93</v>
      </c>
      <c r="E70" s="36" t="s">
        <v>376</v>
      </c>
      <c r="F70" s="36" t="s">
        <v>146</v>
      </c>
      <c r="G70" s="36" t="s">
        <v>377</v>
      </c>
      <c r="H70" s="36" t="s">
        <v>378</v>
      </c>
      <c r="I70" s="36" t="s">
        <v>100</v>
      </c>
      <c r="J70" s="36" t="s">
        <v>101</v>
      </c>
      <c r="K70" s="36" t="s">
        <v>191</v>
      </c>
      <c r="L70" s="82" t="s">
        <v>150</v>
      </c>
      <c r="M70" s="58" t="s">
        <v>351</v>
      </c>
      <c r="N70" s="82" t="s">
        <v>282</v>
      </c>
      <c r="O70" s="82" t="s">
        <v>352</v>
      </c>
      <c r="P70" s="82" t="s">
        <v>175</v>
      </c>
      <c r="Q70" s="113" t="s">
        <v>108</v>
      </c>
      <c r="R70" s="36" t="s">
        <v>176</v>
      </c>
      <c r="S70" s="36" t="s">
        <v>110</v>
      </c>
      <c r="T70" s="36" t="s">
        <v>110</v>
      </c>
      <c r="U70" s="36" t="s">
        <v>119</v>
      </c>
      <c r="V70" s="82" t="s">
        <v>126</v>
      </c>
      <c r="W70" s="82" t="s">
        <v>379</v>
      </c>
      <c r="X70" s="113" t="s">
        <v>114</v>
      </c>
      <c r="Y70" s="36" t="s">
        <v>110</v>
      </c>
      <c r="Z70" s="36" t="s">
        <v>110</v>
      </c>
      <c r="AA70" s="36" t="s">
        <v>110</v>
      </c>
      <c r="AB70" s="36" t="s">
        <v>111</v>
      </c>
      <c r="AC70" s="82" t="s">
        <v>119</v>
      </c>
      <c r="AD70" s="82" t="s">
        <v>221</v>
      </c>
      <c r="AE70" s="82" t="s">
        <v>118</v>
      </c>
      <c r="AF70" s="94" t="s">
        <v>110</v>
      </c>
      <c r="AG70" s="82" t="s">
        <v>168</v>
      </c>
      <c r="AH70" s="36" t="s">
        <v>168</v>
      </c>
      <c r="AI70" s="82" t="s">
        <v>154</v>
      </c>
      <c r="AJ70" s="82" t="s">
        <v>197</v>
      </c>
      <c r="AK70" s="82" t="s">
        <v>225</v>
      </c>
      <c r="AL70" s="36" t="s">
        <v>110</v>
      </c>
      <c r="AM70" s="36" t="s">
        <v>110</v>
      </c>
      <c r="AN70" s="36" t="s">
        <v>123</v>
      </c>
      <c r="AO70" s="82" t="s">
        <v>110</v>
      </c>
      <c r="AP70" s="36" t="s">
        <v>110</v>
      </c>
      <c r="AQ70" s="82" t="s">
        <v>126</v>
      </c>
      <c r="AR70" s="82" t="s">
        <v>110</v>
      </c>
      <c r="AS70" s="36" t="s">
        <v>110</v>
      </c>
      <c r="AT70" s="16" t="s">
        <v>119</v>
      </c>
      <c r="AU70" s="17" t="s">
        <v>110</v>
      </c>
      <c r="AV70" s="36" t="s">
        <v>119</v>
      </c>
      <c r="AW70" s="36" t="s">
        <v>119</v>
      </c>
      <c r="AX70" s="36" t="s">
        <v>119</v>
      </c>
      <c r="AY70" s="36" t="s">
        <v>111</v>
      </c>
      <c r="AZ70" s="82" t="s">
        <v>126</v>
      </c>
      <c r="BA70" s="82" t="s">
        <v>110</v>
      </c>
      <c r="BB70" s="82" t="s">
        <v>139</v>
      </c>
      <c r="BC70" s="82" t="s">
        <v>111</v>
      </c>
      <c r="BD70" s="94" t="s">
        <v>126</v>
      </c>
      <c r="BE70" s="82" t="s">
        <v>140</v>
      </c>
      <c r="BF70" s="82" t="s">
        <v>141</v>
      </c>
      <c r="BG70" s="36" t="s">
        <v>110</v>
      </c>
      <c r="BH70" s="82" t="s">
        <v>125</v>
      </c>
      <c r="BI70" s="36" t="s">
        <v>111</v>
      </c>
      <c r="BJ70" s="82" t="s">
        <v>110</v>
      </c>
      <c r="BK70" s="36" t="s">
        <v>168</v>
      </c>
      <c r="BL70" s="36" t="s">
        <v>126</v>
      </c>
      <c r="BM70" s="36" t="s">
        <v>110</v>
      </c>
      <c r="BN70" s="18" t="s">
        <v>110</v>
      </c>
      <c r="BO70" s="36" t="s">
        <v>111</v>
      </c>
      <c r="BP70" s="36" t="s">
        <v>111</v>
      </c>
      <c r="BQ70" s="36" t="s">
        <v>110</v>
      </c>
      <c r="BR70" s="36" t="s">
        <v>110</v>
      </c>
      <c r="BS70" s="82" t="s">
        <v>110</v>
      </c>
      <c r="BT70" s="36" t="s">
        <v>111</v>
      </c>
      <c r="BU70" s="36" t="s">
        <v>110</v>
      </c>
      <c r="BV70" s="36" t="s">
        <v>110</v>
      </c>
      <c r="BW70" s="36" t="s">
        <v>110</v>
      </c>
      <c r="BX70" s="36" t="s">
        <v>126</v>
      </c>
      <c r="BY70" s="82" t="s">
        <v>110</v>
      </c>
      <c r="BZ70" s="36" t="s">
        <v>111</v>
      </c>
      <c r="CA70" s="36" t="s">
        <v>119</v>
      </c>
      <c r="CB70" s="36" t="s">
        <v>110</v>
      </c>
      <c r="CC70" s="36" t="s">
        <v>119</v>
      </c>
      <c r="CD70" s="36" t="s">
        <v>110</v>
      </c>
      <c r="CE70" s="36" t="s">
        <v>127</v>
      </c>
      <c r="CF70" s="36" t="s">
        <v>110</v>
      </c>
      <c r="CG70" s="36" t="s">
        <v>119</v>
      </c>
      <c r="CH70" s="82" t="s">
        <v>110</v>
      </c>
      <c r="CI70" s="36" t="s">
        <v>111</v>
      </c>
      <c r="CJ70" s="36" t="s">
        <v>119</v>
      </c>
      <c r="CK70" s="36" t="s">
        <v>126</v>
      </c>
      <c r="CL70" s="36" t="s">
        <v>110</v>
      </c>
      <c r="CM70" s="36" t="s">
        <v>110</v>
      </c>
      <c r="CN70" s="41"/>
      <c r="CO70" t="s">
        <v>786</v>
      </c>
      <c r="CP70">
        <f>IFERROR(VLOOKUP(H70,'Lista Lideres'!$A$1:$B$350,2,0),0)</f>
        <v>0</v>
      </c>
    </row>
    <row r="71" spans="1:94" ht="14.4" hidden="1" x14ac:dyDescent="0.3">
      <c r="A71" s="35">
        <v>45567.868903344905</v>
      </c>
      <c r="B71" s="36" t="s">
        <v>252</v>
      </c>
      <c r="C71" s="37" t="s">
        <v>782</v>
      </c>
      <c r="D71" s="37" t="s">
        <v>93</v>
      </c>
      <c r="E71" s="37" t="s">
        <v>380</v>
      </c>
      <c r="F71" s="37" t="s">
        <v>171</v>
      </c>
      <c r="G71" s="37" t="s">
        <v>366</v>
      </c>
      <c r="H71" s="37" t="s">
        <v>366</v>
      </c>
      <c r="I71" s="37" t="s">
        <v>100</v>
      </c>
      <c r="J71" s="37" t="s">
        <v>196</v>
      </c>
      <c r="K71" s="37" t="s">
        <v>102</v>
      </c>
      <c r="L71" s="81" t="s">
        <v>150</v>
      </c>
      <c r="M71" s="58" t="s">
        <v>351</v>
      </c>
      <c r="N71" s="81" t="s">
        <v>282</v>
      </c>
      <c r="O71" s="81" t="s">
        <v>352</v>
      </c>
      <c r="P71" s="81" t="s">
        <v>175</v>
      </c>
      <c r="Q71" s="112" t="s">
        <v>163</v>
      </c>
      <c r="R71" s="37" t="s">
        <v>164</v>
      </c>
      <c r="S71" s="37" t="s">
        <v>110</v>
      </c>
      <c r="T71" s="37" t="s">
        <v>110</v>
      </c>
      <c r="U71" s="37" t="s">
        <v>110</v>
      </c>
      <c r="V71" s="81" t="s">
        <v>126</v>
      </c>
      <c r="W71" s="81" t="s">
        <v>152</v>
      </c>
      <c r="X71" s="112" t="s">
        <v>165</v>
      </c>
      <c r="Y71" s="37" t="s">
        <v>110</v>
      </c>
      <c r="Z71" s="37" t="s">
        <v>110</v>
      </c>
      <c r="AA71" s="37" t="s">
        <v>110</v>
      </c>
      <c r="AB71" s="37" t="s">
        <v>110</v>
      </c>
      <c r="AC71" s="81" t="s">
        <v>110</v>
      </c>
      <c r="AD71" s="81" t="s">
        <v>166</v>
      </c>
      <c r="AE71" s="81" t="s">
        <v>118</v>
      </c>
      <c r="AF71" s="93" t="s">
        <v>110</v>
      </c>
      <c r="AG71" s="81" t="s">
        <v>110</v>
      </c>
      <c r="AH71" s="37" t="s">
        <v>110</v>
      </c>
      <c r="AI71" s="81" t="s">
        <v>110</v>
      </c>
      <c r="AJ71" s="81" t="s">
        <v>110</v>
      </c>
      <c r="AK71" s="81" t="s">
        <v>110</v>
      </c>
      <c r="AL71" s="37" t="s">
        <v>110</v>
      </c>
      <c r="AM71" s="37" t="s">
        <v>110</v>
      </c>
      <c r="AN71" s="37" t="s">
        <v>110</v>
      </c>
      <c r="AO71" s="81" t="s">
        <v>110</v>
      </c>
      <c r="AP71" s="37" t="s">
        <v>110</v>
      </c>
      <c r="AQ71" s="81" t="s">
        <v>126</v>
      </c>
      <c r="AR71" s="81" t="s">
        <v>110</v>
      </c>
      <c r="AS71" s="37" t="s">
        <v>110</v>
      </c>
      <c r="AT71" s="9" t="s">
        <v>119</v>
      </c>
      <c r="AU71" s="10" t="s">
        <v>110</v>
      </c>
      <c r="AV71" s="37" t="s">
        <v>129</v>
      </c>
      <c r="AW71" s="37" t="s">
        <v>119</v>
      </c>
      <c r="AX71" s="37" t="s">
        <v>110</v>
      </c>
      <c r="AY71" s="37" t="s">
        <v>111</v>
      </c>
      <c r="AZ71" s="81" t="s">
        <v>126</v>
      </c>
      <c r="BA71" s="81" t="s">
        <v>110</v>
      </c>
      <c r="BB71" s="81" t="s">
        <v>126</v>
      </c>
      <c r="BC71" s="81" t="s">
        <v>110</v>
      </c>
      <c r="BD71" s="93" t="s">
        <v>126</v>
      </c>
      <c r="BE71" s="81" t="s">
        <v>126</v>
      </c>
      <c r="BF71" s="81" t="s">
        <v>110</v>
      </c>
      <c r="BG71" s="37" t="s">
        <v>119</v>
      </c>
      <c r="BH71" s="81" t="s">
        <v>125</v>
      </c>
      <c r="BI71" s="37" t="s">
        <v>111</v>
      </c>
      <c r="BJ71" s="81" t="s">
        <v>110</v>
      </c>
      <c r="BK71" s="37" t="s">
        <v>110</v>
      </c>
      <c r="BL71" s="37" t="s">
        <v>126</v>
      </c>
      <c r="BM71" s="37" t="s">
        <v>110</v>
      </c>
      <c r="BN71" s="11" t="s">
        <v>111</v>
      </c>
      <c r="BO71" s="37" t="s">
        <v>110</v>
      </c>
      <c r="BP71" s="37" t="s">
        <v>120</v>
      </c>
      <c r="BQ71" s="37" t="s">
        <v>110</v>
      </c>
      <c r="BR71" s="37" t="s">
        <v>110</v>
      </c>
      <c r="BS71" s="81" t="s">
        <v>110</v>
      </c>
      <c r="BT71" s="37" t="s">
        <v>111</v>
      </c>
      <c r="BU71" s="37" t="s">
        <v>110</v>
      </c>
      <c r="BV71" s="37" t="s">
        <v>110</v>
      </c>
      <c r="BW71" s="37" t="s">
        <v>110</v>
      </c>
      <c r="BX71" s="37" t="s">
        <v>126</v>
      </c>
      <c r="BY71" s="81" t="s">
        <v>110</v>
      </c>
      <c r="BZ71" s="37" t="s">
        <v>115</v>
      </c>
      <c r="CA71" s="37" t="s">
        <v>110</v>
      </c>
      <c r="CB71" s="37" t="s">
        <v>110</v>
      </c>
      <c r="CC71" s="37" t="s">
        <v>110</v>
      </c>
      <c r="CD71" s="37" t="s">
        <v>110</v>
      </c>
      <c r="CE71" s="37" t="s">
        <v>110</v>
      </c>
      <c r="CF71" s="37" t="s">
        <v>110</v>
      </c>
      <c r="CG71" s="37" t="s">
        <v>119</v>
      </c>
      <c r="CH71" s="81" t="s">
        <v>110</v>
      </c>
      <c r="CI71" s="37" t="s">
        <v>110</v>
      </c>
      <c r="CJ71" s="37" t="s">
        <v>119</v>
      </c>
      <c r="CK71" s="37" t="s">
        <v>126</v>
      </c>
      <c r="CL71" s="37" t="s">
        <v>110</v>
      </c>
      <c r="CM71" s="37" t="s">
        <v>110</v>
      </c>
      <c r="CN71" s="41"/>
      <c r="CO71" t="s">
        <v>786</v>
      </c>
      <c r="CP71">
        <f>IFERROR(VLOOKUP(H71,'Lista Lideres'!$A$1:$B$350,2,0),0)</f>
        <v>0</v>
      </c>
    </row>
    <row r="72" spans="1:94" ht="13.8" hidden="1" x14ac:dyDescent="0.3">
      <c r="A72" s="39">
        <v>45577.473563993059</v>
      </c>
      <c r="B72" s="36" t="s">
        <v>252</v>
      </c>
      <c r="C72" s="36" t="s">
        <v>782</v>
      </c>
      <c r="D72" s="36" t="s">
        <v>131</v>
      </c>
      <c r="E72" s="36" t="s">
        <v>381</v>
      </c>
      <c r="F72" s="36" t="s">
        <v>96</v>
      </c>
      <c r="G72" s="36" t="s">
        <v>382</v>
      </c>
      <c r="H72" s="36" t="s">
        <v>383</v>
      </c>
      <c r="I72" s="36" t="s">
        <v>100</v>
      </c>
      <c r="J72" s="36" t="s">
        <v>101</v>
      </c>
      <c r="K72" s="36" t="s">
        <v>102</v>
      </c>
      <c r="L72" s="82" t="s">
        <v>103</v>
      </c>
      <c r="M72" s="58" t="s">
        <v>351</v>
      </c>
      <c r="N72" s="82" t="s">
        <v>282</v>
      </c>
      <c r="O72" s="82" t="s">
        <v>352</v>
      </c>
      <c r="P72" s="82" t="s">
        <v>175</v>
      </c>
      <c r="Q72" s="113" t="s">
        <v>163</v>
      </c>
      <c r="R72" s="36" t="s">
        <v>164</v>
      </c>
      <c r="S72" s="36" t="s">
        <v>119</v>
      </c>
      <c r="T72" s="36" t="s">
        <v>119</v>
      </c>
      <c r="U72" s="36" t="s">
        <v>119</v>
      </c>
      <c r="V72" s="82" t="s">
        <v>126</v>
      </c>
      <c r="W72" s="82" t="s">
        <v>152</v>
      </c>
      <c r="X72" s="113" t="s">
        <v>165</v>
      </c>
      <c r="Y72" s="36" t="s">
        <v>111</v>
      </c>
      <c r="Z72" s="36" t="s">
        <v>111</v>
      </c>
      <c r="AA72" s="36" t="s">
        <v>110</v>
      </c>
      <c r="AB72" s="36" t="s">
        <v>111</v>
      </c>
      <c r="AC72" s="82" t="s">
        <v>110</v>
      </c>
      <c r="AD72" s="82" t="s">
        <v>137</v>
      </c>
      <c r="AE72" s="82" t="s">
        <v>167</v>
      </c>
      <c r="AF72" s="94" t="s">
        <v>119</v>
      </c>
      <c r="AG72" s="82" t="s">
        <v>111</v>
      </c>
      <c r="AH72" s="36" t="s">
        <v>110</v>
      </c>
      <c r="AI72" s="82" t="s">
        <v>110</v>
      </c>
      <c r="AJ72" s="82" t="s">
        <v>110</v>
      </c>
      <c r="AK72" s="82" t="s">
        <v>110</v>
      </c>
      <c r="AL72" s="36" t="s">
        <v>110</v>
      </c>
      <c r="AM72" s="36" t="s">
        <v>110</v>
      </c>
      <c r="AN72" s="36" t="s">
        <v>128</v>
      </c>
      <c r="AO72" s="82" t="s">
        <v>128</v>
      </c>
      <c r="AP72" s="36" t="s">
        <v>110</v>
      </c>
      <c r="AQ72" s="82" t="s">
        <v>124</v>
      </c>
      <c r="AR72" s="82" t="s">
        <v>110</v>
      </c>
      <c r="AS72" s="36" t="s">
        <v>110</v>
      </c>
      <c r="AT72" s="16" t="s">
        <v>110</v>
      </c>
      <c r="AU72" s="17" t="s">
        <v>110</v>
      </c>
      <c r="AV72" s="36" t="s">
        <v>119</v>
      </c>
      <c r="AW72" s="36" t="s">
        <v>119</v>
      </c>
      <c r="AX72" s="36" t="s">
        <v>110</v>
      </c>
      <c r="AY72" s="36" t="s">
        <v>111</v>
      </c>
      <c r="AZ72" s="82" t="s">
        <v>126</v>
      </c>
      <c r="BA72" s="82" t="s">
        <v>110</v>
      </c>
      <c r="BB72" s="82" t="s">
        <v>126</v>
      </c>
      <c r="BC72" s="82" t="s">
        <v>119</v>
      </c>
      <c r="BD72" s="94" t="s">
        <v>124</v>
      </c>
      <c r="BE72" s="82" t="s">
        <v>126</v>
      </c>
      <c r="BF72" s="82" t="s">
        <v>110</v>
      </c>
      <c r="BG72" s="36" t="s">
        <v>119</v>
      </c>
      <c r="BH72" s="82" t="s">
        <v>142</v>
      </c>
      <c r="BI72" s="36" t="s">
        <v>111</v>
      </c>
      <c r="BJ72" s="82" t="s">
        <v>110</v>
      </c>
      <c r="BK72" s="36" t="s">
        <v>110</v>
      </c>
      <c r="BL72" s="36" t="s">
        <v>126</v>
      </c>
      <c r="BM72" s="36" t="s">
        <v>110</v>
      </c>
      <c r="BN72" s="18" t="s">
        <v>119</v>
      </c>
      <c r="BO72" s="36" t="s">
        <v>111</v>
      </c>
      <c r="BP72" s="36" t="s">
        <v>111</v>
      </c>
      <c r="BQ72" s="36" t="s">
        <v>110</v>
      </c>
      <c r="BR72" s="36" t="s">
        <v>110</v>
      </c>
      <c r="BS72" s="82" t="s">
        <v>110</v>
      </c>
      <c r="BT72" s="36" t="s">
        <v>110</v>
      </c>
      <c r="BU72" s="36" t="s">
        <v>110</v>
      </c>
      <c r="BV72" s="36" t="s">
        <v>110</v>
      </c>
      <c r="BW72" s="36" t="s">
        <v>110</v>
      </c>
      <c r="BX72" s="36" t="s">
        <v>126</v>
      </c>
      <c r="BY72" s="82" t="s">
        <v>111</v>
      </c>
      <c r="BZ72" s="36" t="s">
        <v>115</v>
      </c>
      <c r="CA72" s="36" t="s">
        <v>119</v>
      </c>
      <c r="CB72" s="36" t="s">
        <v>110</v>
      </c>
      <c r="CC72" s="36" t="s">
        <v>110</v>
      </c>
      <c r="CD72" s="36" t="s">
        <v>110</v>
      </c>
      <c r="CE72" s="36" t="s">
        <v>110</v>
      </c>
      <c r="CF72" s="36" t="s">
        <v>110</v>
      </c>
      <c r="CG72" s="36" t="s">
        <v>129</v>
      </c>
      <c r="CH72" s="82" t="s">
        <v>119</v>
      </c>
      <c r="CI72" s="36" t="s">
        <v>115</v>
      </c>
      <c r="CJ72" s="36" t="s">
        <v>129</v>
      </c>
      <c r="CK72" s="36" t="s">
        <v>126</v>
      </c>
      <c r="CL72" s="36" t="s">
        <v>110</v>
      </c>
      <c r="CM72" s="36" t="s">
        <v>111</v>
      </c>
      <c r="CN72" s="43" t="s">
        <v>384</v>
      </c>
      <c r="CO72" t="s">
        <v>786</v>
      </c>
      <c r="CP72">
        <f>IFERROR(VLOOKUP(H72,'Lista Lideres'!$A$1:$B$350,2,0),0)</f>
        <v>1</v>
      </c>
    </row>
    <row r="73" spans="1:94" ht="14.4" hidden="1" x14ac:dyDescent="0.3">
      <c r="A73" s="35">
        <v>45573.556671157407</v>
      </c>
      <c r="B73" s="36" t="s">
        <v>252</v>
      </c>
      <c r="C73" s="37" t="s">
        <v>782</v>
      </c>
      <c r="D73" s="37" t="s">
        <v>93</v>
      </c>
      <c r="E73" s="37" t="s">
        <v>385</v>
      </c>
      <c r="F73" s="37" t="s">
        <v>171</v>
      </c>
      <c r="G73" s="37" t="s">
        <v>386</v>
      </c>
      <c r="H73" s="37" t="s">
        <v>386</v>
      </c>
      <c r="I73" s="37" t="s">
        <v>149</v>
      </c>
      <c r="J73" s="37" t="s">
        <v>173</v>
      </c>
      <c r="K73" s="37" t="s">
        <v>191</v>
      </c>
      <c r="L73" s="81" t="s">
        <v>150</v>
      </c>
      <c r="M73" s="58" t="s">
        <v>351</v>
      </c>
      <c r="N73" s="81" t="s">
        <v>282</v>
      </c>
      <c r="O73" s="81" t="s">
        <v>352</v>
      </c>
      <c r="P73" s="81" t="s">
        <v>264</v>
      </c>
      <c r="Q73" s="112" t="s">
        <v>151</v>
      </c>
      <c r="R73" s="37" t="s">
        <v>109</v>
      </c>
      <c r="S73" s="37" t="s">
        <v>119</v>
      </c>
      <c r="T73" s="37" t="s">
        <v>119</v>
      </c>
      <c r="U73" s="37" t="s">
        <v>110</v>
      </c>
      <c r="V73" s="81" t="s">
        <v>126</v>
      </c>
      <c r="W73" s="81" t="s">
        <v>113</v>
      </c>
      <c r="X73" s="112" t="s">
        <v>114</v>
      </c>
      <c r="Y73" s="37" t="s">
        <v>206</v>
      </c>
      <c r="Z73" s="37" t="s">
        <v>119</v>
      </c>
      <c r="AA73" s="37" t="s">
        <v>110</v>
      </c>
      <c r="AB73" s="37" t="s">
        <v>119</v>
      </c>
      <c r="AC73" s="81" t="s">
        <v>119</v>
      </c>
      <c r="AD73" s="81" t="s">
        <v>221</v>
      </c>
      <c r="AE73" s="81" t="s">
        <v>138</v>
      </c>
      <c r="AF73" s="93" t="s">
        <v>110</v>
      </c>
      <c r="AG73" s="81" t="s">
        <v>111</v>
      </c>
      <c r="AH73" s="37" t="s">
        <v>177</v>
      </c>
      <c r="AI73" s="81" t="s">
        <v>122</v>
      </c>
      <c r="AJ73" s="81" t="s">
        <v>110</v>
      </c>
      <c r="AK73" s="81" t="s">
        <v>110</v>
      </c>
      <c r="AL73" s="37" t="s">
        <v>122</v>
      </c>
      <c r="AM73" s="37" t="s">
        <v>123</v>
      </c>
      <c r="AN73" s="37" t="s">
        <v>177</v>
      </c>
      <c r="AO73" s="81" t="s">
        <v>123</v>
      </c>
      <c r="AP73" s="37" t="s">
        <v>110</v>
      </c>
      <c r="AQ73" s="81" t="s">
        <v>126</v>
      </c>
      <c r="AR73" s="81" t="s">
        <v>110</v>
      </c>
      <c r="AS73" s="37" t="s">
        <v>110</v>
      </c>
      <c r="AT73" s="9" t="s">
        <v>110</v>
      </c>
      <c r="AU73" s="10" t="s">
        <v>110</v>
      </c>
      <c r="AV73" s="37" t="s">
        <v>111</v>
      </c>
      <c r="AW73" s="37" t="s">
        <v>110</v>
      </c>
      <c r="AX73" s="37" t="s">
        <v>110</v>
      </c>
      <c r="AY73" s="37" t="s">
        <v>110</v>
      </c>
      <c r="AZ73" s="81" t="s">
        <v>214</v>
      </c>
      <c r="BA73" s="81" t="s">
        <v>111</v>
      </c>
      <c r="BB73" s="81" t="s">
        <v>126</v>
      </c>
      <c r="BC73" s="81" t="s">
        <v>110</v>
      </c>
      <c r="BD73" s="93" t="s">
        <v>124</v>
      </c>
      <c r="BE73" s="81" t="s">
        <v>126</v>
      </c>
      <c r="BF73" s="81" t="s">
        <v>110</v>
      </c>
      <c r="BG73" s="37" t="s">
        <v>110</v>
      </c>
      <c r="BH73" s="81" t="s">
        <v>124</v>
      </c>
      <c r="BI73" s="37" t="s">
        <v>110</v>
      </c>
      <c r="BJ73" s="81" t="s">
        <v>110</v>
      </c>
      <c r="BK73" s="37" t="s">
        <v>110</v>
      </c>
      <c r="BL73" s="37" t="s">
        <v>126</v>
      </c>
      <c r="BM73" s="37" t="s">
        <v>209</v>
      </c>
      <c r="BN73" s="11" t="s">
        <v>110</v>
      </c>
      <c r="BO73" s="37" t="s">
        <v>110</v>
      </c>
      <c r="BP73" s="37" t="s">
        <v>119</v>
      </c>
      <c r="BQ73" s="37" t="s">
        <v>119</v>
      </c>
      <c r="BR73" s="37" t="s">
        <v>110</v>
      </c>
      <c r="BS73" s="81" t="s">
        <v>110</v>
      </c>
      <c r="BT73" s="37" t="s">
        <v>110</v>
      </c>
      <c r="BU73" s="37" t="s">
        <v>110</v>
      </c>
      <c r="BV73" s="37" t="s">
        <v>111</v>
      </c>
      <c r="BW73" s="37" t="s">
        <v>110</v>
      </c>
      <c r="BX73" s="37" t="s">
        <v>126</v>
      </c>
      <c r="BY73" s="81" t="s">
        <v>110</v>
      </c>
      <c r="BZ73" s="37" t="s">
        <v>110</v>
      </c>
      <c r="CA73" s="37" t="s">
        <v>110</v>
      </c>
      <c r="CB73" s="37" t="s">
        <v>119</v>
      </c>
      <c r="CC73" s="37" t="s">
        <v>119</v>
      </c>
      <c r="CD73" s="37" t="s">
        <v>119</v>
      </c>
      <c r="CE73" s="37" t="s">
        <v>110</v>
      </c>
      <c r="CF73" s="37" t="s">
        <v>110</v>
      </c>
      <c r="CG73" s="37" t="s">
        <v>119</v>
      </c>
      <c r="CH73" s="81" t="s">
        <v>119</v>
      </c>
      <c r="CI73" s="37" t="s">
        <v>110</v>
      </c>
      <c r="CJ73" s="37" t="s">
        <v>119</v>
      </c>
      <c r="CK73" s="37" t="s">
        <v>124</v>
      </c>
      <c r="CL73" s="37" t="s">
        <v>110</v>
      </c>
      <c r="CM73" s="37" t="s">
        <v>110</v>
      </c>
      <c r="CN73" s="41"/>
      <c r="CO73" t="s">
        <v>785</v>
      </c>
      <c r="CP73">
        <f>IFERROR(VLOOKUP(H73,'Lista Lideres'!$A$1:$B$350,2,0),0)</f>
        <v>0</v>
      </c>
    </row>
    <row r="74" spans="1:94" ht="13.8" hidden="1" x14ac:dyDescent="0.3">
      <c r="A74" s="39">
        <v>45577.713211724535</v>
      </c>
      <c r="B74" s="36" t="s">
        <v>252</v>
      </c>
      <c r="C74" s="36" t="s">
        <v>782</v>
      </c>
      <c r="D74" s="36" t="s">
        <v>93</v>
      </c>
      <c r="E74" s="36" t="s">
        <v>387</v>
      </c>
      <c r="F74" s="36" t="s">
        <v>96</v>
      </c>
      <c r="G74" s="36" t="s">
        <v>319</v>
      </c>
      <c r="H74" s="36" t="s">
        <v>361</v>
      </c>
      <c r="I74" s="36" t="s">
        <v>100</v>
      </c>
      <c r="J74" s="36" t="s">
        <v>101</v>
      </c>
      <c r="K74" s="36" t="s">
        <v>102</v>
      </c>
      <c r="L74" s="82" t="s">
        <v>103</v>
      </c>
      <c r="M74" s="58" t="s">
        <v>351</v>
      </c>
      <c r="N74" s="82" t="s">
        <v>282</v>
      </c>
      <c r="O74" s="82" t="s">
        <v>388</v>
      </c>
      <c r="P74" s="82" t="s">
        <v>175</v>
      </c>
      <c r="Q74" s="113" t="s">
        <v>163</v>
      </c>
      <c r="R74" s="36" t="s">
        <v>176</v>
      </c>
      <c r="S74" s="36" t="s">
        <v>110</v>
      </c>
      <c r="T74" s="36" t="s">
        <v>110</v>
      </c>
      <c r="U74" s="36" t="s">
        <v>110</v>
      </c>
      <c r="V74" s="82" t="s">
        <v>136</v>
      </c>
      <c r="W74" s="82" t="s">
        <v>113</v>
      </c>
      <c r="X74" s="113" t="s">
        <v>165</v>
      </c>
      <c r="Y74" s="36" t="s">
        <v>110</v>
      </c>
      <c r="Z74" s="36" t="s">
        <v>119</v>
      </c>
      <c r="AA74" s="36" t="s">
        <v>119</v>
      </c>
      <c r="AB74" s="36" t="s">
        <v>110</v>
      </c>
      <c r="AC74" s="82" t="s">
        <v>110</v>
      </c>
      <c r="AD74" s="82" t="s">
        <v>137</v>
      </c>
      <c r="AE74" s="82" t="s">
        <v>118</v>
      </c>
      <c r="AF74" s="94" t="s">
        <v>111</v>
      </c>
      <c r="AG74" s="82" t="s">
        <v>110</v>
      </c>
      <c r="AH74" s="36" t="s">
        <v>110</v>
      </c>
      <c r="AI74" s="82" t="s">
        <v>110</v>
      </c>
      <c r="AJ74" s="82" t="s">
        <v>122</v>
      </c>
      <c r="AK74" s="82" t="s">
        <v>110</v>
      </c>
      <c r="AL74" s="36" t="s">
        <v>110</v>
      </c>
      <c r="AM74" s="36" t="s">
        <v>110</v>
      </c>
      <c r="AN74" s="36" t="s">
        <v>110</v>
      </c>
      <c r="AO74" s="82" t="s">
        <v>110</v>
      </c>
      <c r="AP74" s="36" t="s">
        <v>110</v>
      </c>
      <c r="AQ74" s="82" t="s">
        <v>126</v>
      </c>
      <c r="AR74" s="82" t="s">
        <v>110</v>
      </c>
      <c r="AS74" s="36" t="s">
        <v>110</v>
      </c>
      <c r="AT74" s="16" t="s">
        <v>129</v>
      </c>
      <c r="AU74" s="17" t="s">
        <v>110</v>
      </c>
      <c r="AV74" s="36" t="s">
        <v>119</v>
      </c>
      <c r="AW74" s="36" t="s">
        <v>129</v>
      </c>
      <c r="AX74" s="36" t="s">
        <v>119</v>
      </c>
      <c r="AY74" s="36" t="s">
        <v>120</v>
      </c>
      <c r="AZ74" s="82" t="s">
        <v>126</v>
      </c>
      <c r="BA74" s="82" t="s">
        <v>110</v>
      </c>
      <c r="BB74" s="82" t="s">
        <v>126</v>
      </c>
      <c r="BC74" s="82" t="s">
        <v>110</v>
      </c>
      <c r="BD74" s="94" t="s">
        <v>126</v>
      </c>
      <c r="BE74" s="82" t="s">
        <v>142</v>
      </c>
      <c r="BF74" s="82" t="s">
        <v>110</v>
      </c>
      <c r="BG74" s="36" t="s">
        <v>110</v>
      </c>
      <c r="BH74" s="82" t="s">
        <v>142</v>
      </c>
      <c r="BI74" s="36" t="s">
        <v>111</v>
      </c>
      <c r="BJ74" s="82" t="s">
        <v>110</v>
      </c>
      <c r="BK74" s="36" t="s">
        <v>110</v>
      </c>
      <c r="BL74" s="36" t="s">
        <v>126</v>
      </c>
      <c r="BM74" s="36" t="s">
        <v>110</v>
      </c>
      <c r="BN74" s="18" t="s">
        <v>110</v>
      </c>
      <c r="BO74" s="36" t="s">
        <v>110</v>
      </c>
      <c r="BP74" s="36" t="s">
        <v>110</v>
      </c>
      <c r="BQ74" s="36" t="s">
        <v>111</v>
      </c>
      <c r="BR74" s="36" t="s">
        <v>115</v>
      </c>
      <c r="BS74" s="82" t="s">
        <v>111</v>
      </c>
      <c r="BT74" s="36" t="s">
        <v>111</v>
      </c>
      <c r="BU74" s="36" t="s">
        <v>110</v>
      </c>
      <c r="BV74" s="36" t="s">
        <v>110</v>
      </c>
      <c r="BW74" s="36" t="s">
        <v>110</v>
      </c>
      <c r="BX74" s="36" t="s">
        <v>142</v>
      </c>
      <c r="BY74" s="82" t="s">
        <v>110</v>
      </c>
      <c r="BZ74" s="36" t="s">
        <v>115</v>
      </c>
      <c r="CA74" s="36" t="s">
        <v>110</v>
      </c>
      <c r="CB74" s="36" t="s">
        <v>129</v>
      </c>
      <c r="CC74" s="36" t="s">
        <v>110</v>
      </c>
      <c r="CD74" s="36" t="s">
        <v>111</v>
      </c>
      <c r="CE74" s="36" t="s">
        <v>110</v>
      </c>
      <c r="CF74" s="36" t="s">
        <v>111</v>
      </c>
      <c r="CG74" s="36" t="s">
        <v>119</v>
      </c>
      <c r="CH74" s="82" t="s">
        <v>110</v>
      </c>
      <c r="CI74" s="36" t="s">
        <v>111</v>
      </c>
      <c r="CJ74" s="36" t="s">
        <v>119</v>
      </c>
      <c r="CK74" s="36" t="s">
        <v>125</v>
      </c>
      <c r="CL74" s="36" t="s">
        <v>119</v>
      </c>
      <c r="CM74" s="36" t="s">
        <v>111</v>
      </c>
      <c r="CN74" s="43" t="s">
        <v>389</v>
      </c>
      <c r="CO74" t="s">
        <v>786</v>
      </c>
      <c r="CP74">
        <f>IFERROR(VLOOKUP(H74,'Lista Lideres'!$A$1:$B$350,2,0),0)</f>
        <v>0</v>
      </c>
    </row>
    <row r="75" spans="1:94" ht="14.4" hidden="1" x14ac:dyDescent="0.3">
      <c r="A75" s="35">
        <v>45582.378899756943</v>
      </c>
      <c r="B75" s="36" t="s">
        <v>252</v>
      </c>
      <c r="C75" s="37" t="s">
        <v>782</v>
      </c>
      <c r="D75" s="37" t="s">
        <v>131</v>
      </c>
      <c r="E75" s="37" t="s">
        <v>132</v>
      </c>
      <c r="F75" s="37" t="s">
        <v>171</v>
      </c>
      <c r="G75" s="37" t="s">
        <v>205</v>
      </c>
      <c r="H75" s="37" t="s">
        <v>390</v>
      </c>
      <c r="I75" s="37" t="s">
        <v>100</v>
      </c>
      <c r="J75" s="37" t="s">
        <v>101</v>
      </c>
      <c r="K75" s="37" t="s">
        <v>191</v>
      </c>
      <c r="L75" s="81" t="s">
        <v>213</v>
      </c>
      <c r="M75" s="58" t="s">
        <v>351</v>
      </c>
      <c r="N75" s="81" t="s">
        <v>282</v>
      </c>
      <c r="O75" s="81" t="s">
        <v>352</v>
      </c>
      <c r="P75" s="81" t="s">
        <v>175</v>
      </c>
      <c r="Q75" s="112" t="s">
        <v>163</v>
      </c>
      <c r="R75" s="37" t="s">
        <v>109</v>
      </c>
      <c r="S75" s="37" t="s">
        <v>110</v>
      </c>
      <c r="T75" s="37" t="s">
        <v>110</v>
      </c>
      <c r="U75" s="37" t="s">
        <v>110</v>
      </c>
      <c r="V75" s="81" t="s">
        <v>112</v>
      </c>
      <c r="W75" s="81" t="s">
        <v>379</v>
      </c>
      <c r="X75" s="112" t="s">
        <v>114</v>
      </c>
      <c r="Y75" s="37" t="s">
        <v>111</v>
      </c>
      <c r="Z75" s="37" t="s">
        <v>111</v>
      </c>
      <c r="AA75" s="37" t="s">
        <v>110</v>
      </c>
      <c r="AB75" s="37" t="s">
        <v>111</v>
      </c>
      <c r="AC75" s="81" t="s">
        <v>110</v>
      </c>
      <c r="AD75" s="81" t="s">
        <v>166</v>
      </c>
      <c r="AE75" s="81" t="s">
        <v>118</v>
      </c>
      <c r="AF75" s="93" t="s">
        <v>111</v>
      </c>
      <c r="AG75" s="81" t="s">
        <v>110</v>
      </c>
      <c r="AH75" s="37" t="s">
        <v>110</v>
      </c>
      <c r="AI75" s="81" t="s">
        <v>154</v>
      </c>
      <c r="AJ75" s="81" t="s">
        <v>110</v>
      </c>
      <c r="AK75" s="81" t="s">
        <v>225</v>
      </c>
      <c r="AL75" s="37" t="s">
        <v>110</v>
      </c>
      <c r="AM75" s="37" t="s">
        <v>110</v>
      </c>
      <c r="AN75" s="37" t="s">
        <v>110</v>
      </c>
      <c r="AO75" s="81" t="s">
        <v>110</v>
      </c>
      <c r="AP75" s="37" t="s">
        <v>123</v>
      </c>
      <c r="AQ75" s="81" t="s">
        <v>124</v>
      </c>
      <c r="AR75" s="81" t="s">
        <v>111</v>
      </c>
      <c r="AS75" s="37" t="s">
        <v>111</v>
      </c>
      <c r="AT75" s="9" t="s">
        <v>119</v>
      </c>
      <c r="AU75" s="10" t="s">
        <v>110</v>
      </c>
      <c r="AV75" s="37" t="s">
        <v>119</v>
      </c>
      <c r="AW75" s="37" t="s">
        <v>110</v>
      </c>
      <c r="AX75" s="37" t="s">
        <v>110</v>
      </c>
      <c r="AY75" s="37" t="s">
        <v>120</v>
      </c>
      <c r="AZ75" s="81" t="s">
        <v>124</v>
      </c>
      <c r="BA75" s="81" t="s">
        <v>111</v>
      </c>
      <c r="BB75" s="81" t="s">
        <v>139</v>
      </c>
      <c r="BC75" s="81" t="s">
        <v>120</v>
      </c>
      <c r="BD75" s="93" t="s">
        <v>124</v>
      </c>
      <c r="BE75" s="81" t="s">
        <v>140</v>
      </c>
      <c r="BF75" s="81" t="s">
        <v>110</v>
      </c>
      <c r="BG75" s="37" t="s">
        <v>119</v>
      </c>
      <c r="BH75" s="81" t="s">
        <v>142</v>
      </c>
      <c r="BI75" s="37" t="s">
        <v>120</v>
      </c>
      <c r="BJ75" s="81" t="s">
        <v>110</v>
      </c>
      <c r="BK75" s="37" t="s">
        <v>122</v>
      </c>
      <c r="BL75" s="37" t="s">
        <v>125</v>
      </c>
      <c r="BM75" s="37" t="s">
        <v>127</v>
      </c>
      <c r="BN75" s="11" t="s">
        <v>111</v>
      </c>
      <c r="BO75" s="37" t="s">
        <v>115</v>
      </c>
      <c r="BP75" s="37" t="s">
        <v>120</v>
      </c>
      <c r="BQ75" s="37" t="s">
        <v>110</v>
      </c>
      <c r="BR75" s="37" t="s">
        <v>110</v>
      </c>
      <c r="BS75" s="81" t="s">
        <v>110</v>
      </c>
      <c r="BT75" s="37" t="s">
        <v>119</v>
      </c>
      <c r="BU75" s="37" t="s">
        <v>111</v>
      </c>
      <c r="BV75" s="37" t="s">
        <v>110</v>
      </c>
      <c r="BW75" s="37" t="s">
        <v>123</v>
      </c>
      <c r="BX75" s="37" t="s">
        <v>126</v>
      </c>
      <c r="BY75" s="81" t="s">
        <v>111</v>
      </c>
      <c r="BZ75" s="37" t="s">
        <v>111</v>
      </c>
      <c r="CA75" s="37" t="s">
        <v>111</v>
      </c>
      <c r="CB75" s="37" t="s">
        <v>119</v>
      </c>
      <c r="CC75" s="37" t="s">
        <v>119</v>
      </c>
      <c r="CD75" s="37" t="s">
        <v>110</v>
      </c>
      <c r="CE75" s="37" t="s">
        <v>209</v>
      </c>
      <c r="CF75" s="37" t="s">
        <v>110</v>
      </c>
      <c r="CG75" s="37" t="s">
        <v>119</v>
      </c>
      <c r="CH75" s="81" t="s">
        <v>110</v>
      </c>
      <c r="CI75" s="37" t="s">
        <v>111</v>
      </c>
      <c r="CJ75" s="37" t="s">
        <v>110</v>
      </c>
      <c r="CK75" s="37" t="s">
        <v>126</v>
      </c>
      <c r="CL75" s="37" t="s">
        <v>110</v>
      </c>
      <c r="CM75" s="37" t="s">
        <v>110</v>
      </c>
      <c r="CN75" s="41"/>
      <c r="CO75" t="s">
        <v>786</v>
      </c>
      <c r="CP75">
        <f>IFERROR(VLOOKUP(H75,'Lista Lideres'!$A$1:$B$350,2,0),0)</f>
        <v>0</v>
      </c>
    </row>
    <row r="76" spans="1:94" ht="14.4" hidden="1" x14ac:dyDescent="0.3">
      <c r="A76" s="39">
        <v>45574.686059131942</v>
      </c>
      <c r="B76" s="36" t="s">
        <v>252</v>
      </c>
      <c r="C76" s="36" t="s">
        <v>782</v>
      </c>
      <c r="D76" s="36" t="s">
        <v>93</v>
      </c>
      <c r="E76" s="36" t="s">
        <v>392</v>
      </c>
      <c r="F76" s="36" t="s">
        <v>97</v>
      </c>
      <c r="G76" s="36" t="s">
        <v>393</v>
      </c>
      <c r="H76" s="36" t="s">
        <v>393</v>
      </c>
      <c r="I76" s="36" t="s">
        <v>149</v>
      </c>
      <c r="J76" s="36" t="s">
        <v>101</v>
      </c>
      <c r="K76" s="36" t="s">
        <v>174</v>
      </c>
      <c r="L76" s="82" t="s">
        <v>150</v>
      </c>
      <c r="M76" s="58" t="s">
        <v>351</v>
      </c>
      <c r="N76" s="82" t="s">
        <v>282</v>
      </c>
      <c r="O76" s="82" t="s">
        <v>352</v>
      </c>
      <c r="P76" s="82" t="s">
        <v>264</v>
      </c>
      <c r="Q76" s="113" t="s">
        <v>108</v>
      </c>
      <c r="R76" s="36" t="s">
        <v>109</v>
      </c>
      <c r="S76" s="36" t="s">
        <v>119</v>
      </c>
      <c r="T76" s="36" t="s">
        <v>110</v>
      </c>
      <c r="U76" s="36" t="s">
        <v>110</v>
      </c>
      <c r="V76" s="82" t="s">
        <v>126</v>
      </c>
      <c r="W76" s="82" t="s">
        <v>363</v>
      </c>
      <c r="X76" s="113" t="s">
        <v>153</v>
      </c>
      <c r="Y76" s="36" t="s">
        <v>206</v>
      </c>
      <c r="Z76" s="36" t="s">
        <v>110</v>
      </c>
      <c r="AA76" s="36" t="s">
        <v>110</v>
      </c>
      <c r="AB76" s="36" t="s">
        <v>110</v>
      </c>
      <c r="AC76" s="82" t="s">
        <v>116</v>
      </c>
      <c r="AD76" s="82" t="s">
        <v>137</v>
      </c>
      <c r="AE76" s="82" t="s">
        <v>138</v>
      </c>
      <c r="AF76" s="94" t="s">
        <v>110</v>
      </c>
      <c r="AG76" s="82" t="s">
        <v>110</v>
      </c>
      <c r="AH76" s="36" t="s">
        <v>122</v>
      </c>
      <c r="AI76" s="82" t="s">
        <v>110</v>
      </c>
      <c r="AJ76" s="82" t="s">
        <v>197</v>
      </c>
      <c r="AK76" s="82" t="s">
        <v>110</v>
      </c>
      <c r="AL76" s="36" t="s">
        <v>122</v>
      </c>
      <c r="AM76" s="36" t="s">
        <v>110</v>
      </c>
      <c r="AN76" s="36" t="s">
        <v>128</v>
      </c>
      <c r="AO76" s="82" t="s">
        <v>110</v>
      </c>
      <c r="AP76" s="36" t="s">
        <v>123</v>
      </c>
      <c r="AQ76" s="82" t="s">
        <v>126</v>
      </c>
      <c r="AR76" s="82" t="s">
        <v>110</v>
      </c>
      <c r="AS76" s="36" t="s">
        <v>111</v>
      </c>
      <c r="AT76" s="16" t="s">
        <v>119</v>
      </c>
      <c r="AU76" s="17" t="s">
        <v>110</v>
      </c>
      <c r="AV76" s="36" t="s">
        <v>168</v>
      </c>
      <c r="AW76" s="36" t="s">
        <v>119</v>
      </c>
      <c r="AX76" s="36" t="s">
        <v>111</v>
      </c>
      <c r="AY76" s="36" t="s">
        <v>110</v>
      </c>
      <c r="AZ76" s="82" t="s">
        <v>124</v>
      </c>
      <c r="BA76" s="82" t="s">
        <v>110</v>
      </c>
      <c r="BB76" s="82" t="s">
        <v>139</v>
      </c>
      <c r="BC76" s="82" t="s">
        <v>110</v>
      </c>
      <c r="BD76" s="94" t="s">
        <v>124</v>
      </c>
      <c r="BE76" s="82" t="s">
        <v>126</v>
      </c>
      <c r="BF76" s="82" t="s">
        <v>141</v>
      </c>
      <c r="BG76" s="36" t="s">
        <v>110</v>
      </c>
      <c r="BH76" s="82" t="s">
        <v>124</v>
      </c>
      <c r="BI76" s="36" t="s">
        <v>120</v>
      </c>
      <c r="BJ76" s="82" t="s">
        <v>110</v>
      </c>
      <c r="BK76" s="36" t="s">
        <v>110</v>
      </c>
      <c r="BL76" s="36" t="s">
        <v>126</v>
      </c>
      <c r="BM76" s="36" t="s">
        <v>110</v>
      </c>
      <c r="BN76" s="18" t="s">
        <v>110</v>
      </c>
      <c r="BO76" s="36" t="s">
        <v>119</v>
      </c>
      <c r="BP76" s="36" t="s">
        <v>111</v>
      </c>
      <c r="BQ76" s="36" t="s">
        <v>111</v>
      </c>
      <c r="BR76" s="36" t="s">
        <v>111</v>
      </c>
      <c r="BS76" s="82" t="s">
        <v>110</v>
      </c>
      <c r="BT76" s="36" t="s">
        <v>110</v>
      </c>
      <c r="BU76" s="36" t="s">
        <v>111</v>
      </c>
      <c r="BV76" s="36" t="s">
        <v>110</v>
      </c>
      <c r="BW76" s="36" t="s">
        <v>110</v>
      </c>
      <c r="BX76" s="36" t="s">
        <v>124</v>
      </c>
      <c r="BY76" s="82" t="s">
        <v>110</v>
      </c>
      <c r="BZ76" s="36" t="s">
        <v>111</v>
      </c>
      <c r="CA76" s="36" t="s">
        <v>110</v>
      </c>
      <c r="CB76" s="36" t="s">
        <v>119</v>
      </c>
      <c r="CC76" s="36" t="s">
        <v>110</v>
      </c>
      <c r="CD76" s="36" t="s">
        <v>111</v>
      </c>
      <c r="CE76" s="36" t="s">
        <v>110</v>
      </c>
      <c r="CF76" s="36" t="s">
        <v>110</v>
      </c>
      <c r="CG76" s="36" t="s">
        <v>119</v>
      </c>
      <c r="CH76" s="82" t="s">
        <v>110</v>
      </c>
      <c r="CI76" s="36" t="s">
        <v>119</v>
      </c>
      <c r="CJ76" s="36" t="s">
        <v>119</v>
      </c>
      <c r="CK76" s="36" t="s">
        <v>125</v>
      </c>
      <c r="CL76" s="36" t="s">
        <v>110</v>
      </c>
      <c r="CM76" s="36" t="s">
        <v>110</v>
      </c>
      <c r="CN76" s="41"/>
      <c r="CO76" t="s">
        <v>785</v>
      </c>
      <c r="CP76">
        <f>IFERROR(VLOOKUP(H76,'Lista Lideres'!$A$1:$B$350,2,0),0)</f>
        <v>0</v>
      </c>
    </row>
    <row r="77" spans="1:94" ht="14.4" hidden="1" x14ac:dyDescent="0.3">
      <c r="A77" s="35">
        <v>45577.502025925925</v>
      </c>
      <c r="B77" s="36" t="s">
        <v>252</v>
      </c>
      <c r="C77" s="37" t="s">
        <v>782</v>
      </c>
      <c r="D77" s="37" t="s">
        <v>93</v>
      </c>
      <c r="E77" s="37" t="s">
        <v>394</v>
      </c>
      <c r="F77" s="37" t="s">
        <v>97</v>
      </c>
      <c r="G77" s="37" t="s">
        <v>395</v>
      </c>
      <c r="H77" s="37" t="s">
        <v>395</v>
      </c>
      <c r="I77" s="37" t="s">
        <v>100</v>
      </c>
      <c r="J77" s="37" t="s">
        <v>173</v>
      </c>
      <c r="K77" s="37" t="s">
        <v>102</v>
      </c>
      <c r="L77" s="81" t="s">
        <v>162</v>
      </c>
      <c r="M77" s="58" t="s">
        <v>351</v>
      </c>
      <c r="N77" s="81" t="s">
        <v>282</v>
      </c>
      <c r="O77" s="81" t="s">
        <v>352</v>
      </c>
      <c r="P77" s="81" t="s">
        <v>175</v>
      </c>
      <c r="Q77" s="112" t="s">
        <v>163</v>
      </c>
      <c r="R77" s="37" t="s">
        <v>109</v>
      </c>
      <c r="S77" s="37" t="s">
        <v>110</v>
      </c>
      <c r="T77" s="37" t="s">
        <v>110</v>
      </c>
      <c r="U77" s="37" t="s">
        <v>119</v>
      </c>
      <c r="V77" s="81" t="s">
        <v>126</v>
      </c>
      <c r="W77" s="81" t="s">
        <v>152</v>
      </c>
      <c r="X77" s="112" t="s">
        <v>114</v>
      </c>
      <c r="Y77" s="37" t="s">
        <v>111</v>
      </c>
      <c r="Z77" s="37" t="s">
        <v>110</v>
      </c>
      <c r="AA77" s="37" t="s">
        <v>111</v>
      </c>
      <c r="AB77" s="37" t="s">
        <v>115</v>
      </c>
      <c r="AC77" s="81" t="s">
        <v>119</v>
      </c>
      <c r="AD77" s="81" t="s">
        <v>221</v>
      </c>
      <c r="AE77" s="81" t="s">
        <v>138</v>
      </c>
      <c r="AF77" s="93" t="s">
        <v>110</v>
      </c>
      <c r="AG77" s="81" t="s">
        <v>168</v>
      </c>
      <c r="AH77" s="37" t="s">
        <v>110</v>
      </c>
      <c r="AI77" s="81" t="s">
        <v>110</v>
      </c>
      <c r="AJ77" s="81" t="s">
        <v>110</v>
      </c>
      <c r="AK77" s="81" t="s">
        <v>110</v>
      </c>
      <c r="AL77" s="37" t="s">
        <v>110</v>
      </c>
      <c r="AM77" s="37" t="s">
        <v>110</v>
      </c>
      <c r="AN77" s="37" t="s">
        <v>110</v>
      </c>
      <c r="AO77" s="81" t="s">
        <v>110</v>
      </c>
      <c r="AP77" s="37" t="s">
        <v>123</v>
      </c>
      <c r="AQ77" s="81" t="s">
        <v>125</v>
      </c>
      <c r="AR77" s="81" t="s">
        <v>119</v>
      </c>
      <c r="AS77" s="37" t="s">
        <v>110</v>
      </c>
      <c r="AT77" s="9" t="s">
        <v>111</v>
      </c>
      <c r="AU77" s="10" t="s">
        <v>111</v>
      </c>
      <c r="AV77" s="37" t="s">
        <v>110</v>
      </c>
      <c r="AW77" s="37" t="s">
        <v>110</v>
      </c>
      <c r="AX77" s="37" t="s">
        <v>111</v>
      </c>
      <c r="AY77" s="37" t="s">
        <v>110</v>
      </c>
      <c r="AZ77" s="81" t="s">
        <v>126</v>
      </c>
      <c r="BA77" s="81" t="s">
        <v>110</v>
      </c>
      <c r="BB77" s="81" t="s">
        <v>126</v>
      </c>
      <c r="BC77" s="81" t="s">
        <v>111</v>
      </c>
      <c r="BD77" s="93" t="s">
        <v>124</v>
      </c>
      <c r="BE77" s="81" t="s">
        <v>126</v>
      </c>
      <c r="BF77" s="81" t="s">
        <v>110</v>
      </c>
      <c r="BG77" s="37" t="s">
        <v>110</v>
      </c>
      <c r="BH77" s="81" t="s">
        <v>124</v>
      </c>
      <c r="BI77" s="37" t="s">
        <v>111</v>
      </c>
      <c r="BJ77" s="81" t="s">
        <v>119</v>
      </c>
      <c r="BK77" s="37" t="s">
        <v>110</v>
      </c>
      <c r="BL77" s="37" t="s">
        <v>126</v>
      </c>
      <c r="BM77" s="37" t="s">
        <v>209</v>
      </c>
      <c r="BN77" s="11" t="s">
        <v>111</v>
      </c>
      <c r="BO77" s="37" t="s">
        <v>111</v>
      </c>
      <c r="BP77" s="37" t="s">
        <v>111</v>
      </c>
      <c r="BQ77" s="37" t="s">
        <v>110</v>
      </c>
      <c r="BR77" s="37" t="s">
        <v>110</v>
      </c>
      <c r="BS77" s="81" t="s">
        <v>110</v>
      </c>
      <c r="BT77" s="37" t="s">
        <v>110</v>
      </c>
      <c r="BU77" s="37" t="s">
        <v>110</v>
      </c>
      <c r="BV77" s="37" t="s">
        <v>110</v>
      </c>
      <c r="BW77" s="37" t="s">
        <v>110</v>
      </c>
      <c r="BX77" s="37" t="s">
        <v>126</v>
      </c>
      <c r="BY77" s="81" t="s">
        <v>110</v>
      </c>
      <c r="BZ77" s="37" t="s">
        <v>119</v>
      </c>
      <c r="CA77" s="37" t="s">
        <v>119</v>
      </c>
      <c r="CB77" s="37" t="s">
        <v>110</v>
      </c>
      <c r="CC77" s="37" t="s">
        <v>110</v>
      </c>
      <c r="CD77" s="37" t="s">
        <v>111</v>
      </c>
      <c r="CE77" s="37" t="s">
        <v>110</v>
      </c>
      <c r="CF77" s="37" t="s">
        <v>119</v>
      </c>
      <c r="CG77" s="37" t="s">
        <v>119</v>
      </c>
      <c r="CH77" s="81" t="s">
        <v>119</v>
      </c>
      <c r="CI77" s="37" t="s">
        <v>119</v>
      </c>
      <c r="CJ77" s="37" t="s">
        <v>111</v>
      </c>
      <c r="CK77" s="37" t="s">
        <v>124</v>
      </c>
      <c r="CL77" s="37" t="s">
        <v>110</v>
      </c>
      <c r="CM77" s="37" t="s">
        <v>111</v>
      </c>
      <c r="CN77" s="41"/>
      <c r="CO77" t="s">
        <v>786</v>
      </c>
      <c r="CP77">
        <f>IFERROR(VLOOKUP(H77,'Lista Lideres'!$A$1:$B$350,2,0),0)</f>
        <v>0</v>
      </c>
    </row>
    <row r="78" spans="1:94" ht="13.8" hidden="1" x14ac:dyDescent="0.3">
      <c r="A78" s="39">
        <v>45575.822055104167</v>
      </c>
      <c r="B78" s="36" t="s">
        <v>252</v>
      </c>
      <c r="C78" s="36" t="s">
        <v>782</v>
      </c>
      <c r="D78" s="36" t="s">
        <v>93</v>
      </c>
      <c r="E78" s="36" t="s">
        <v>396</v>
      </c>
      <c r="F78" s="36" t="s">
        <v>171</v>
      </c>
      <c r="G78" s="36" t="s">
        <v>397</v>
      </c>
      <c r="H78" s="36" t="s">
        <v>397</v>
      </c>
      <c r="I78" s="36" t="s">
        <v>100</v>
      </c>
      <c r="J78" s="36" t="s">
        <v>173</v>
      </c>
      <c r="K78" s="36" t="s">
        <v>102</v>
      </c>
      <c r="L78" s="82" t="s">
        <v>103</v>
      </c>
      <c r="M78" s="58" t="s">
        <v>351</v>
      </c>
      <c r="N78" s="82" t="s">
        <v>282</v>
      </c>
      <c r="O78" s="82" t="s">
        <v>352</v>
      </c>
      <c r="P78" s="82" t="s">
        <v>264</v>
      </c>
      <c r="Q78" s="113" t="s">
        <v>151</v>
      </c>
      <c r="R78" s="82" t="s">
        <v>184</v>
      </c>
      <c r="S78" s="36" t="s">
        <v>119</v>
      </c>
      <c r="T78" s="36" t="s">
        <v>119</v>
      </c>
      <c r="U78" s="36" t="s">
        <v>119</v>
      </c>
      <c r="V78" s="82" t="s">
        <v>112</v>
      </c>
      <c r="W78" s="82" t="s">
        <v>152</v>
      </c>
      <c r="X78" s="113" t="s">
        <v>114</v>
      </c>
      <c r="Y78" s="36" t="s">
        <v>111</v>
      </c>
      <c r="Z78" s="36" t="s">
        <v>111</v>
      </c>
      <c r="AA78" s="36" t="s">
        <v>110</v>
      </c>
      <c r="AB78" s="36" t="s">
        <v>110</v>
      </c>
      <c r="AC78" s="82" t="s">
        <v>110</v>
      </c>
      <c r="AD78" s="82" t="s">
        <v>166</v>
      </c>
      <c r="AE78" s="82" t="s">
        <v>138</v>
      </c>
      <c r="AF78" s="94" t="s">
        <v>110</v>
      </c>
      <c r="AG78" s="82" t="s">
        <v>120</v>
      </c>
      <c r="AH78" s="36" t="s">
        <v>122</v>
      </c>
      <c r="AI78" s="82" t="s">
        <v>110</v>
      </c>
      <c r="AJ78" s="82" t="s">
        <v>128</v>
      </c>
      <c r="AK78" s="82" t="s">
        <v>128</v>
      </c>
      <c r="AL78" s="36" t="s">
        <v>122</v>
      </c>
      <c r="AM78" s="36" t="s">
        <v>123</v>
      </c>
      <c r="AN78" s="36" t="s">
        <v>177</v>
      </c>
      <c r="AO78" s="82" t="s">
        <v>123</v>
      </c>
      <c r="AP78" s="36" t="s">
        <v>123</v>
      </c>
      <c r="AQ78" s="82" t="s">
        <v>126</v>
      </c>
      <c r="AR78" s="82" t="s">
        <v>110</v>
      </c>
      <c r="AS78" s="36" t="s">
        <v>110</v>
      </c>
      <c r="AT78" s="16" t="s">
        <v>110</v>
      </c>
      <c r="AU78" s="17" t="s">
        <v>110</v>
      </c>
      <c r="AV78" s="36" t="s">
        <v>110</v>
      </c>
      <c r="AW78" s="36" t="s">
        <v>111</v>
      </c>
      <c r="AX78" s="36" t="s">
        <v>111</v>
      </c>
      <c r="AY78" s="36" t="s">
        <v>120</v>
      </c>
      <c r="AZ78" s="82" t="s">
        <v>126</v>
      </c>
      <c r="BA78" s="82" t="s">
        <v>110</v>
      </c>
      <c r="BB78" s="82" t="s">
        <v>126</v>
      </c>
      <c r="BC78" s="82" t="s">
        <v>110</v>
      </c>
      <c r="BD78" s="94" t="s">
        <v>124</v>
      </c>
      <c r="BE78" s="82" t="s">
        <v>126</v>
      </c>
      <c r="BF78" s="82" t="s">
        <v>110</v>
      </c>
      <c r="BG78" s="36" t="s">
        <v>119</v>
      </c>
      <c r="BH78" s="82" t="s">
        <v>125</v>
      </c>
      <c r="BI78" s="36" t="s">
        <v>111</v>
      </c>
      <c r="BJ78" s="82" t="s">
        <v>120</v>
      </c>
      <c r="BK78" s="36" t="s">
        <v>110</v>
      </c>
      <c r="BL78" s="36" t="s">
        <v>126</v>
      </c>
      <c r="BM78" s="36" t="s">
        <v>209</v>
      </c>
      <c r="BN78" s="18" t="s">
        <v>119</v>
      </c>
      <c r="BO78" s="36" t="s">
        <v>110</v>
      </c>
      <c r="BP78" s="36" t="s">
        <v>111</v>
      </c>
      <c r="BQ78" s="36" t="s">
        <v>110</v>
      </c>
      <c r="BR78" s="36" t="s">
        <v>110</v>
      </c>
      <c r="BS78" s="82" t="s">
        <v>110</v>
      </c>
      <c r="BT78" s="36" t="s">
        <v>129</v>
      </c>
      <c r="BU78" s="36" t="s">
        <v>119</v>
      </c>
      <c r="BV78" s="36" t="s">
        <v>119</v>
      </c>
      <c r="BW78" s="36" t="s">
        <v>110</v>
      </c>
      <c r="BX78" s="36" t="s">
        <v>125</v>
      </c>
      <c r="BY78" s="82" t="s">
        <v>110</v>
      </c>
      <c r="BZ78" s="36" t="s">
        <v>115</v>
      </c>
      <c r="CA78" s="36" t="s">
        <v>119</v>
      </c>
      <c r="CB78" s="36" t="s">
        <v>111</v>
      </c>
      <c r="CC78" s="36" t="s">
        <v>129</v>
      </c>
      <c r="CD78" s="36" t="s">
        <v>110</v>
      </c>
      <c r="CE78" s="36" t="s">
        <v>398</v>
      </c>
      <c r="CF78" s="36" t="s">
        <v>119</v>
      </c>
      <c r="CG78" s="36" t="s">
        <v>129</v>
      </c>
      <c r="CH78" s="82" t="s">
        <v>119</v>
      </c>
      <c r="CI78" s="36" t="s">
        <v>110</v>
      </c>
      <c r="CJ78" s="36" t="s">
        <v>111</v>
      </c>
      <c r="CK78" s="36" t="s">
        <v>124</v>
      </c>
      <c r="CL78" s="36" t="s">
        <v>129</v>
      </c>
      <c r="CM78" s="36" t="s">
        <v>129</v>
      </c>
      <c r="CN78" s="40" t="s">
        <v>399</v>
      </c>
      <c r="CO78" t="s">
        <v>786</v>
      </c>
      <c r="CP78">
        <f>IFERROR(VLOOKUP(H78,'Lista Lideres'!$A$1:$B$350,2,0),0)</f>
        <v>1</v>
      </c>
    </row>
    <row r="79" spans="1:94" ht="14.4" hidden="1" x14ac:dyDescent="0.3">
      <c r="A79" s="35">
        <v>45564.472001840273</v>
      </c>
      <c r="B79" s="36" t="s">
        <v>252</v>
      </c>
      <c r="C79" s="37" t="s">
        <v>782</v>
      </c>
      <c r="D79" s="37" t="s">
        <v>93</v>
      </c>
      <c r="E79" s="37" t="s">
        <v>300</v>
      </c>
      <c r="F79" s="37" t="s">
        <v>171</v>
      </c>
      <c r="G79" s="37" t="s">
        <v>400</v>
      </c>
      <c r="H79" s="37" t="s">
        <v>208</v>
      </c>
      <c r="I79" s="37" t="s">
        <v>100</v>
      </c>
      <c r="J79" s="37" t="s">
        <v>196</v>
      </c>
      <c r="K79" s="37" t="s">
        <v>102</v>
      </c>
      <c r="L79" s="81" t="s">
        <v>103</v>
      </c>
      <c r="M79" s="58" t="s">
        <v>351</v>
      </c>
      <c r="N79" s="81" t="s">
        <v>282</v>
      </c>
      <c r="O79" s="81" t="s">
        <v>352</v>
      </c>
      <c r="P79" s="81" t="s">
        <v>175</v>
      </c>
      <c r="Q79" s="112" t="s">
        <v>163</v>
      </c>
      <c r="R79" s="37" t="s">
        <v>176</v>
      </c>
      <c r="S79" s="37" t="s">
        <v>110</v>
      </c>
      <c r="T79" s="37" t="s">
        <v>110</v>
      </c>
      <c r="U79" s="37" t="s">
        <v>110</v>
      </c>
      <c r="V79" s="81" t="s">
        <v>126</v>
      </c>
      <c r="W79" s="81" t="s">
        <v>152</v>
      </c>
      <c r="X79" s="112" t="s">
        <v>114</v>
      </c>
      <c r="Y79" s="37" t="s">
        <v>111</v>
      </c>
      <c r="Z79" s="37" t="s">
        <v>111</v>
      </c>
      <c r="AA79" s="37" t="s">
        <v>111</v>
      </c>
      <c r="AB79" s="37" t="s">
        <v>111</v>
      </c>
      <c r="AC79" s="81" t="s">
        <v>110</v>
      </c>
      <c r="AD79" s="81" t="s">
        <v>137</v>
      </c>
      <c r="AE79" s="81" t="s">
        <v>138</v>
      </c>
      <c r="AF79" s="93" t="s">
        <v>110</v>
      </c>
      <c r="AG79" s="81" t="s">
        <v>110</v>
      </c>
      <c r="AH79" s="37" t="s">
        <v>110</v>
      </c>
      <c r="AI79" s="81" t="s">
        <v>110</v>
      </c>
      <c r="AJ79" s="81" t="s">
        <v>110</v>
      </c>
      <c r="AK79" s="81" t="s">
        <v>110</v>
      </c>
      <c r="AL79" s="37" t="s">
        <v>122</v>
      </c>
      <c r="AM79" s="37" t="s">
        <v>123</v>
      </c>
      <c r="AN79" s="37" t="s">
        <v>123</v>
      </c>
      <c r="AO79" s="81" t="s">
        <v>123</v>
      </c>
      <c r="AP79" s="37" t="s">
        <v>123</v>
      </c>
      <c r="AQ79" s="81" t="s">
        <v>126</v>
      </c>
      <c r="AR79" s="81" t="s">
        <v>110</v>
      </c>
      <c r="AS79" s="37" t="s">
        <v>110</v>
      </c>
      <c r="AT79" s="9" t="s">
        <v>110</v>
      </c>
      <c r="AU79" s="10" t="s">
        <v>110</v>
      </c>
      <c r="AV79" s="37" t="s">
        <v>110</v>
      </c>
      <c r="AW79" s="37" t="s">
        <v>110</v>
      </c>
      <c r="AX79" s="37" t="s">
        <v>110</v>
      </c>
      <c r="AY79" s="37" t="s">
        <v>111</v>
      </c>
      <c r="AZ79" s="81" t="s">
        <v>126</v>
      </c>
      <c r="BA79" s="81" t="s">
        <v>110</v>
      </c>
      <c r="BB79" s="81" t="s">
        <v>124</v>
      </c>
      <c r="BC79" s="81" t="s">
        <v>110</v>
      </c>
      <c r="BD79" s="93" t="s">
        <v>124</v>
      </c>
      <c r="BE79" s="81" t="s">
        <v>126</v>
      </c>
      <c r="BF79" s="81" t="s">
        <v>110</v>
      </c>
      <c r="BG79" s="37" t="s">
        <v>111</v>
      </c>
      <c r="BH79" s="81" t="s">
        <v>126</v>
      </c>
      <c r="BI79" s="37" t="s">
        <v>110</v>
      </c>
      <c r="BJ79" s="81" t="s">
        <v>111</v>
      </c>
      <c r="BK79" s="37" t="s">
        <v>110</v>
      </c>
      <c r="BL79" s="37" t="s">
        <v>126</v>
      </c>
      <c r="BM79" s="37" t="s">
        <v>110</v>
      </c>
      <c r="BN79" s="11" t="s">
        <v>110</v>
      </c>
      <c r="BO79" s="37" t="s">
        <v>110</v>
      </c>
      <c r="BP79" s="37" t="s">
        <v>111</v>
      </c>
      <c r="BQ79" s="37" t="s">
        <v>110</v>
      </c>
      <c r="BR79" s="37" t="s">
        <v>110</v>
      </c>
      <c r="BS79" s="81" t="s">
        <v>110</v>
      </c>
      <c r="BT79" s="37" t="s">
        <v>110</v>
      </c>
      <c r="BU79" s="37" t="s">
        <v>110</v>
      </c>
      <c r="BV79" s="37" t="s">
        <v>110</v>
      </c>
      <c r="BW79" s="37" t="s">
        <v>110</v>
      </c>
      <c r="BX79" s="37" t="s">
        <v>124</v>
      </c>
      <c r="BY79" s="81" t="s">
        <v>110</v>
      </c>
      <c r="BZ79" s="37" t="s">
        <v>111</v>
      </c>
      <c r="CA79" s="37" t="s">
        <v>110</v>
      </c>
      <c r="CB79" s="37" t="s">
        <v>110</v>
      </c>
      <c r="CC79" s="37" t="s">
        <v>110</v>
      </c>
      <c r="CD79" s="37" t="s">
        <v>110</v>
      </c>
      <c r="CE79" s="37" t="s">
        <v>110</v>
      </c>
      <c r="CF79" s="37" t="s">
        <v>110</v>
      </c>
      <c r="CG79" s="37" t="s">
        <v>119</v>
      </c>
      <c r="CH79" s="81" t="s">
        <v>110</v>
      </c>
      <c r="CI79" s="37" t="s">
        <v>110</v>
      </c>
      <c r="CJ79" s="37" t="s">
        <v>110</v>
      </c>
      <c r="CK79" s="37" t="s">
        <v>126</v>
      </c>
      <c r="CL79" s="37" t="s">
        <v>110</v>
      </c>
      <c r="CM79" s="37" t="s">
        <v>110</v>
      </c>
      <c r="CN79" s="41"/>
      <c r="CO79" t="s">
        <v>786</v>
      </c>
      <c r="CP79">
        <f>IFERROR(VLOOKUP(H79,'Lista Lideres'!$A$1:$B$350,2,0),0)</f>
        <v>0</v>
      </c>
    </row>
    <row r="80" spans="1:94" ht="14.4" hidden="1" x14ac:dyDescent="0.3">
      <c r="A80" s="39">
        <v>45566.788839826389</v>
      </c>
      <c r="B80" s="36" t="s">
        <v>252</v>
      </c>
      <c r="C80" s="36" t="s">
        <v>782</v>
      </c>
      <c r="D80" s="36" t="s">
        <v>93</v>
      </c>
      <c r="E80" s="36" t="s">
        <v>401</v>
      </c>
      <c r="F80" s="36" t="s">
        <v>171</v>
      </c>
      <c r="G80" s="36" t="s">
        <v>402</v>
      </c>
      <c r="H80" s="36" t="s">
        <v>403</v>
      </c>
      <c r="I80" s="36" t="s">
        <v>100</v>
      </c>
      <c r="J80" s="36" t="s">
        <v>101</v>
      </c>
      <c r="K80" s="36" t="s">
        <v>102</v>
      </c>
      <c r="L80" s="82" t="s">
        <v>162</v>
      </c>
      <c r="M80" s="58" t="s">
        <v>351</v>
      </c>
      <c r="N80" s="82" t="s">
        <v>282</v>
      </c>
      <c r="O80" s="82" t="s">
        <v>352</v>
      </c>
      <c r="P80" s="82" t="s">
        <v>264</v>
      </c>
      <c r="Q80" s="113" t="s">
        <v>108</v>
      </c>
      <c r="R80" s="36" t="s">
        <v>109</v>
      </c>
      <c r="S80" s="36" t="s">
        <v>119</v>
      </c>
      <c r="T80" s="36" t="s">
        <v>119</v>
      </c>
      <c r="U80" s="36" t="s">
        <v>119</v>
      </c>
      <c r="V80" s="82" t="s">
        <v>320</v>
      </c>
      <c r="W80" s="82" t="s">
        <v>152</v>
      </c>
      <c r="X80" s="113" t="s">
        <v>114</v>
      </c>
      <c r="Y80" s="36" t="s">
        <v>206</v>
      </c>
      <c r="Z80" s="36" t="s">
        <v>119</v>
      </c>
      <c r="AA80" s="36" t="s">
        <v>119</v>
      </c>
      <c r="AB80" s="36" t="s">
        <v>111</v>
      </c>
      <c r="AC80" s="82" t="s">
        <v>111</v>
      </c>
      <c r="AD80" s="82" t="s">
        <v>166</v>
      </c>
      <c r="AE80" s="82" t="s">
        <v>118</v>
      </c>
      <c r="AF80" s="94" t="s">
        <v>119</v>
      </c>
      <c r="AG80" s="82" t="s">
        <v>119</v>
      </c>
      <c r="AH80" s="36" t="s">
        <v>177</v>
      </c>
      <c r="AI80" s="82" t="s">
        <v>122</v>
      </c>
      <c r="AJ80" s="82" t="s">
        <v>128</v>
      </c>
      <c r="AK80" s="82" t="s">
        <v>128</v>
      </c>
      <c r="AL80" s="36" t="s">
        <v>122</v>
      </c>
      <c r="AM80" s="36" t="s">
        <v>123</v>
      </c>
      <c r="AN80" s="36" t="s">
        <v>123</v>
      </c>
      <c r="AO80" s="82" t="s">
        <v>178</v>
      </c>
      <c r="AP80" s="36" t="s">
        <v>123</v>
      </c>
      <c r="AQ80" s="82" t="s">
        <v>126</v>
      </c>
      <c r="AR80" s="82" t="s">
        <v>110</v>
      </c>
      <c r="AS80" s="36" t="s">
        <v>119</v>
      </c>
      <c r="AT80" s="16" t="s">
        <v>111</v>
      </c>
      <c r="AU80" s="17" t="s">
        <v>119</v>
      </c>
      <c r="AV80" s="36" t="s">
        <v>111</v>
      </c>
      <c r="AW80" s="36" t="s">
        <v>111</v>
      </c>
      <c r="AX80" s="36" t="s">
        <v>111</v>
      </c>
      <c r="AY80" s="36" t="s">
        <v>111</v>
      </c>
      <c r="AZ80" s="82" t="s">
        <v>124</v>
      </c>
      <c r="BA80" s="82" t="s">
        <v>111</v>
      </c>
      <c r="BB80" s="82" t="s">
        <v>124</v>
      </c>
      <c r="BC80" s="82" t="s">
        <v>111</v>
      </c>
      <c r="BD80" s="94" t="s">
        <v>124</v>
      </c>
      <c r="BE80" s="82" t="s">
        <v>126</v>
      </c>
      <c r="BF80" s="82" t="s">
        <v>128</v>
      </c>
      <c r="BG80" s="36" t="s">
        <v>119</v>
      </c>
      <c r="BH80" s="82" t="s">
        <v>124</v>
      </c>
      <c r="BI80" s="36" t="s">
        <v>119</v>
      </c>
      <c r="BJ80" s="82" t="s">
        <v>120</v>
      </c>
      <c r="BK80" s="36" t="s">
        <v>122</v>
      </c>
      <c r="BL80" s="36" t="s">
        <v>124</v>
      </c>
      <c r="BM80" s="36" t="s">
        <v>127</v>
      </c>
      <c r="BN80" s="18" t="s">
        <v>110</v>
      </c>
      <c r="BO80" s="36" t="s">
        <v>110</v>
      </c>
      <c r="BP80" s="36" t="s">
        <v>111</v>
      </c>
      <c r="BQ80" s="36" t="s">
        <v>119</v>
      </c>
      <c r="BR80" s="36" t="s">
        <v>119</v>
      </c>
      <c r="BS80" s="82" t="s">
        <v>119</v>
      </c>
      <c r="BT80" s="36" t="s">
        <v>119</v>
      </c>
      <c r="BU80" s="36" t="s">
        <v>110</v>
      </c>
      <c r="BV80" s="36" t="s">
        <v>111</v>
      </c>
      <c r="BW80" s="36" t="s">
        <v>128</v>
      </c>
      <c r="BX80" s="36" t="s">
        <v>124</v>
      </c>
      <c r="BY80" s="82" t="s">
        <v>119</v>
      </c>
      <c r="BZ80" s="36" t="s">
        <v>119</v>
      </c>
      <c r="CA80" s="36" t="s">
        <v>119</v>
      </c>
      <c r="CB80" s="36" t="s">
        <v>110</v>
      </c>
      <c r="CC80" s="36" t="s">
        <v>119</v>
      </c>
      <c r="CD80" s="36" t="s">
        <v>110</v>
      </c>
      <c r="CE80" s="36" t="s">
        <v>209</v>
      </c>
      <c r="CF80" s="36" t="s">
        <v>119</v>
      </c>
      <c r="CG80" s="36" t="s">
        <v>119</v>
      </c>
      <c r="CH80" s="82" t="s">
        <v>119</v>
      </c>
      <c r="CI80" s="36" t="s">
        <v>111</v>
      </c>
      <c r="CJ80" s="36" t="s">
        <v>119</v>
      </c>
      <c r="CK80" s="36" t="s">
        <v>124</v>
      </c>
      <c r="CL80" s="36" t="s">
        <v>119</v>
      </c>
      <c r="CM80" s="36" t="s">
        <v>110</v>
      </c>
      <c r="CN80" s="41"/>
      <c r="CO80" t="s">
        <v>786</v>
      </c>
      <c r="CP80">
        <f>IFERROR(VLOOKUP(H80,'Lista Lideres'!$A$1:$B$350,2,0),0)</f>
        <v>1</v>
      </c>
    </row>
    <row r="81" spans="1:94" ht="14.4" hidden="1" x14ac:dyDescent="0.3">
      <c r="A81" s="35">
        <v>45560.916530277776</v>
      </c>
      <c r="B81" s="36" t="s">
        <v>252</v>
      </c>
      <c r="C81" s="37" t="s">
        <v>782</v>
      </c>
      <c r="D81" s="37" t="s">
        <v>93</v>
      </c>
      <c r="E81" s="37" t="s">
        <v>404</v>
      </c>
      <c r="F81" s="37" t="s">
        <v>97</v>
      </c>
      <c r="G81" s="37" t="s">
        <v>405</v>
      </c>
      <c r="H81" s="37" t="s">
        <v>406</v>
      </c>
      <c r="I81" s="37" t="s">
        <v>161</v>
      </c>
      <c r="J81" s="37" t="s">
        <v>173</v>
      </c>
      <c r="K81" s="37" t="s">
        <v>174</v>
      </c>
      <c r="L81" s="81" t="s">
        <v>150</v>
      </c>
      <c r="M81" s="58" t="s">
        <v>351</v>
      </c>
      <c r="N81" s="81" t="s">
        <v>282</v>
      </c>
      <c r="O81" s="81" t="s">
        <v>388</v>
      </c>
      <c r="P81" s="81" t="s">
        <v>175</v>
      </c>
      <c r="Q81" s="112" t="s">
        <v>163</v>
      </c>
      <c r="R81" s="37" t="s">
        <v>176</v>
      </c>
      <c r="S81" s="37" t="s">
        <v>110</v>
      </c>
      <c r="T81" s="37" t="s">
        <v>110</v>
      </c>
      <c r="U81" s="37" t="s">
        <v>110</v>
      </c>
      <c r="V81" s="81" t="s">
        <v>126</v>
      </c>
      <c r="W81" s="81" t="s">
        <v>363</v>
      </c>
      <c r="X81" s="112" t="s">
        <v>114</v>
      </c>
      <c r="Y81" s="37" t="s">
        <v>110</v>
      </c>
      <c r="Z81" s="37" t="s">
        <v>110</v>
      </c>
      <c r="AA81" s="37" t="s">
        <v>110</v>
      </c>
      <c r="AB81" s="37" t="s">
        <v>110</v>
      </c>
      <c r="AC81" s="81" t="s">
        <v>110</v>
      </c>
      <c r="AD81" s="81" t="s">
        <v>166</v>
      </c>
      <c r="AE81" s="81" t="s">
        <v>138</v>
      </c>
      <c r="AF81" s="93" t="s">
        <v>110</v>
      </c>
      <c r="AG81" s="81" t="s">
        <v>110</v>
      </c>
      <c r="AH81" s="37" t="s">
        <v>110</v>
      </c>
      <c r="AI81" s="81" t="s">
        <v>128</v>
      </c>
      <c r="AJ81" s="81" t="s">
        <v>128</v>
      </c>
      <c r="AK81" s="81" t="s">
        <v>128</v>
      </c>
      <c r="AL81" s="37" t="s">
        <v>110</v>
      </c>
      <c r="AM81" s="37" t="s">
        <v>110</v>
      </c>
      <c r="AN81" s="37" t="s">
        <v>110</v>
      </c>
      <c r="AO81" s="81" t="s">
        <v>110</v>
      </c>
      <c r="AP81" s="37" t="s">
        <v>110</v>
      </c>
      <c r="AQ81" s="81" t="s">
        <v>126</v>
      </c>
      <c r="AR81" s="81" t="s">
        <v>110</v>
      </c>
      <c r="AS81" s="37" t="s">
        <v>110</v>
      </c>
      <c r="AT81" s="9" t="s">
        <v>110</v>
      </c>
      <c r="AU81" s="10" t="s">
        <v>110</v>
      </c>
      <c r="AV81" s="37" t="s">
        <v>110</v>
      </c>
      <c r="AW81" s="37" t="s">
        <v>110</v>
      </c>
      <c r="AX81" s="37" t="s">
        <v>110</v>
      </c>
      <c r="AY81" s="37" t="s">
        <v>110</v>
      </c>
      <c r="AZ81" s="81" t="s">
        <v>126</v>
      </c>
      <c r="BA81" s="81" t="s">
        <v>110</v>
      </c>
      <c r="BB81" s="81" t="s">
        <v>125</v>
      </c>
      <c r="BC81" s="81" t="s">
        <v>110</v>
      </c>
      <c r="BD81" s="93" t="s">
        <v>126</v>
      </c>
      <c r="BE81" s="81" t="s">
        <v>125</v>
      </c>
      <c r="BF81" s="81" t="s">
        <v>122</v>
      </c>
      <c r="BG81" s="37" t="s">
        <v>120</v>
      </c>
      <c r="BH81" s="81" t="s">
        <v>124</v>
      </c>
      <c r="BI81" s="37" t="s">
        <v>111</v>
      </c>
      <c r="BJ81" s="81" t="s">
        <v>119</v>
      </c>
      <c r="BK81" s="37" t="s">
        <v>110</v>
      </c>
      <c r="BL81" s="37" t="s">
        <v>126</v>
      </c>
      <c r="BM81" s="37" t="s">
        <v>209</v>
      </c>
      <c r="BN81" s="11" t="s">
        <v>111</v>
      </c>
      <c r="BO81" s="37" t="s">
        <v>111</v>
      </c>
      <c r="BP81" s="37" t="s">
        <v>110</v>
      </c>
      <c r="BQ81" s="37" t="s">
        <v>110</v>
      </c>
      <c r="BR81" s="37" t="s">
        <v>110</v>
      </c>
      <c r="BS81" s="81" t="s">
        <v>119</v>
      </c>
      <c r="BT81" s="37" t="s">
        <v>129</v>
      </c>
      <c r="BU81" s="37" t="s">
        <v>119</v>
      </c>
      <c r="BV81" s="37" t="s">
        <v>119</v>
      </c>
      <c r="BW81" s="37" t="s">
        <v>110</v>
      </c>
      <c r="BX81" s="37" t="s">
        <v>126</v>
      </c>
      <c r="BY81" s="81" t="s">
        <v>110</v>
      </c>
      <c r="BZ81" s="37" t="s">
        <v>129</v>
      </c>
      <c r="CA81" s="37" t="s">
        <v>119</v>
      </c>
      <c r="CB81" s="37" t="s">
        <v>110</v>
      </c>
      <c r="CC81" s="37" t="s">
        <v>111</v>
      </c>
      <c r="CD81" s="37" t="s">
        <v>119</v>
      </c>
      <c r="CE81" s="37" t="s">
        <v>209</v>
      </c>
      <c r="CF81" s="37" t="s">
        <v>111</v>
      </c>
      <c r="CG81" s="37" t="s">
        <v>129</v>
      </c>
      <c r="CH81" s="81" t="s">
        <v>129</v>
      </c>
      <c r="CI81" s="37" t="s">
        <v>111</v>
      </c>
      <c r="CJ81" s="37" t="s">
        <v>110</v>
      </c>
      <c r="CK81" s="37" t="s">
        <v>203</v>
      </c>
      <c r="CL81" s="37" t="s">
        <v>110</v>
      </c>
      <c r="CM81" s="37" t="s">
        <v>110</v>
      </c>
      <c r="CN81" s="38"/>
      <c r="CO81" t="s">
        <v>785</v>
      </c>
      <c r="CP81">
        <f>IFERROR(VLOOKUP(H81,'Lista Lideres'!$A$1:$B$350,2,0),0)</f>
        <v>0</v>
      </c>
    </row>
    <row r="82" spans="1:94" ht="13.8" hidden="1" x14ac:dyDescent="0.3">
      <c r="A82" s="39">
        <v>45560.752314502315</v>
      </c>
      <c r="B82" s="36" t="s">
        <v>252</v>
      </c>
      <c r="C82" s="36" t="s">
        <v>782</v>
      </c>
      <c r="D82" s="36" t="s">
        <v>93</v>
      </c>
      <c r="E82" s="36" t="s">
        <v>300</v>
      </c>
      <c r="F82" s="36" t="s">
        <v>171</v>
      </c>
      <c r="G82" s="36" t="s">
        <v>407</v>
      </c>
      <c r="H82" s="36" t="s">
        <v>403</v>
      </c>
      <c r="I82" s="36" t="s">
        <v>161</v>
      </c>
      <c r="J82" s="36" t="s">
        <v>196</v>
      </c>
      <c r="K82" s="36" t="s">
        <v>102</v>
      </c>
      <c r="L82" s="82" t="s">
        <v>103</v>
      </c>
      <c r="M82" s="58" t="s">
        <v>351</v>
      </c>
      <c r="N82" s="82" t="s">
        <v>282</v>
      </c>
      <c r="O82" s="82" t="s">
        <v>352</v>
      </c>
      <c r="P82" s="82" t="s">
        <v>264</v>
      </c>
      <c r="Q82" s="113" t="s">
        <v>151</v>
      </c>
      <c r="R82" s="36" t="s">
        <v>164</v>
      </c>
      <c r="S82" s="36" t="s">
        <v>110</v>
      </c>
      <c r="T82" s="36" t="s">
        <v>110</v>
      </c>
      <c r="U82" s="36" t="s">
        <v>110</v>
      </c>
      <c r="V82" s="82" t="s">
        <v>126</v>
      </c>
      <c r="W82" s="82" t="s">
        <v>152</v>
      </c>
      <c r="X82" s="113" t="s">
        <v>114</v>
      </c>
      <c r="Y82" s="36" t="s">
        <v>110</v>
      </c>
      <c r="Z82" s="36" t="s">
        <v>110</v>
      </c>
      <c r="AA82" s="36" t="s">
        <v>110</v>
      </c>
      <c r="AB82" s="36" t="s">
        <v>119</v>
      </c>
      <c r="AC82" s="82" t="s">
        <v>119</v>
      </c>
      <c r="AD82" s="82" t="s">
        <v>137</v>
      </c>
      <c r="AE82" s="82" t="s">
        <v>138</v>
      </c>
      <c r="AF82" s="94" t="s">
        <v>111</v>
      </c>
      <c r="AG82" s="82" t="s">
        <v>110</v>
      </c>
      <c r="AH82" s="36" t="s">
        <v>122</v>
      </c>
      <c r="AI82" s="82" t="s">
        <v>122</v>
      </c>
      <c r="AJ82" s="82" t="s">
        <v>122</v>
      </c>
      <c r="AK82" s="82" t="s">
        <v>122</v>
      </c>
      <c r="AL82" s="36" t="s">
        <v>122</v>
      </c>
      <c r="AM82" s="36" t="s">
        <v>123</v>
      </c>
      <c r="AN82" s="36" t="s">
        <v>123</v>
      </c>
      <c r="AO82" s="82" t="s">
        <v>178</v>
      </c>
      <c r="AP82" s="36" t="s">
        <v>110</v>
      </c>
      <c r="AQ82" s="82" t="s">
        <v>126</v>
      </c>
      <c r="AR82" s="82" t="s">
        <v>119</v>
      </c>
      <c r="AS82" s="36" t="s">
        <v>110</v>
      </c>
      <c r="AT82" s="16" t="s">
        <v>110</v>
      </c>
      <c r="AU82" s="17" t="s">
        <v>110</v>
      </c>
      <c r="AV82" s="36" t="s">
        <v>111</v>
      </c>
      <c r="AW82" s="36" t="s">
        <v>110</v>
      </c>
      <c r="AX82" s="36" t="s">
        <v>110</v>
      </c>
      <c r="AY82" s="36" t="s">
        <v>111</v>
      </c>
      <c r="AZ82" s="82" t="s">
        <v>124</v>
      </c>
      <c r="BA82" s="82" t="s">
        <v>111</v>
      </c>
      <c r="BB82" s="82" t="s">
        <v>124</v>
      </c>
      <c r="BC82" s="82" t="s">
        <v>110</v>
      </c>
      <c r="BD82" s="94" t="s">
        <v>124</v>
      </c>
      <c r="BE82" s="82" t="s">
        <v>126</v>
      </c>
      <c r="BF82" s="82" t="s">
        <v>122</v>
      </c>
      <c r="BG82" s="36" t="s">
        <v>119</v>
      </c>
      <c r="BH82" s="82" t="s">
        <v>125</v>
      </c>
      <c r="BI82" s="36" t="s">
        <v>110</v>
      </c>
      <c r="BJ82" s="82" t="s">
        <v>111</v>
      </c>
      <c r="BK82" s="36" t="s">
        <v>122</v>
      </c>
      <c r="BL82" s="36" t="s">
        <v>126</v>
      </c>
      <c r="BM82" s="36" t="s">
        <v>110</v>
      </c>
      <c r="BN82" s="18" t="s">
        <v>110</v>
      </c>
      <c r="BO82" s="36" t="s">
        <v>110</v>
      </c>
      <c r="BP82" s="36" t="s">
        <v>111</v>
      </c>
      <c r="BQ82" s="36" t="s">
        <v>110</v>
      </c>
      <c r="BR82" s="36" t="s">
        <v>110</v>
      </c>
      <c r="BS82" s="82" t="s">
        <v>110</v>
      </c>
      <c r="BT82" s="36" t="s">
        <v>111</v>
      </c>
      <c r="BU82" s="36" t="s">
        <v>110</v>
      </c>
      <c r="BV82" s="36" t="s">
        <v>111</v>
      </c>
      <c r="BW82" s="36" t="s">
        <v>110</v>
      </c>
      <c r="BX82" s="36" t="s">
        <v>124</v>
      </c>
      <c r="BY82" s="82" t="s">
        <v>110</v>
      </c>
      <c r="BZ82" s="36" t="s">
        <v>111</v>
      </c>
      <c r="CA82" s="36" t="s">
        <v>119</v>
      </c>
      <c r="CB82" s="36" t="s">
        <v>110</v>
      </c>
      <c r="CC82" s="36" t="s">
        <v>110</v>
      </c>
      <c r="CD82" s="36" t="s">
        <v>110</v>
      </c>
      <c r="CE82" s="36" t="s">
        <v>110</v>
      </c>
      <c r="CF82" s="36" t="s">
        <v>110</v>
      </c>
      <c r="CG82" s="36" t="s">
        <v>119</v>
      </c>
      <c r="CH82" s="82" t="s">
        <v>110</v>
      </c>
      <c r="CI82" s="36" t="s">
        <v>110</v>
      </c>
      <c r="CJ82" s="36" t="s">
        <v>111</v>
      </c>
      <c r="CK82" s="36" t="s">
        <v>124</v>
      </c>
      <c r="CL82" s="36" t="s">
        <v>110</v>
      </c>
      <c r="CM82" s="36" t="s">
        <v>110</v>
      </c>
      <c r="CN82" s="40" t="s">
        <v>408</v>
      </c>
      <c r="CO82" t="s">
        <v>785</v>
      </c>
      <c r="CP82">
        <f>IFERROR(VLOOKUP(H82,'Lista Lideres'!$A$1:$B$350,2,0),0)</f>
        <v>1</v>
      </c>
    </row>
    <row r="83" spans="1:94" ht="13.8" hidden="1" x14ac:dyDescent="0.3">
      <c r="A83" s="35">
        <v>45581.442090543977</v>
      </c>
      <c r="B83" s="36" t="s">
        <v>252</v>
      </c>
      <c r="C83" s="37" t="s">
        <v>782</v>
      </c>
      <c r="D83" s="37" t="s">
        <v>131</v>
      </c>
      <c r="E83" s="37" t="s">
        <v>409</v>
      </c>
      <c r="F83" s="37" t="s">
        <v>171</v>
      </c>
      <c r="G83" s="37" t="s">
        <v>410</v>
      </c>
      <c r="H83" s="37" t="s">
        <v>410</v>
      </c>
      <c r="I83" s="37" t="s">
        <v>100</v>
      </c>
      <c r="J83" s="37" t="s">
        <v>173</v>
      </c>
      <c r="K83" s="37" t="s">
        <v>191</v>
      </c>
      <c r="L83" s="81" t="s">
        <v>213</v>
      </c>
      <c r="M83" s="58" t="s">
        <v>351</v>
      </c>
      <c r="N83" s="81" t="s">
        <v>282</v>
      </c>
      <c r="O83" s="81" t="s">
        <v>352</v>
      </c>
      <c r="P83" s="81" t="s">
        <v>175</v>
      </c>
      <c r="Q83" s="112" t="s">
        <v>163</v>
      </c>
      <c r="R83" s="37" t="s">
        <v>176</v>
      </c>
      <c r="S83" s="37" t="s">
        <v>110</v>
      </c>
      <c r="T83" s="37" t="s">
        <v>110</v>
      </c>
      <c r="U83" s="37" t="s">
        <v>110</v>
      </c>
      <c r="V83" s="81" t="s">
        <v>112</v>
      </c>
      <c r="W83" s="81" t="s">
        <v>152</v>
      </c>
      <c r="X83" s="112" t="s">
        <v>114</v>
      </c>
      <c r="Y83" s="37" t="s">
        <v>111</v>
      </c>
      <c r="Z83" s="37" t="s">
        <v>111</v>
      </c>
      <c r="AA83" s="37" t="s">
        <v>111</v>
      </c>
      <c r="AB83" s="37" t="s">
        <v>111</v>
      </c>
      <c r="AC83" s="81" t="s">
        <v>110</v>
      </c>
      <c r="AD83" s="81" t="s">
        <v>221</v>
      </c>
      <c r="AE83" s="81" t="s">
        <v>138</v>
      </c>
      <c r="AF83" s="93" t="s">
        <v>111</v>
      </c>
      <c r="AG83" s="81" t="s">
        <v>111</v>
      </c>
      <c r="AH83" s="37" t="s">
        <v>122</v>
      </c>
      <c r="AI83" s="81" t="s">
        <v>110</v>
      </c>
      <c r="AJ83" s="81" t="s">
        <v>197</v>
      </c>
      <c r="AK83" s="81" t="s">
        <v>110</v>
      </c>
      <c r="AL83" s="37" t="s">
        <v>110</v>
      </c>
      <c r="AM83" s="37" t="s">
        <v>110</v>
      </c>
      <c r="AN83" s="37" t="s">
        <v>110</v>
      </c>
      <c r="AO83" s="81" t="s">
        <v>110</v>
      </c>
      <c r="AP83" s="37" t="s">
        <v>110</v>
      </c>
      <c r="AQ83" s="81" t="s">
        <v>124</v>
      </c>
      <c r="AR83" s="81" t="s">
        <v>111</v>
      </c>
      <c r="AS83" s="37" t="s">
        <v>110</v>
      </c>
      <c r="AT83" s="9" t="s">
        <v>119</v>
      </c>
      <c r="AU83" s="10" t="s">
        <v>111</v>
      </c>
      <c r="AV83" s="37" t="s">
        <v>119</v>
      </c>
      <c r="AW83" s="37" t="s">
        <v>119</v>
      </c>
      <c r="AX83" s="37" t="s">
        <v>110</v>
      </c>
      <c r="AY83" s="37" t="s">
        <v>111</v>
      </c>
      <c r="AZ83" s="81" t="s">
        <v>126</v>
      </c>
      <c r="BA83" s="81" t="s">
        <v>111</v>
      </c>
      <c r="BB83" s="81" t="s">
        <v>139</v>
      </c>
      <c r="BC83" s="81" t="s">
        <v>111</v>
      </c>
      <c r="BD83" s="93" t="s">
        <v>126</v>
      </c>
      <c r="BE83" s="81" t="s">
        <v>140</v>
      </c>
      <c r="BF83" s="81" t="s">
        <v>141</v>
      </c>
      <c r="BG83" s="37" t="s">
        <v>110</v>
      </c>
      <c r="BH83" s="81" t="s">
        <v>125</v>
      </c>
      <c r="BI83" s="37" t="s">
        <v>111</v>
      </c>
      <c r="BJ83" s="81" t="s">
        <v>110</v>
      </c>
      <c r="BK83" s="37" t="s">
        <v>110</v>
      </c>
      <c r="BL83" s="37" t="s">
        <v>126</v>
      </c>
      <c r="BM83" s="37" t="s">
        <v>110</v>
      </c>
      <c r="BN83" s="11" t="s">
        <v>110</v>
      </c>
      <c r="BO83" s="37" t="s">
        <v>111</v>
      </c>
      <c r="BP83" s="37" t="s">
        <v>111</v>
      </c>
      <c r="BQ83" s="37" t="s">
        <v>111</v>
      </c>
      <c r="BR83" s="37" t="s">
        <v>111</v>
      </c>
      <c r="BS83" s="81" t="s">
        <v>111</v>
      </c>
      <c r="BT83" s="37" t="s">
        <v>111</v>
      </c>
      <c r="BU83" s="37" t="s">
        <v>111</v>
      </c>
      <c r="BV83" s="37" t="s">
        <v>110</v>
      </c>
      <c r="BW83" s="37" t="s">
        <v>110</v>
      </c>
      <c r="BX83" s="37" t="s">
        <v>126</v>
      </c>
      <c r="BY83" s="81" t="s">
        <v>111</v>
      </c>
      <c r="BZ83" s="37" t="s">
        <v>115</v>
      </c>
      <c r="CA83" s="37" t="s">
        <v>111</v>
      </c>
      <c r="CB83" s="37" t="s">
        <v>119</v>
      </c>
      <c r="CC83" s="37" t="s">
        <v>111</v>
      </c>
      <c r="CD83" s="37" t="s">
        <v>110</v>
      </c>
      <c r="CE83" s="37" t="s">
        <v>127</v>
      </c>
      <c r="CF83" s="37" t="s">
        <v>110</v>
      </c>
      <c r="CG83" s="37" t="s">
        <v>110</v>
      </c>
      <c r="CH83" s="81" t="s">
        <v>111</v>
      </c>
      <c r="CI83" s="37" t="s">
        <v>111</v>
      </c>
      <c r="CJ83" s="37" t="s">
        <v>119</v>
      </c>
      <c r="CK83" s="37" t="s">
        <v>126</v>
      </c>
      <c r="CL83" s="37" t="s">
        <v>110</v>
      </c>
      <c r="CM83" s="37" t="s">
        <v>110</v>
      </c>
      <c r="CN83" s="40" t="s">
        <v>411</v>
      </c>
      <c r="CO83" t="s">
        <v>786</v>
      </c>
      <c r="CP83">
        <f>IFERROR(VLOOKUP(H83,'Lista Lideres'!$A$1:$B$350,2,0),0)</f>
        <v>0</v>
      </c>
    </row>
    <row r="84" spans="1:94" ht="13.8" hidden="1" x14ac:dyDescent="0.3">
      <c r="A84" s="39">
        <v>45581.376064108801</v>
      </c>
      <c r="B84" s="36" t="s">
        <v>252</v>
      </c>
      <c r="C84" s="36" t="s">
        <v>782</v>
      </c>
      <c r="D84" s="36" t="s">
        <v>93</v>
      </c>
      <c r="E84" s="36" t="s">
        <v>412</v>
      </c>
      <c r="F84" s="36" t="s">
        <v>96</v>
      </c>
      <c r="G84" s="36" t="s">
        <v>413</v>
      </c>
      <c r="H84" s="36" t="s">
        <v>414</v>
      </c>
      <c r="I84" s="36" t="s">
        <v>100</v>
      </c>
      <c r="J84" s="36" t="s">
        <v>101</v>
      </c>
      <c r="K84" s="36" t="s">
        <v>174</v>
      </c>
      <c r="L84" s="82" t="s">
        <v>213</v>
      </c>
      <c r="M84" s="58" t="s">
        <v>351</v>
      </c>
      <c r="N84" s="82" t="s">
        <v>282</v>
      </c>
      <c r="O84" s="82" t="s">
        <v>352</v>
      </c>
      <c r="P84" s="82" t="s">
        <v>264</v>
      </c>
      <c r="Q84" s="113" t="s">
        <v>108</v>
      </c>
      <c r="R84" s="36" t="s">
        <v>164</v>
      </c>
      <c r="S84" s="36" t="s">
        <v>119</v>
      </c>
      <c r="T84" s="36" t="s">
        <v>119</v>
      </c>
      <c r="U84" s="36" t="s">
        <v>110</v>
      </c>
      <c r="V84" s="82" t="s">
        <v>126</v>
      </c>
      <c r="W84" s="82" t="s">
        <v>113</v>
      </c>
      <c r="X84" s="113" t="s">
        <v>114</v>
      </c>
      <c r="Y84" s="36" t="s">
        <v>111</v>
      </c>
      <c r="Z84" s="36" t="s">
        <v>110</v>
      </c>
      <c r="AA84" s="36" t="s">
        <v>110</v>
      </c>
      <c r="AB84" s="36" t="s">
        <v>110</v>
      </c>
      <c r="AC84" s="82" t="s">
        <v>110</v>
      </c>
      <c r="AD84" s="82" t="s">
        <v>137</v>
      </c>
      <c r="AE84" s="82" t="s">
        <v>167</v>
      </c>
      <c r="AF84" s="94" t="s">
        <v>110</v>
      </c>
      <c r="AG84" s="82" t="s">
        <v>168</v>
      </c>
      <c r="AH84" s="36" t="s">
        <v>110</v>
      </c>
      <c r="AI84" s="82" t="s">
        <v>154</v>
      </c>
      <c r="AJ84" s="82" t="s">
        <v>197</v>
      </c>
      <c r="AK84" s="82" t="s">
        <v>110</v>
      </c>
      <c r="AL84" s="36" t="s">
        <v>110</v>
      </c>
      <c r="AM84" s="36" t="s">
        <v>110</v>
      </c>
      <c r="AN84" s="36" t="s">
        <v>177</v>
      </c>
      <c r="AO84" s="82" t="s">
        <v>110</v>
      </c>
      <c r="AP84" s="36" t="s">
        <v>110</v>
      </c>
      <c r="AQ84" s="82" t="s">
        <v>126</v>
      </c>
      <c r="AR84" s="82" t="s">
        <v>110</v>
      </c>
      <c r="AS84" s="36" t="s">
        <v>110</v>
      </c>
      <c r="AT84" s="16" t="s">
        <v>110</v>
      </c>
      <c r="AU84" s="17" t="s">
        <v>111</v>
      </c>
      <c r="AV84" s="36" t="s">
        <v>110</v>
      </c>
      <c r="AW84" s="36" t="s">
        <v>110</v>
      </c>
      <c r="AX84" s="36" t="s">
        <v>110</v>
      </c>
      <c r="AY84" s="36" t="s">
        <v>111</v>
      </c>
      <c r="AZ84" s="82" t="s">
        <v>126</v>
      </c>
      <c r="BA84" s="82" t="s">
        <v>111</v>
      </c>
      <c r="BB84" s="82" t="s">
        <v>139</v>
      </c>
      <c r="BC84" s="82" t="s">
        <v>110</v>
      </c>
      <c r="BD84" s="94" t="s">
        <v>126</v>
      </c>
      <c r="BE84" s="82" t="s">
        <v>140</v>
      </c>
      <c r="BF84" s="82" t="s">
        <v>141</v>
      </c>
      <c r="BG84" s="36" t="s">
        <v>110</v>
      </c>
      <c r="BH84" s="82" t="s">
        <v>142</v>
      </c>
      <c r="BI84" s="36" t="s">
        <v>111</v>
      </c>
      <c r="BJ84" s="82" t="s">
        <v>111</v>
      </c>
      <c r="BK84" s="36" t="s">
        <v>168</v>
      </c>
      <c r="BL84" s="36" t="s">
        <v>126</v>
      </c>
      <c r="BM84" s="36" t="s">
        <v>110</v>
      </c>
      <c r="BN84" s="18" t="s">
        <v>111</v>
      </c>
      <c r="BO84" s="36" t="s">
        <v>111</v>
      </c>
      <c r="BP84" s="36" t="s">
        <v>111</v>
      </c>
      <c r="BQ84" s="36" t="s">
        <v>110</v>
      </c>
      <c r="BR84" s="36" t="s">
        <v>110</v>
      </c>
      <c r="BS84" s="82" t="s">
        <v>111</v>
      </c>
      <c r="BT84" s="36" t="s">
        <v>111</v>
      </c>
      <c r="BU84" s="36" t="s">
        <v>111</v>
      </c>
      <c r="BV84" s="36" t="s">
        <v>110</v>
      </c>
      <c r="BW84" s="36" t="s">
        <v>110</v>
      </c>
      <c r="BX84" s="36" t="s">
        <v>126</v>
      </c>
      <c r="BY84" s="82" t="s">
        <v>110</v>
      </c>
      <c r="BZ84" s="36" t="s">
        <v>111</v>
      </c>
      <c r="CA84" s="36" t="s">
        <v>110</v>
      </c>
      <c r="CB84" s="36" t="s">
        <v>119</v>
      </c>
      <c r="CC84" s="36" t="s">
        <v>110</v>
      </c>
      <c r="CD84" s="36" t="s">
        <v>129</v>
      </c>
      <c r="CE84" s="36" t="s">
        <v>110</v>
      </c>
      <c r="CF84" s="36" t="s">
        <v>110</v>
      </c>
      <c r="CG84" s="36" t="s">
        <v>119</v>
      </c>
      <c r="CH84" s="82" t="s">
        <v>110</v>
      </c>
      <c r="CI84" s="36" t="s">
        <v>111</v>
      </c>
      <c r="CJ84" s="36" t="s">
        <v>119</v>
      </c>
      <c r="CK84" s="36" t="s">
        <v>126</v>
      </c>
      <c r="CL84" s="36" t="s">
        <v>110</v>
      </c>
      <c r="CM84" s="36" t="s">
        <v>111</v>
      </c>
      <c r="CN84" s="43" t="s">
        <v>415</v>
      </c>
      <c r="CO84" t="s">
        <v>786</v>
      </c>
      <c r="CP84">
        <f>IFERROR(VLOOKUP(H84,'Lista Lideres'!$A$1:$B$350,2,0),0)</f>
        <v>0</v>
      </c>
    </row>
    <row r="85" spans="1:94" ht="14.4" hidden="1" x14ac:dyDescent="0.3">
      <c r="A85" s="35">
        <v>45580.61270518518</v>
      </c>
      <c r="B85" s="36" t="s">
        <v>252</v>
      </c>
      <c r="C85" s="37" t="s">
        <v>782</v>
      </c>
      <c r="D85" s="37" t="s">
        <v>93</v>
      </c>
      <c r="E85" s="37" t="s">
        <v>416</v>
      </c>
      <c r="F85" s="37" t="s">
        <v>417</v>
      </c>
      <c r="G85" s="37" t="s">
        <v>418</v>
      </c>
      <c r="H85" s="37" t="s">
        <v>418</v>
      </c>
      <c r="I85" s="37" t="s">
        <v>100</v>
      </c>
      <c r="J85" s="37" t="s">
        <v>101</v>
      </c>
      <c r="K85" s="37" t="s">
        <v>191</v>
      </c>
      <c r="L85" s="81" t="s">
        <v>150</v>
      </c>
      <c r="M85" s="58" t="s">
        <v>351</v>
      </c>
      <c r="N85" s="81" t="s">
        <v>282</v>
      </c>
      <c r="O85" s="81" t="s">
        <v>352</v>
      </c>
      <c r="P85" s="81" t="s">
        <v>175</v>
      </c>
      <c r="Q85" s="112" t="s">
        <v>108</v>
      </c>
      <c r="R85" s="37" t="s">
        <v>176</v>
      </c>
      <c r="S85" s="37" t="s">
        <v>110</v>
      </c>
      <c r="T85" s="37" t="s">
        <v>110</v>
      </c>
      <c r="U85" s="37" t="s">
        <v>110</v>
      </c>
      <c r="V85" s="81" t="s">
        <v>126</v>
      </c>
      <c r="W85" s="81" t="s">
        <v>113</v>
      </c>
      <c r="X85" s="112" t="s">
        <v>114</v>
      </c>
      <c r="Y85" s="37" t="s">
        <v>110</v>
      </c>
      <c r="Z85" s="37" t="s">
        <v>110</v>
      </c>
      <c r="AA85" s="37" t="s">
        <v>110</v>
      </c>
      <c r="AB85" s="37" t="s">
        <v>110</v>
      </c>
      <c r="AC85" s="81" t="s">
        <v>110</v>
      </c>
      <c r="AD85" s="81" t="s">
        <v>166</v>
      </c>
      <c r="AE85" s="81" t="s">
        <v>138</v>
      </c>
      <c r="AF85" s="93" t="s">
        <v>110</v>
      </c>
      <c r="AG85" s="81" t="s">
        <v>168</v>
      </c>
      <c r="AH85" s="37" t="s">
        <v>168</v>
      </c>
      <c r="AI85" s="81" t="s">
        <v>110</v>
      </c>
      <c r="AJ85" s="81" t="s">
        <v>110</v>
      </c>
      <c r="AK85" s="81" t="s">
        <v>110</v>
      </c>
      <c r="AL85" s="37" t="s">
        <v>110</v>
      </c>
      <c r="AM85" s="37" t="s">
        <v>110</v>
      </c>
      <c r="AN85" s="37" t="s">
        <v>110</v>
      </c>
      <c r="AO85" s="81" t="s">
        <v>110</v>
      </c>
      <c r="AP85" s="37" t="s">
        <v>110</v>
      </c>
      <c r="AQ85" s="81" t="s">
        <v>126</v>
      </c>
      <c r="AR85" s="81" t="s">
        <v>110</v>
      </c>
      <c r="AS85" s="37" t="s">
        <v>110</v>
      </c>
      <c r="AT85" s="9" t="s">
        <v>119</v>
      </c>
      <c r="AU85" s="10" t="s">
        <v>110</v>
      </c>
      <c r="AV85" s="37" t="s">
        <v>110</v>
      </c>
      <c r="AW85" s="37" t="s">
        <v>110</v>
      </c>
      <c r="AX85" s="37" t="s">
        <v>110</v>
      </c>
      <c r="AY85" s="37" t="s">
        <v>111</v>
      </c>
      <c r="AZ85" s="81" t="s">
        <v>126</v>
      </c>
      <c r="BA85" s="81" t="s">
        <v>110</v>
      </c>
      <c r="BB85" s="81" t="s">
        <v>126</v>
      </c>
      <c r="BC85" s="81" t="s">
        <v>110</v>
      </c>
      <c r="BD85" s="93" t="s">
        <v>126</v>
      </c>
      <c r="BE85" s="81" t="s">
        <v>126</v>
      </c>
      <c r="BF85" s="81" t="s">
        <v>110</v>
      </c>
      <c r="BG85" s="37" t="s">
        <v>110</v>
      </c>
      <c r="BH85" s="81" t="s">
        <v>126</v>
      </c>
      <c r="BI85" s="37" t="s">
        <v>110</v>
      </c>
      <c r="BJ85" s="81" t="s">
        <v>110</v>
      </c>
      <c r="BK85" s="37" t="s">
        <v>110</v>
      </c>
      <c r="BL85" s="37" t="s">
        <v>126</v>
      </c>
      <c r="BM85" s="37" t="s">
        <v>110</v>
      </c>
      <c r="BN85" s="11" t="s">
        <v>110</v>
      </c>
      <c r="BO85" s="37" t="s">
        <v>110</v>
      </c>
      <c r="BP85" s="37" t="s">
        <v>111</v>
      </c>
      <c r="BQ85" s="37" t="s">
        <v>110</v>
      </c>
      <c r="BR85" s="37" t="s">
        <v>110</v>
      </c>
      <c r="BS85" s="81" t="s">
        <v>110</v>
      </c>
      <c r="BT85" s="37" t="s">
        <v>110</v>
      </c>
      <c r="BU85" s="37" t="s">
        <v>110</v>
      </c>
      <c r="BV85" s="37" t="s">
        <v>110</v>
      </c>
      <c r="BW85" s="37" t="s">
        <v>110</v>
      </c>
      <c r="BX85" s="37" t="s">
        <v>126</v>
      </c>
      <c r="BY85" s="81" t="s">
        <v>110</v>
      </c>
      <c r="BZ85" s="37" t="s">
        <v>110</v>
      </c>
      <c r="CA85" s="37" t="s">
        <v>110</v>
      </c>
      <c r="CB85" s="37" t="s">
        <v>110</v>
      </c>
      <c r="CC85" s="37" t="s">
        <v>110</v>
      </c>
      <c r="CD85" s="37" t="s">
        <v>110</v>
      </c>
      <c r="CE85" s="37" t="s">
        <v>110</v>
      </c>
      <c r="CF85" s="37" t="s">
        <v>110</v>
      </c>
      <c r="CG85" s="37" t="s">
        <v>110</v>
      </c>
      <c r="CH85" s="81" t="s">
        <v>110</v>
      </c>
      <c r="CI85" s="37" t="s">
        <v>110</v>
      </c>
      <c r="CJ85" s="37" t="s">
        <v>110</v>
      </c>
      <c r="CK85" s="37" t="s">
        <v>126</v>
      </c>
      <c r="CL85" s="37" t="s">
        <v>110</v>
      </c>
      <c r="CM85" s="37" t="s">
        <v>110</v>
      </c>
      <c r="CN85" s="41"/>
      <c r="CO85" t="s">
        <v>786</v>
      </c>
      <c r="CP85">
        <f>IFERROR(VLOOKUP(H85,'Lista Lideres'!$A$1:$B$350,2,0),0)</f>
        <v>0</v>
      </c>
    </row>
    <row r="86" spans="1:94" ht="14.4" hidden="1" x14ac:dyDescent="0.3">
      <c r="A86" s="39">
        <v>45561.622516863426</v>
      </c>
      <c r="B86" s="36" t="s">
        <v>252</v>
      </c>
      <c r="C86" s="36" t="s">
        <v>782</v>
      </c>
      <c r="D86" s="36" t="s">
        <v>93</v>
      </c>
      <c r="E86" s="36" t="s">
        <v>419</v>
      </c>
      <c r="F86" s="36" t="s">
        <v>146</v>
      </c>
      <c r="G86" s="36" t="s">
        <v>420</v>
      </c>
      <c r="H86" s="36" t="s">
        <v>420</v>
      </c>
      <c r="I86" s="36" t="s">
        <v>100</v>
      </c>
      <c r="J86" s="36" t="s">
        <v>196</v>
      </c>
      <c r="K86" s="36" t="s">
        <v>174</v>
      </c>
      <c r="L86" s="82" t="s">
        <v>213</v>
      </c>
      <c r="M86" s="58" t="s">
        <v>351</v>
      </c>
      <c r="N86" s="82" t="s">
        <v>282</v>
      </c>
      <c r="O86" s="82" t="s">
        <v>352</v>
      </c>
      <c r="P86" s="82" t="s">
        <v>175</v>
      </c>
      <c r="Q86" s="113" t="s">
        <v>151</v>
      </c>
      <c r="R86" s="36" t="s">
        <v>164</v>
      </c>
      <c r="S86" s="36" t="s">
        <v>110</v>
      </c>
      <c r="T86" s="36" t="s">
        <v>110</v>
      </c>
      <c r="U86" s="36" t="s">
        <v>110</v>
      </c>
      <c r="V86" s="82" t="s">
        <v>112</v>
      </c>
      <c r="W86" s="82" t="s">
        <v>152</v>
      </c>
      <c r="X86" s="113" t="s">
        <v>153</v>
      </c>
      <c r="Y86" s="36" t="s">
        <v>111</v>
      </c>
      <c r="Z86" s="36" t="s">
        <v>111</v>
      </c>
      <c r="AA86" s="36" t="s">
        <v>111</v>
      </c>
      <c r="AB86" s="36" t="s">
        <v>110</v>
      </c>
      <c r="AC86" s="82" t="s">
        <v>110</v>
      </c>
      <c r="AD86" s="82" t="s">
        <v>166</v>
      </c>
      <c r="AE86" s="82" t="s">
        <v>167</v>
      </c>
      <c r="AF86" s="94" t="s">
        <v>120</v>
      </c>
      <c r="AG86" s="82" t="s">
        <v>110</v>
      </c>
      <c r="AH86" s="36" t="s">
        <v>110</v>
      </c>
      <c r="AI86" s="82" t="s">
        <v>110</v>
      </c>
      <c r="AJ86" s="82" t="s">
        <v>121</v>
      </c>
      <c r="AK86" s="82" t="s">
        <v>121</v>
      </c>
      <c r="AL86" s="36" t="s">
        <v>110</v>
      </c>
      <c r="AM86" s="36" t="s">
        <v>128</v>
      </c>
      <c r="AN86" s="36" t="s">
        <v>110</v>
      </c>
      <c r="AO86" s="82" t="s">
        <v>110</v>
      </c>
      <c r="AP86" s="36" t="s">
        <v>128</v>
      </c>
      <c r="AQ86" s="82" t="s">
        <v>126</v>
      </c>
      <c r="AR86" s="82" t="s">
        <v>110</v>
      </c>
      <c r="AS86" s="36" t="s">
        <v>110</v>
      </c>
      <c r="AT86" s="16" t="s">
        <v>119</v>
      </c>
      <c r="AU86" s="17" t="s">
        <v>110</v>
      </c>
      <c r="AV86" s="36" t="s">
        <v>119</v>
      </c>
      <c r="AW86" s="36" t="s">
        <v>110</v>
      </c>
      <c r="AX86" s="36" t="s">
        <v>110</v>
      </c>
      <c r="AY86" s="36" t="s">
        <v>120</v>
      </c>
      <c r="AZ86" s="82" t="s">
        <v>126</v>
      </c>
      <c r="BA86" s="82" t="s">
        <v>111</v>
      </c>
      <c r="BB86" s="82" t="s">
        <v>139</v>
      </c>
      <c r="BC86" s="82" t="s">
        <v>111</v>
      </c>
      <c r="BD86" s="94" t="s">
        <v>168</v>
      </c>
      <c r="BE86" s="82" t="s">
        <v>140</v>
      </c>
      <c r="BF86" s="82" t="s">
        <v>141</v>
      </c>
      <c r="BG86" s="36" t="s">
        <v>110</v>
      </c>
      <c r="BH86" s="82" t="s">
        <v>125</v>
      </c>
      <c r="BI86" s="36" t="s">
        <v>110</v>
      </c>
      <c r="BJ86" s="82" t="s">
        <v>168</v>
      </c>
      <c r="BK86" s="36" t="s">
        <v>168</v>
      </c>
      <c r="BL86" s="36" t="s">
        <v>126</v>
      </c>
      <c r="BM86" s="36" t="s">
        <v>127</v>
      </c>
      <c r="BN86" s="18" t="s">
        <v>110</v>
      </c>
      <c r="BO86" s="36" t="s">
        <v>110</v>
      </c>
      <c r="BP86" s="36" t="s">
        <v>111</v>
      </c>
      <c r="BQ86" s="36" t="s">
        <v>110</v>
      </c>
      <c r="BR86" s="36" t="s">
        <v>110</v>
      </c>
      <c r="BS86" s="82" t="s">
        <v>110</v>
      </c>
      <c r="BT86" s="36" t="s">
        <v>111</v>
      </c>
      <c r="BU86" s="36" t="s">
        <v>111</v>
      </c>
      <c r="BV86" s="36" t="s">
        <v>110</v>
      </c>
      <c r="BW86" s="36" t="s">
        <v>110</v>
      </c>
      <c r="BX86" s="36" t="s">
        <v>126</v>
      </c>
      <c r="BY86" s="82" t="s">
        <v>110</v>
      </c>
      <c r="BZ86" s="36" t="s">
        <v>115</v>
      </c>
      <c r="CA86" s="36" t="s">
        <v>111</v>
      </c>
      <c r="CB86" s="36" t="s">
        <v>110</v>
      </c>
      <c r="CC86" s="36" t="s">
        <v>111</v>
      </c>
      <c r="CD86" s="36" t="s">
        <v>110</v>
      </c>
      <c r="CE86" s="36" t="s">
        <v>127</v>
      </c>
      <c r="CF86" s="36" t="s">
        <v>110</v>
      </c>
      <c r="CG86" s="36" t="s">
        <v>110</v>
      </c>
      <c r="CH86" s="82" t="s">
        <v>110</v>
      </c>
      <c r="CI86" s="36" t="s">
        <v>111</v>
      </c>
      <c r="CJ86" s="36" t="s">
        <v>119</v>
      </c>
      <c r="CK86" s="36" t="s">
        <v>126</v>
      </c>
      <c r="CL86" s="36" t="s">
        <v>110</v>
      </c>
      <c r="CM86" s="36" t="s">
        <v>110</v>
      </c>
      <c r="CN86" s="41"/>
      <c r="CO86" t="s">
        <v>786</v>
      </c>
      <c r="CP86">
        <f>IFERROR(VLOOKUP(H86,'Lista Lideres'!$A$1:$B$350,2,0),0)</f>
        <v>0</v>
      </c>
    </row>
    <row r="87" spans="1:94" ht="14.4" hidden="1" x14ac:dyDescent="0.3">
      <c r="A87" s="52">
        <v>45563.014933900464</v>
      </c>
      <c r="B87" s="47" t="s">
        <v>181</v>
      </c>
      <c r="C87" s="53" t="s">
        <v>782</v>
      </c>
      <c r="D87" s="53" t="s">
        <v>93</v>
      </c>
      <c r="E87" s="53" t="s">
        <v>304</v>
      </c>
      <c r="F87" s="53" t="s">
        <v>97</v>
      </c>
      <c r="G87" s="53" t="s">
        <v>421</v>
      </c>
      <c r="H87" s="53" t="s">
        <v>421</v>
      </c>
      <c r="I87" s="53" t="s">
        <v>100</v>
      </c>
      <c r="J87" s="53" t="s">
        <v>173</v>
      </c>
      <c r="K87" s="53" t="s">
        <v>102</v>
      </c>
      <c r="L87" s="84" t="s">
        <v>103</v>
      </c>
      <c r="M87" s="58" t="s">
        <v>351</v>
      </c>
      <c r="N87" s="84" t="s">
        <v>282</v>
      </c>
      <c r="O87" s="84" t="s">
        <v>352</v>
      </c>
      <c r="P87" s="84" t="s">
        <v>107</v>
      </c>
      <c r="Q87" s="115" t="s">
        <v>108</v>
      </c>
      <c r="R87" s="53" t="s">
        <v>109</v>
      </c>
      <c r="S87" s="53" t="s">
        <v>110</v>
      </c>
      <c r="T87" s="53" t="s">
        <v>110</v>
      </c>
      <c r="U87" s="53" t="s">
        <v>110</v>
      </c>
      <c r="V87" s="84" t="s">
        <v>126</v>
      </c>
      <c r="W87" s="84" t="s">
        <v>152</v>
      </c>
      <c r="X87" s="115" t="s">
        <v>165</v>
      </c>
      <c r="Y87" s="53" t="s">
        <v>111</v>
      </c>
      <c r="Z87" s="53" t="s">
        <v>111</v>
      </c>
      <c r="AA87" s="53" t="s">
        <v>111</v>
      </c>
      <c r="AB87" s="53" t="s">
        <v>111</v>
      </c>
      <c r="AC87" s="84" t="s">
        <v>111</v>
      </c>
      <c r="AD87" s="84" t="s">
        <v>117</v>
      </c>
      <c r="AE87" s="84" t="s">
        <v>118</v>
      </c>
      <c r="AF87" s="96" t="s">
        <v>110</v>
      </c>
      <c r="AG87" s="84" t="s">
        <v>110</v>
      </c>
      <c r="AH87" s="53" t="s">
        <v>122</v>
      </c>
      <c r="AI87" s="84" t="s">
        <v>110</v>
      </c>
      <c r="AJ87" s="84" t="s">
        <v>110</v>
      </c>
      <c r="AK87" s="84" t="s">
        <v>110</v>
      </c>
      <c r="AL87" s="53" t="s">
        <v>128</v>
      </c>
      <c r="AM87" s="53" t="s">
        <v>128</v>
      </c>
      <c r="AN87" s="53" t="s">
        <v>110</v>
      </c>
      <c r="AO87" s="84" t="s">
        <v>123</v>
      </c>
      <c r="AP87" s="53" t="s">
        <v>110</v>
      </c>
      <c r="AQ87" s="84" t="s">
        <v>126</v>
      </c>
      <c r="AR87" s="84" t="s">
        <v>110</v>
      </c>
      <c r="AS87" s="53" t="s">
        <v>110</v>
      </c>
      <c r="AT87" s="9" t="s">
        <v>119</v>
      </c>
      <c r="AU87" s="10" t="s">
        <v>110</v>
      </c>
      <c r="AV87" s="53" t="s">
        <v>110</v>
      </c>
      <c r="AW87" s="53" t="s">
        <v>110</v>
      </c>
      <c r="AX87" s="53" t="s">
        <v>110</v>
      </c>
      <c r="AY87" s="53" t="s">
        <v>111</v>
      </c>
      <c r="AZ87" s="84" t="s">
        <v>126</v>
      </c>
      <c r="BA87" s="84" t="s">
        <v>110</v>
      </c>
      <c r="BB87" s="84" t="s">
        <v>126</v>
      </c>
      <c r="BC87" s="84" t="s">
        <v>110</v>
      </c>
      <c r="BD87" s="96" t="s">
        <v>126</v>
      </c>
      <c r="BE87" s="84" t="s">
        <v>125</v>
      </c>
      <c r="BF87" s="84" t="s">
        <v>128</v>
      </c>
      <c r="BG87" s="53" t="s">
        <v>110</v>
      </c>
      <c r="BH87" s="84" t="s">
        <v>124</v>
      </c>
      <c r="BI87" s="53" t="s">
        <v>110</v>
      </c>
      <c r="BJ87" s="84" t="s">
        <v>110</v>
      </c>
      <c r="BK87" s="53" t="s">
        <v>128</v>
      </c>
      <c r="BL87" s="53" t="s">
        <v>126</v>
      </c>
      <c r="BM87" s="53" t="s">
        <v>110</v>
      </c>
      <c r="BN87" s="11" t="s">
        <v>111</v>
      </c>
      <c r="BO87" s="53" t="s">
        <v>111</v>
      </c>
      <c r="BP87" s="53" t="s">
        <v>120</v>
      </c>
      <c r="BQ87" s="53" t="s">
        <v>115</v>
      </c>
      <c r="BR87" s="53" t="s">
        <v>110</v>
      </c>
      <c r="BS87" s="84" t="s">
        <v>110</v>
      </c>
      <c r="BT87" s="53" t="s">
        <v>111</v>
      </c>
      <c r="BU87" s="53" t="s">
        <v>111</v>
      </c>
      <c r="BV87" s="53" t="s">
        <v>111</v>
      </c>
      <c r="BW87" s="53" t="s">
        <v>110</v>
      </c>
      <c r="BX87" s="53" t="s">
        <v>124</v>
      </c>
      <c r="BY87" s="84" t="s">
        <v>110</v>
      </c>
      <c r="BZ87" s="53" t="s">
        <v>111</v>
      </c>
      <c r="CA87" s="53" t="s">
        <v>111</v>
      </c>
      <c r="CB87" s="53" t="s">
        <v>110</v>
      </c>
      <c r="CC87" s="53" t="s">
        <v>110</v>
      </c>
      <c r="CD87" s="53" t="s">
        <v>119</v>
      </c>
      <c r="CE87" s="53" t="s">
        <v>110</v>
      </c>
      <c r="CF87" s="53" t="s">
        <v>110</v>
      </c>
      <c r="CG87" s="53" t="s">
        <v>110</v>
      </c>
      <c r="CH87" s="84" t="s">
        <v>111</v>
      </c>
      <c r="CI87" s="53" t="s">
        <v>110</v>
      </c>
      <c r="CJ87" s="53" t="s">
        <v>110</v>
      </c>
      <c r="CK87" s="53" t="s">
        <v>126</v>
      </c>
      <c r="CL87" s="53" t="s">
        <v>111</v>
      </c>
      <c r="CM87" s="53" t="s">
        <v>111</v>
      </c>
      <c r="CN87" s="49"/>
      <c r="CO87" t="s">
        <v>786</v>
      </c>
      <c r="CP87">
        <f>IFERROR(VLOOKUP(H87,'Lista Lideres'!$A$1:$B$350,2,0),0)</f>
        <v>0</v>
      </c>
    </row>
    <row r="88" spans="1:94" ht="13.8" hidden="1" x14ac:dyDescent="0.3">
      <c r="A88" s="46">
        <v>45567.203414895834</v>
      </c>
      <c r="B88" s="47" t="s">
        <v>181</v>
      </c>
      <c r="C88" s="47" t="s">
        <v>782</v>
      </c>
      <c r="D88" s="47" t="s">
        <v>93</v>
      </c>
      <c r="E88" s="47" t="s">
        <v>336</v>
      </c>
      <c r="F88" s="47" t="s">
        <v>96</v>
      </c>
      <c r="G88" s="47" t="s">
        <v>349</v>
      </c>
      <c r="H88" s="47" t="s">
        <v>349</v>
      </c>
      <c r="I88" s="47" t="s">
        <v>161</v>
      </c>
      <c r="J88" s="47" t="s">
        <v>101</v>
      </c>
      <c r="K88" s="47" t="s">
        <v>191</v>
      </c>
      <c r="L88" s="83" t="s">
        <v>213</v>
      </c>
      <c r="M88" s="58" t="s">
        <v>351</v>
      </c>
      <c r="N88" s="83" t="s">
        <v>282</v>
      </c>
      <c r="O88" s="83" t="s">
        <v>352</v>
      </c>
      <c r="P88" s="83" t="s">
        <v>264</v>
      </c>
      <c r="Q88" s="114" t="s">
        <v>163</v>
      </c>
      <c r="R88" s="47" t="s">
        <v>109</v>
      </c>
      <c r="S88" s="47" t="s">
        <v>119</v>
      </c>
      <c r="T88" s="47" t="s">
        <v>110</v>
      </c>
      <c r="U88" s="47" t="s">
        <v>110</v>
      </c>
      <c r="V88" s="83" t="s">
        <v>126</v>
      </c>
      <c r="W88" s="83" t="s">
        <v>152</v>
      </c>
      <c r="X88" s="114" t="s">
        <v>114</v>
      </c>
      <c r="Y88" s="47" t="s">
        <v>110</v>
      </c>
      <c r="Z88" s="47" t="s">
        <v>110</v>
      </c>
      <c r="AA88" s="47" t="s">
        <v>110</v>
      </c>
      <c r="AB88" s="47" t="s">
        <v>119</v>
      </c>
      <c r="AC88" s="83" t="s">
        <v>110</v>
      </c>
      <c r="AD88" s="83" t="s">
        <v>137</v>
      </c>
      <c r="AE88" s="83" t="s">
        <v>138</v>
      </c>
      <c r="AF88" s="95" t="s">
        <v>110</v>
      </c>
      <c r="AG88" s="83" t="s">
        <v>119</v>
      </c>
      <c r="AH88" s="47" t="s">
        <v>110</v>
      </c>
      <c r="AI88" s="83" t="s">
        <v>122</v>
      </c>
      <c r="AJ88" s="83" t="s">
        <v>121</v>
      </c>
      <c r="AK88" s="83" t="s">
        <v>121</v>
      </c>
      <c r="AL88" s="47" t="s">
        <v>128</v>
      </c>
      <c r="AM88" s="47" t="s">
        <v>128</v>
      </c>
      <c r="AN88" s="47" t="s">
        <v>128</v>
      </c>
      <c r="AO88" s="83" t="s">
        <v>110</v>
      </c>
      <c r="AP88" s="47" t="s">
        <v>128</v>
      </c>
      <c r="AQ88" s="83" t="s">
        <v>126</v>
      </c>
      <c r="AR88" s="83" t="s">
        <v>119</v>
      </c>
      <c r="AS88" s="47" t="s">
        <v>110</v>
      </c>
      <c r="AT88" s="16" t="s">
        <v>110</v>
      </c>
      <c r="AU88" s="17" t="s">
        <v>110</v>
      </c>
      <c r="AV88" s="47" t="s">
        <v>110</v>
      </c>
      <c r="AW88" s="47" t="s">
        <v>110</v>
      </c>
      <c r="AX88" s="47" t="s">
        <v>111</v>
      </c>
      <c r="AY88" s="47" t="s">
        <v>111</v>
      </c>
      <c r="AZ88" s="83" t="s">
        <v>125</v>
      </c>
      <c r="BA88" s="83" t="s">
        <v>111</v>
      </c>
      <c r="BB88" s="83" t="s">
        <v>126</v>
      </c>
      <c r="BC88" s="83" t="s">
        <v>110</v>
      </c>
      <c r="BD88" s="95" t="s">
        <v>124</v>
      </c>
      <c r="BE88" s="83" t="s">
        <v>124</v>
      </c>
      <c r="BF88" s="83" t="s">
        <v>128</v>
      </c>
      <c r="BG88" s="47" t="s">
        <v>111</v>
      </c>
      <c r="BH88" s="83" t="s">
        <v>126</v>
      </c>
      <c r="BI88" s="47" t="s">
        <v>111</v>
      </c>
      <c r="BJ88" s="83" t="s">
        <v>119</v>
      </c>
      <c r="BK88" s="47" t="s">
        <v>110</v>
      </c>
      <c r="BL88" s="47" t="s">
        <v>124</v>
      </c>
      <c r="BM88" s="47" t="s">
        <v>127</v>
      </c>
      <c r="BN88" s="18" t="s">
        <v>110</v>
      </c>
      <c r="BO88" s="47" t="s">
        <v>111</v>
      </c>
      <c r="BP88" s="47" t="s">
        <v>120</v>
      </c>
      <c r="BQ88" s="47" t="s">
        <v>111</v>
      </c>
      <c r="BR88" s="47" t="s">
        <v>115</v>
      </c>
      <c r="BS88" s="83" t="s">
        <v>110</v>
      </c>
      <c r="BT88" s="47" t="s">
        <v>110</v>
      </c>
      <c r="BU88" s="47" t="s">
        <v>111</v>
      </c>
      <c r="BV88" s="47" t="s">
        <v>110</v>
      </c>
      <c r="BW88" s="47" t="s">
        <v>110</v>
      </c>
      <c r="BX88" s="47" t="s">
        <v>126</v>
      </c>
      <c r="BY88" s="83" t="s">
        <v>115</v>
      </c>
      <c r="BZ88" s="47" t="s">
        <v>110</v>
      </c>
      <c r="CA88" s="47" t="s">
        <v>111</v>
      </c>
      <c r="CB88" s="47" t="s">
        <v>110</v>
      </c>
      <c r="CC88" s="47" t="s">
        <v>110</v>
      </c>
      <c r="CD88" s="47" t="s">
        <v>119</v>
      </c>
      <c r="CE88" s="47" t="s">
        <v>110</v>
      </c>
      <c r="CF88" s="47" t="s">
        <v>110</v>
      </c>
      <c r="CG88" s="47" t="s">
        <v>119</v>
      </c>
      <c r="CH88" s="83" t="s">
        <v>110</v>
      </c>
      <c r="CI88" s="47" t="s">
        <v>111</v>
      </c>
      <c r="CJ88" s="47" t="s">
        <v>119</v>
      </c>
      <c r="CK88" s="47" t="s">
        <v>126</v>
      </c>
      <c r="CL88" s="47" t="s">
        <v>119</v>
      </c>
      <c r="CM88" s="47" t="s">
        <v>111</v>
      </c>
      <c r="CN88" s="55" t="s">
        <v>422</v>
      </c>
      <c r="CO88" t="s">
        <v>785</v>
      </c>
      <c r="CP88">
        <f>IFERROR(VLOOKUP(H88,'Lista Lideres'!$A$1:$B$350,2,0),0)</f>
        <v>0</v>
      </c>
    </row>
    <row r="89" spans="1:94" ht="14.4" hidden="1" x14ac:dyDescent="0.3">
      <c r="A89" s="46">
        <v>45564.147877800926</v>
      </c>
      <c r="B89" s="47" t="s">
        <v>181</v>
      </c>
      <c r="C89" s="47" t="s">
        <v>782</v>
      </c>
      <c r="D89" s="47" t="s">
        <v>93</v>
      </c>
      <c r="E89" s="47" t="s">
        <v>199</v>
      </c>
      <c r="F89" s="47" t="s">
        <v>96</v>
      </c>
      <c r="G89" s="47" t="s">
        <v>423</v>
      </c>
      <c r="H89" s="47" t="s">
        <v>361</v>
      </c>
      <c r="I89" s="47" t="s">
        <v>149</v>
      </c>
      <c r="J89" s="47" t="s">
        <v>101</v>
      </c>
      <c r="K89" s="47" t="s">
        <v>191</v>
      </c>
      <c r="L89" s="83" t="s">
        <v>150</v>
      </c>
      <c r="M89" s="58" t="s">
        <v>351</v>
      </c>
      <c r="N89" s="83" t="s">
        <v>282</v>
      </c>
      <c r="O89" s="83" t="s">
        <v>388</v>
      </c>
      <c r="P89" s="83" t="s">
        <v>264</v>
      </c>
      <c r="Q89" s="114" t="s">
        <v>151</v>
      </c>
      <c r="R89" s="47" t="s">
        <v>109</v>
      </c>
      <c r="S89" s="47" t="s">
        <v>110</v>
      </c>
      <c r="T89" s="47" t="s">
        <v>110</v>
      </c>
      <c r="U89" s="47" t="s">
        <v>110</v>
      </c>
      <c r="V89" s="83" t="s">
        <v>126</v>
      </c>
      <c r="W89" s="83" t="s">
        <v>363</v>
      </c>
      <c r="X89" s="114" t="s">
        <v>114</v>
      </c>
      <c r="Y89" s="47" t="s">
        <v>110</v>
      </c>
      <c r="Z89" s="47" t="s">
        <v>110</v>
      </c>
      <c r="AA89" s="47" t="s">
        <v>119</v>
      </c>
      <c r="AB89" s="47" t="s">
        <v>119</v>
      </c>
      <c r="AC89" s="83" t="s">
        <v>110</v>
      </c>
      <c r="AD89" s="83" t="s">
        <v>137</v>
      </c>
      <c r="AE89" s="83" t="s">
        <v>138</v>
      </c>
      <c r="AF89" s="95" t="s">
        <v>111</v>
      </c>
      <c r="AG89" s="83" t="s">
        <v>111</v>
      </c>
      <c r="AH89" s="47" t="s">
        <v>110</v>
      </c>
      <c r="AI89" s="83" t="s">
        <v>110</v>
      </c>
      <c r="AJ89" s="83" t="s">
        <v>110</v>
      </c>
      <c r="AK89" s="83" t="s">
        <v>110</v>
      </c>
      <c r="AL89" s="47" t="s">
        <v>110</v>
      </c>
      <c r="AM89" s="47" t="s">
        <v>110</v>
      </c>
      <c r="AN89" s="47" t="s">
        <v>110</v>
      </c>
      <c r="AO89" s="83" t="s">
        <v>110</v>
      </c>
      <c r="AP89" s="47" t="s">
        <v>110</v>
      </c>
      <c r="AQ89" s="83" t="s">
        <v>125</v>
      </c>
      <c r="AR89" s="83" t="s">
        <v>110</v>
      </c>
      <c r="AS89" s="47" t="s">
        <v>119</v>
      </c>
      <c r="AT89" s="16" t="s">
        <v>110</v>
      </c>
      <c r="AU89" s="17" t="s">
        <v>110</v>
      </c>
      <c r="AV89" s="47" t="s">
        <v>110</v>
      </c>
      <c r="AW89" s="47" t="s">
        <v>110</v>
      </c>
      <c r="AX89" s="47" t="s">
        <v>110</v>
      </c>
      <c r="AY89" s="47" t="s">
        <v>110</v>
      </c>
      <c r="AZ89" s="83" t="s">
        <v>126</v>
      </c>
      <c r="BA89" s="83" t="s">
        <v>110</v>
      </c>
      <c r="BB89" s="83" t="s">
        <v>126</v>
      </c>
      <c r="BC89" s="83" t="s">
        <v>110</v>
      </c>
      <c r="BD89" s="95" t="s">
        <v>126</v>
      </c>
      <c r="BE89" s="83" t="s">
        <v>126</v>
      </c>
      <c r="BF89" s="83" t="s">
        <v>110</v>
      </c>
      <c r="BG89" s="47" t="s">
        <v>110</v>
      </c>
      <c r="BH89" s="83" t="s">
        <v>126</v>
      </c>
      <c r="BI89" s="47" t="s">
        <v>110</v>
      </c>
      <c r="BJ89" s="83" t="s">
        <v>110</v>
      </c>
      <c r="BK89" s="47" t="s">
        <v>110</v>
      </c>
      <c r="BL89" s="47" t="s">
        <v>124</v>
      </c>
      <c r="BM89" s="47" t="s">
        <v>110</v>
      </c>
      <c r="BN89" s="18" t="s">
        <v>110</v>
      </c>
      <c r="BO89" s="47" t="s">
        <v>110</v>
      </c>
      <c r="BP89" s="47" t="s">
        <v>110</v>
      </c>
      <c r="BQ89" s="47" t="s">
        <v>110</v>
      </c>
      <c r="BR89" s="47" t="s">
        <v>110</v>
      </c>
      <c r="BS89" s="83" t="s">
        <v>110</v>
      </c>
      <c r="BT89" s="47" t="s">
        <v>110</v>
      </c>
      <c r="BU89" s="47" t="s">
        <v>110</v>
      </c>
      <c r="BV89" s="47" t="s">
        <v>110</v>
      </c>
      <c r="BW89" s="47" t="s">
        <v>110</v>
      </c>
      <c r="BX89" s="47" t="s">
        <v>126</v>
      </c>
      <c r="BY89" s="83" t="s">
        <v>110</v>
      </c>
      <c r="BZ89" s="47" t="s">
        <v>110</v>
      </c>
      <c r="CA89" s="47" t="s">
        <v>110</v>
      </c>
      <c r="CB89" s="47" t="s">
        <v>110</v>
      </c>
      <c r="CC89" s="47" t="s">
        <v>110</v>
      </c>
      <c r="CD89" s="47" t="s">
        <v>110</v>
      </c>
      <c r="CE89" s="47" t="s">
        <v>110</v>
      </c>
      <c r="CF89" s="47" t="s">
        <v>110</v>
      </c>
      <c r="CG89" s="47" t="s">
        <v>110</v>
      </c>
      <c r="CH89" s="83" t="s">
        <v>110</v>
      </c>
      <c r="CI89" s="47" t="s">
        <v>110</v>
      </c>
      <c r="CJ89" s="47" t="s">
        <v>110</v>
      </c>
      <c r="CK89" s="47" t="s">
        <v>126</v>
      </c>
      <c r="CL89" s="47" t="s">
        <v>110</v>
      </c>
      <c r="CM89" s="47" t="s">
        <v>110</v>
      </c>
      <c r="CN89" s="49"/>
      <c r="CO89" t="s">
        <v>785</v>
      </c>
      <c r="CP89">
        <f>IFERROR(VLOOKUP(H89,'Lista Lideres'!$A$1:$B$350,2,0),0)</f>
        <v>0</v>
      </c>
    </row>
    <row r="90" spans="1:94" ht="14.4" x14ac:dyDescent="0.3">
      <c r="A90" s="52">
        <v>45561.81376341435</v>
      </c>
      <c r="B90" s="47" t="s">
        <v>181</v>
      </c>
      <c r="C90" s="53" t="s">
        <v>782</v>
      </c>
      <c r="D90" s="53" t="s">
        <v>424</v>
      </c>
      <c r="E90" s="53" t="s">
        <v>304</v>
      </c>
      <c r="F90" s="53" t="s">
        <v>97</v>
      </c>
      <c r="G90" s="53" t="s">
        <v>425</v>
      </c>
      <c r="H90" s="53" t="s">
        <v>98</v>
      </c>
      <c r="I90" s="53" t="s">
        <v>100</v>
      </c>
      <c r="J90" s="53" t="s">
        <v>196</v>
      </c>
      <c r="K90" s="53" t="s">
        <v>102</v>
      </c>
      <c r="L90" s="84" t="s">
        <v>103</v>
      </c>
      <c r="M90" s="58" t="s">
        <v>351</v>
      </c>
      <c r="N90" s="84" t="s">
        <v>282</v>
      </c>
      <c r="O90" s="84" t="s">
        <v>352</v>
      </c>
      <c r="P90" s="84" t="s">
        <v>175</v>
      </c>
      <c r="Q90" s="115" t="s">
        <v>163</v>
      </c>
      <c r="R90" s="84" t="s">
        <v>184</v>
      </c>
      <c r="S90" s="53" t="s">
        <v>120</v>
      </c>
      <c r="T90" s="53" t="s">
        <v>110</v>
      </c>
      <c r="U90" s="53" t="s">
        <v>110</v>
      </c>
      <c r="V90" s="84" t="s">
        <v>112</v>
      </c>
      <c r="W90" s="84" t="s">
        <v>152</v>
      </c>
      <c r="X90" s="115" t="s">
        <v>153</v>
      </c>
      <c r="Y90" s="53" t="s">
        <v>115</v>
      </c>
      <c r="Z90" s="53" t="s">
        <v>115</v>
      </c>
      <c r="AA90" s="53" t="s">
        <v>115</v>
      </c>
      <c r="AB90" s="53" t="s">
        <v>115</v>
      </c>
      <c r="AC90" s="84" t="s">
        <v>110</v>
      </c>
      <c r="AD90" s="84" t="s">
        <v>137</v>
      </c>
      <c r="AE90" s="84" t="s">
        <v>138</v>
      </c>
      <c r="AF90" s="96" t="s">
        <v>111</v>
      </c>
      <c r="AG90" s="84" t="s">
        <v>110</v>
      </c>
      <c r="AH90" s="53" t="s">
        <v>110</v>
      </c>
      <c r="AI90" s="84" t="s">
        <v>110</v>
      </c>
      <c r="AJ90" s="84" t="s">
        <v>110</v>
      </c>
      <c r="AK90" s="84" t="s">
        <v>110</v>
      </c>
      <c r="AL90" s="53" t="s">
        <v>122</v>
      </c>
      <c r="AM90" s="53" t="s">
        <v>123</v>
      </c>
      <c r="AN90" s="53" t="s">
        <v>110</v>
      </c>
      <c r="AO90" s="84" t="s">
        <v>123</v>
      </c>
      <c r="AP90" s="53" t="s">
        <v>110</v>
      </c>
      <c r="AQ90" s="84" t="s">
        <v>126</v>
      </c>
      <c r="AR90" s="84" t="s">
        <v>110</v>
      </c>
      <c r="AS90" s="53" t="s">
        <v>111</v>
      </c>
      <c r="AT90" s="9" t="s">
        <v>129</v>
      </c>
      <c r="AU90" s="10" t="s">
        <v>115</v>
      </c>
      <c r="AV90" s="53" t="s">
        <v>129</v>
      </c>
      <c r="AW90" s="53" t="s">
        <v>129</v>
      </c>
      <c r="AX90" s="53" t="s">
        <v>119</v>
      </c>
      <c r="AY90" s="53" t="s">
        <v>120</v>
      </c>
      <c r="AZ90" s="84" t="s">
        <v>126</v>
      </c>
      <c r="BA90" s="84" t="s">
        <v>120</v>
      </c>
      <c r="BB90" s="84" t="s">
        <v>126</v>
      </c>
      <c r="BC90" s="84" t="s">
        <v>120</v>
      </c>
      <c r="BD90" s="96" t="s">
        <v>126</v>
      </c>
      <c r="BE90" s="84" t="s">
        <v>126</v>
      </c>
      <c r="BF90" s="84" t="s">
        <v>128</v>
      </c>
      <c r="BG90" s="53" t="s">
        <v>111</v>
      </c>
      <c r="BH90" s="84" t="s">
        <v>142</v>
      </c>
      <c r="BI90" s="53" t="s">
        <v>120</v>
      </c>
      <c r="BJ90" s="84" t="s">
        <v>110</v>
      </c>
      <c r="BK90" s="53" t="s">
        <v>128</v>
      </c>
      <c r="BL90" s="53" t="s">
        <v>126</v>
      </c>
      <c r="BM90" s="53" t="s">
        <v>186</v>
      </c>
      <c r="BN90" s="11" t="s">
        <v>115</v>
      </c>
      <c r="BO90" s="53" t="s">
        <v>115</v>
      </c>
      <c r="BP90" s="53" t="s">
        <v>120</v>
      </c>
      <c r="BQ90" s="53" t="s">
        <v>111</v>
      </c>
      <c r="BR90" s="53" t="s">
        <v>110</v>
      </c>
      <c r="BS90" s="84" t="s">
        <v>115</v>
      </c>
      <c r="BT90" s="53" t="s">
        <v>115</v>
      </c>
      <c r="BU90" s="53" t="s">
        <v>111</v>
      </c>
      <c r="BV90" s="53" t="s">
        <v>110</v>
      </c>
      <c r="BW90" s="53" t="s">
        <v>123</v>
      </c>
      <c r="BX90" s="53" t="s">
        <v>126</v>
      </c>
      <c r="BY90" s="84" t="s">
        <v>115</v>
      </c>
      <c r="BZ90" s="53" t="s">
        <v>115</v>
      </c>
      <c r="CA90" s="53" t="s">
        <v>111</v>
      </c>
      <c r="CB90" s="53" t="s">
        <v>129</v>
      </c>
      <c r="CC90" s="53" t="s">
        <v>110</v>
      </c>
      <c r="CD90" s="53" t="s">
        <v>119</v>
      </c>
      <c r="CE90" s="53" t="s">
        <v>116</v>
      </c>
      <c r="CF90" s="53" t="s">
        <v>115</v>
      </c>
      <c r="CG90" s="53" t="s">
        <v>111</v>
      </c>
      <c r="CH90" s="84" t="s">
        <v>111</v>
      </c>
      <c r="CI90" s="53" t="s">
        <v>115</v>
      </c>
      <c r="CJ90" s="53" t="s">
        <v>119</v>
      </c>
      <c r="CK90" s="53" t="s">
        <v>126</v>
      </c>
      <c r="CL90" s="53" t="s">
        <v>111</v>
      </c>
      <c r="CM90" s="53" t="s">
        <v>120</v>
      </c>
      <c r="CN90" s="49"/>
      <c r="CO90" t="s">
        <v>786</v>
      </c>
      <c r="CP90">
        <f>IFERROR(VLOOKUP(H90,'Lista Lideres'!$A$1:$B$350,2,0),0)</f>
        <v>0</v>
      </c>
    </row>
    <row r="91" spans="1:94" ht="13.8" hidden="1" x14ac:dyDescent="0.3">
      <c r="A91" s="46">
        <v>45563.222731400463</v>
      </c>
      <c r="B91" s="47" t="s">
        <v>181</v>
      </c>
      <c r="C91" s="47" t="s">
        <v>782</v>
      </c>
      <c r="D91" s="47" t="s">
        <v>131</v>
      </c>
      <c r="E91" s="47" t="s">
        <v>426</v>
      </c>
      <c r="F91" s="47" t="s">
        <v>96</v>
      </c>
      <c r="G91" s="47" t="s">
        <v>427</v>
      </c>
      <c r="H91" s="47" t="s">
        <v>369</v>
      </c>
      <c r="I91" s="47" t="s">
        <v>100</v>
      </c>
      <c r="J91" s="47" t="s">
        <v>101</v>
      </c>
      <c r="K91" s="47" t="s">
        <v>174</v>
      </c>
      <c r="L91" s="83" t="s">
        <v>135</v>
      </c>
      <c r="M91" s="58" t="s">
        <v>351</v>
      </c>
      <c r="N91" s="83" t="s">
        <v>282</v>
      </c>
      <c r="O91" s="83" t="s">
        <v>352</v>
      </c>
      <c r="P91" s="83" t="s">
        <v>264</v>
      </c>
      <c r="Q91" s="114" t="s">
        <v>108</v>
      </c>
      <c r="R91" s="83" t="s">
        <v>184</v>
      </c>
      <c r="S91" s="47" t="s">
        <v>119</v>
      </c>
      <c r="T91" s="47" t="s">
        <v>119</v>
      </c>
      <c r="U91" s="47" t="s">
        <v>119</v>
      </c>
      <c r="V91" s="83" t="s">
        <v>320</v>
      </c>
      <c r="W91" s="83" t="s">
        <v>379</v>
      </c>
      <c r="X91" s="114" t="s">
        <v>165</v>
      </c>
      <c r="Y91" s="47" t="s">
        <v>111</v>
      </c>
      <c r="Z91" s="47" t="s">
        <v>119</v>
      </c>
      <c r="AA91" s="47" t="s">
        <v>129</v>
      </c>
      <c r="AB91" s="47" t="s">
        <v>111</v>
      </c>
      <c r="AC91" s="83" t="s">
        <v>111</v>
      </c>
      <c r="AD91" s="83" t="s">
        <v>137</v>
      </c>
      <c r="AE91" s="83" t="s">
        <v>118</v>
      </c>
      <c r="AF91" s="95" t="s">
        <v>119</v>
      </c>
      <c r="AG91" s="83" t="s">
        <v>111</v>
      </c>
      <c r="AH91" s="47" t="s">
        <v>122</v>
      </c>
      <c r="AI91" s="83" t="s">
        <v>121</v>
      </c>
      <c r="AJ91" s="83" t="s">
        <v>177</v>
      </c>
      <c r="AK91" s="83" t="s">
        <v>110</v>
      </c>
      <c r="AL91" s="47" t="s">
        <v>122</v>
      </c>
      <c r="AM91" s="47" t="s">
        <v>123</v>
      </c>
      <c r="AN91" s="47" t="s">
        <v>177</v>
      </c>
      <c r="AO91" s="83" t="s">
        <v>123</v>
      </c>
      <c r="AP91" s="47" t="s">
        <v>123</v>
      </c>
      <c r="AQ91" s="83" t="s">
        <v>125</v>
      </c>
      <c r="AR91" s="83" t="s">
        <v>111</v>
      </c>
      <c r="AS91" s="47" t="s">
        <v>129</v>
      </c>
      <c r="AT91" s="16" t="s">
        <v>119</v>
      </c>
      <c r="AU91" s="17" t="s">
        <v>111</v>
      </c>
      <c r="AV91" s="47" t="s">
        <v>119</v>
      </c>
      <c r="AW91" s="47" t="s">
        <v>111</v>
      </c>
      <c r="AX91" s="47" t="s">
        <v>111</v>
      </c>
      <c r="AY91" s="47" t="s">
        <v>111</v>
      </c>
      <c r="AZ91" s="83" t="s">
        <v>124</v>
      </c>
      <c r="BA91" s="83" t="s">
        <v>111</v>
      </c>
      <c r="BB91" s="83" t="s">
        <v>139</v>
      </c>
      <c r="BC91" s="83" t="s">
        <v>120</v>
      </c>
      <c r="BD91" s="95" t="s">
        <v>214</v>
      </c>
      <c r="BE91" s="83" t="s">
        <v>140</v>
      </c>
      <c r="BF91" s="83" t="s">
        <v>122</v>
      </c>
      <c r="BG91" s="47" t="s">
        <v>111</v>
      </c>
      <c r="BH91" s="83" t="s">
        <v>142</v>
      </c>
      <c r="BI91" s="47" t="s">
        <v>111</v>
      </c>
      <c r="BJ91" s="83" t="s">
        <v>129</v>
      </c>
      <c r="BK91" s="47" t="s">
        <v>177</v>
      </c>
      <c r="BL91" s="47" t="s">
        <v>124</v>
      </c>
      <c r="BM91" s="47" t="s">
        <v>209</v>
      </c>
      <c r="BN91" s="18" t="s">
        <v>119</v>
      </c>
      <c r="BO91" s="47" t="s">
        <v>111</v>
      </c>
      <c r="BP91" s="47" t="s">
        <v>111</v>
      </c>
      <c r="BQ91" s="47" t="s">
        <v>129</v>
      </c>
      <c r="BR91" s="47" t="s">
        <v>129</v>
      </c>
      <c r="BS91" s="83" t="s">
        <v>129</v>
      </c>
      <c r="BT91" s="47" t="s">
        <v>115</v>
      </c>
      <c r="BU91" s="47" t="s">
        <v>115</v>
      </c>
      <c r="BV91" s="47" t="s">
        <v>111</v>
      </c>
      <c r="BW91" s="47" t="s">
        <v>128</v>
      </c>
      <c r="BX91" s="47" t="s">
        <v>125</v>
      </c>
      <c r="BY91" s="83" t="s">
        <v>119</v>
      </c>
      <c r="BZ91" s="47" t="s">
        <v>115</v>
      </c>
      <c r="CA91" s="47" t="s">
        <v>129</v>
      </c>
      <c r="CB91" s="47" t="s">
        <v>119</v>
      </c>
      <c r="CC91" s="47" t="s">
        <v>119</v>
      </c>
      <c r="CD91" s="47" t="s">
        <v>115</v>
      </c>
      <c r="CE91" s="47" t="s">
        <v>398</v>
      </c>
      <c r="CF91" s="47" t="s">
        <v>129</v>
      </c>
      <c r="CG91" s="47" t="s">
        <v>119</v>
      </c>
      <c r="CH91" s="83" t="s">
        <v>111</v>
      </c>
      <c r="CI91" s="47" t="s">
        <v>119</v>
      </c>
      <c r="CJ91" s="47" t="s">
        <v>111</v>
      </c>
      <c r="CK91" s="47" t="s">
        <v>124</v>
      </c>
      <c r="CL91" s="47" t="s">
        <v>129</v>
      </c>
      <c r="CM91" s="47" t="s">
        <v>110</v>
      </c>
      <c r="CN91" s="50" t="s">
        <v>428</v>
      </c>
      <c r="CO91" t="s">
        <v>786</v>
      </c>
      <c r="CP91">
        <f>IFERROR(VLOOKUP(H91,'Lista Lideres'!$A$1:$B$350,2,0),0)</f>
        <v>1</v>
      </c>
    </row>
    <row r="92" spans="1:94" ht="13.8" hidden="1" x14ac:dyDescent="0.3">
      <c r="A92" s="52">
        <v>45565.891374166662</v>
      </c>
      <c r="B92" s="47" t="s">
        <v>181</v>
      </c>
      <c r="C92" s="53" t="s">
        <v>782</v>
      </c>
      <c r="D92" s="53" t="s">
        <v>93</v>
      </c>
      <c r="E92" s="53" t="s">
        <v>304</v>
      </c>
      <c r="F92" s="53" t="s">
        <v>97</v>
      </c>
      <c r="G92" s="53" t="s">
        <v>205</v>
      </c>
      <c r="H92" s="53" t="s">
        <v>205</v>
      </c>
      <c r="I92" s="53" t="s">
        <v>149</v>
      </c>
      <c r="J92" s="53" t="s">
        <v>196</v>
      </c>
      <c r="K92" s="53" t="s">
        <v>191</v>
      </c>
      <c r="L92" s="84" t="s">
        <v>150</v>
      </c>
      <c r="M92" s="58" t="s">
        <v>351</v>
      </c>
      <c r="N92" s="84" t="s">
        <v>282</v>
      </c>
      <c r="O92" s="84" t="s">
        <v>388</v>
      </c>
      <c r="P92" s="84" t="s">
        <v>175</v>
      </c>
      <c r="Q92" s="115" t="s">
        <v>163</v>
      </c>
      <c r="R92" s="53" t="s">
        <v>164</v>
      </c>
      <c r="S92" s="53" t="s">
        <v>110</v>
      </c>
      <c r="T92" s="53" t="s">
        <v>110</v>
      </c>
      <c r="U92" s="53" t="s">
        <v>110</v>
      </c>
      <c r="V92" s="84" t="s">
        <v>126</v>
      </c>
      <c r="W92" s="84" t="s">
        <v>429</v>
      </c>
      <c r="X92" s="115" t="s">
        <v>153</v>
      </c>
      <c r="Y92" s="53" t="s">
        <v>110</v>
      </c>
      <c r="Z92" s="53" t="s">
        <v>110</v>
      </c>
      <c r="AA92" s="53" t="s">
        <v>110</v>
      </c>
      <c r="AB92" s="53" t="s">
        <v>119</v>
      </c>
      <c r="AC92" s="84" t="s">
        <v>119</v>
      </c>
      <c r="AD92" s="84" t="s">
        <v>166</v>
      </c>
      <c r="AE92" s="84" t="s">
        <v>185</v>
      </c>
      <c r="AF92" s="96" t="s">
        <v>110</v>
      </c>
      <c r="AG92" s="84" t="s">
        <v>110</v>
      </c>
      <c r="AH92" s="53" t="s">
        <v>122</v>
      </c>
      <c r="AI92" s="84" t="s">
        <v>154</v>
      </c>
      <c r="AJ92" s="84" t="s">
        <v>197</v>
      </c>
      <c r="AK92" s="84" t="s">
        <v>225</v>
      </c>
      <c r="AL92" s="53" t="s">
        <v>110</v>
      </c>
      <c r="AM92" s="53" t="s">
        <v>123</v>
      </c>
      <c r="AN92" s="53" t="s">
        <v>110</v>
      </c>
      <c r="AO92" s="84" t="s">
        <v>110</v>
      </c>
      <c r="AP92" s="53" t="s">
        <v>123</v>
      </c>
      <c r="AQ92" s="84" t="s">
        <v>126</v>
      </c>
      <c r="AR92" s="84" t="s">
        <v>110</v>
      </c>
      <c r="AS92" s="53" t="s">
        <v>110</v>
      </c>
      <c r="AT92" s="9" t="s">
        <v>119</v>
      </c>
      <c r="AU92" s="10" t="s">
        <v>110</v>
      </c>
      <c r="AV92" s="53" t="s">
        <v>110</v>
      </c>
      <c r="AW92" s="53" t="s">
        <v>110</v>
      </c>
      <c r="AX92" s="53" t="s">
        <v>110</v>
      </c>
      <c r="AY92" s="53" t="s">
        <v>111</v>
      </c>
      <c r="AZ92" s="84" t="s">
        <v>124</v>
      </c>
      <c r="BA92" s="84" t="s">
        <v>110</v>
      </c>
      <c r="BB92" s="84" t="s">
        <v>139</v>
      </c>
      <c r="BC92" s="84" t="s">
        <v>111</v>
      </c>
      <c r="BD92" s="96" t="s">
        <v>124</v>
      </c>
      <c r="BE92" s="84" t="s">
        <v>140</v>
      </c>
      <c r="BF92" s="84" t="s">
        <v>141</v>
      </c>
      <c r="BG92" s="53" t="s">
        <v>110</v>
      </c>
      <c r="BH92" s="84" t="s">
        <v>124</v>
      </c>
      <c r="BI92" s="53" t="s">
        <v>111</v>
      </c>
      <c r="BJ92" s="84" t="s">
        <v>110</v>
      </c>
      <c r="BK92" s="53" t="s">
        <v>110</v>
      </c>
      <c r="BL92" s="53" t="s">
        <v>124</v>
      </c>
      <c r="BM92" s="53" t="s">
        <v>209</v>
      </c>
      <c r="BN92" s="11" t="s">
        <v>111</v>
      </c>
      <c r="BO92" s="53" t="s">
        <v>119</v>
      </c>
      <c r="BP92" s="53" t="s">
        <v>110</v>
      </c>
      <c r="BQ92" s="53" t="s">
        <v>119</v>
      </c>
      <c r="BR92" s="53" t="s">
        <v>119</v>
      </c>
      <c r="BS92" s="84" t="s">
        <v>110</v>
      </c>
      <c r="BT92" s="53" t="s">
        <v>111</v>
      </c>
      <c r="BU92" s="53" t="s">
        <v>110</v>
      </c>
      <c r="BV92" s="53" t="s">
        <v>111</v>
      </c>
      <c r="BW92" s="53" t="s">
        <v>110</v>
      </c>
      <c r="BX92" s="53" t="s">
        <v>126</v>
      </c>
      <c r="BY92" s="84" t="s">
        <v>110</v>
      </c>
      <c r="BZ92" s="53" t="s">
        <v>111</v>
      </c>
      <c r="CA92" s="53" t="s">
        <v>110</v>
      </c>
      <c r="CB92" s="53" t="s">
        <v>119</v>
      </c>
      <c r="CC92" s="53" t="s">
        <v>119</v>
      </c>
      <c r="CD92" s="53" t="s">
        <v>111</v>
      </c>
      <c r="CE92" s="53" t="s">
        <v>110</v>
      </c>
      <c r="CF92" s="53" t="s">
        <v>110</v>
      </c>
      <c r="CG92" s="53" t="s">
        <v>119</v>
      </c>
      <c r="CH92" s="84" t="s">
        <v>110</v>
      </c>
      <c r="CI92" s="53" t="s">
        <v>111</v>
      </c>
      <c r="CJ92" s="53" t="s">
        <v>110</v>
      </c>
      <c r="CK92" s="53" t="s">
        <v>124</v>
      </c>
      <c r="CL92" s="53" t="s">
        <v>110</v>
      </c>
      <c r="CM92" s="53" t="s">
        <v>111</v>
      </c>
      <c r="CN92" s="57" t="s">
        <v>430</v>
      </c>
      <c r="CO92" t="s">
        <v>785</v>
      </c>
      <c r="CP92">
        <f>IFERROR(VLOOKUP(H92,'Lista Lideres'!$A$1:$B$350,2,0),0)</f>
        <v>0</v>
      </c>
    </row>
    <row r="93" spans="1:94" ht="14.4" hidden="1" x14ac:dyDescent="0.3">
      <c r="A93" s="46">
        <v>45573.042983449079</v>
      </c>
      <c r="B93" s="47" t="s">
        <v>181</v>
      </c>
      <c r="C93" s="47" t="s">
        <v>782</v>
      </c>
      <c r="D93" s="47" t="s">
        <v>93</v>
      </c>
      <c r="E93" s="47" t="s">
        <v>304</v>
      </c>
      <c r="F93" s="47" t="s">
        <v>171</v>
      </c>
      <c r="G93" s="47" t="s">
        <v>431</v>
      </c>
      <c r="H93" s="47" t="s">
        <v>432</v>
      </c>
      <c r="I93" s="47" t="s">
        <v>100</v>
      </c>
      <c r="J93" s="47" t="s">
        <v>196</v>
      </c>
      <c r="K93" s="47" t="s">
        <v>102</v>
      </c>
      <c r="L93" s="83" t="s">
        <v>103</v>
      </c>
      <c r="M93" s="58" t="s">
        <v>351</v>
      </c>
      <c r="N93" s="83" t="s">
        <v>282</v>
      </c>
      <c r="O93" s="83" t="s">
        <v>352</v>
      </c>
      <c r="P93" s="83" t="s">
        <v>107</v>
      </c>
      <c r="Q93" s="114" t="s">
        <v>163</v>
      </c>
      <c r="R93" s="47" t="s">
        <v>109</v>
      </c>
      <c r="S93" s="47" t="s">
        <v>110</v>
      </c>
      <c r="T93" s="47" t="s">
        <v>110</v>
      </c>
      <c r="U93" s="47" t="s">
        <v>110</v>
      </c>
      <c r="V93" s="83" t="s">
        <v>136</v>
      </c>
      <c r="W93" s="83" t="s">
        <v>152</v>
      </c>
      <c r="X93" s="114" t="s">
        <v>114</v>
      </c>
      <c r="Y93" s="47" t="s">
        <v>110</v>
      </c>
      <c r="Z93" s="47" t="s">
        <v>110</v>
      </c>
      <c r="AA93" s="47" t="s">
        <v>110</v>
      </c>
      <c r="AB93" s="47" t="s">
        <v>111</v>
      </c>
      <c r="AC93" s="83" t="s">
        <v>116</v>
      </c>
      <c r="AD93" s="83" t="s">
        <v>166</v>
      </c>
      <c r="AE93" s="83" t="s">
        <v>167</v>
      </c>
      <c r="AF93" s="95" t="s">
        <v>110</v>
      </c>
      <c r="AG93" s="83" t="s">
        <v>168</v>
      </c>
      <c r="AH93" s="47" t="s">
        <v>177</v>
      </c>
      <c r="AI93" s="83" t="s">
        <v>110</v>
      </c>
      <c r="AJ93" s="83" t="s">
        <v>121</v>
      </c>
      <c r="AK93" s="83" t="s">
        <v>121</v>
      </c>
      <c r="AL93" s="47" t="s">
        <v>110</v>
      </c>
      <c r="AM93" s="47" t="s">
        <v>110</v>
      </c>
      <c r="AN93" s="47" t="s">
        <v>177</v>
      </c>
      <c r="AO93" s="83" t="s">
        <v>178</v>
      </c>
      <c r="AP93" s="47" t="s">
        <v>110</v>
      </c>
      <c r="AQ93" s="83" t="s">
        <v>126</v>
      </c>
      <c r="AR93" s="83" t="s">
        <v>110</v>
      </c>
      <c r="AS93" s="47" t="s">
        <v>115</v>
      </c>
      <c r="AT93" s="16" t="s">
        <v>129</v>
      </c>
      <c r="AU93" s="17" t="s">
        <v>129</v>
      </c>
      <c r="AV93" s="47" t="s">
        <v>129</v>
      </c>
      <c r="AW93" s="47" t="s">
        <v>129</v>
      </c>
      <c r="AX93" s="47" t="s">
        <v>110</v>
      </c>
      <c r="AY93" s="47" t="s">
        <v>129</v>
      </c>
      <c r="AZ93" s="83" t="s">
        <v>126</v>
      </c>
      <c r="BA93" s="83" t="s">
        <v>119</v>
      </c>
      <c r="BB93" s="83" t="s">
        <v>126</v>
      </c>
      <c r="BC93" s="83" t="s">
        <v>110</v>
      </c>
      <c r="BD93" s="95" t="s">
        <v>126</v>
      </c>
      <c r="BE93" s="83" t="s">
        <v>126</v>
      </c>
      <c r="BF93" s="83" t="s">
        <v>110</v>
      </c>
      <c r="BG93" s="47" t="s">
        <v>110</v>
      </c>
      <c r="BH93" s="83" t="s">
        <v>214</v>
      </c>
      <c r="BI93" s="47" t="s">
        <v>129</v>
      </c>
      <c r="BJ93" s="83" t="s">
        <v>110</v>
      </c>
      <c r="BK93" s="47" t="s">
        <v>121</v>
      </c>
      <c r="BL93" s="47" t="s">
        <v>126</v>
      </c>
      <c r="BM93" s="47" t="s">
        <v>110</v>
      </c>
      <c r="BN93" s="18" t="s">
        <v>129</v>
      </c>
      <c r="BO93" s="47" t="s">
        <v>129</v>
      </c>
      <c r="BP93" s="47" t="s">
        <v>129</v>
      </c>
      <c r="BQ93" s="47" t="s">
        <v>110</v>
      </c>
      <c r="BR93" s="47" t="s">
        <v>110</v>
      </c>
      <c r="BS93" s="83" t="s">
        <v>110</v>
      </c>
      <c r="BT93" s="47" t="s">
        <v>129</v>
      </c>
      <c r="BU93" s="47" t="s">
        <v>129</v>
      </c>
      <c r="BV93" s="47" t="s">
        <v>110</v>
      </c>
      <c r="BW93" s="47" t="s">
        <v>110</v>
      </c>
      <c r="BX93" s="47" t="s">
        <v>126</v>
      </c>
      <c r="BY93" s="83" t="s">
        <v>110</v>
      </c>
      <c r="BZ93" s="47" t="s">
        <v>129</v>
      </c>
      <c r="CA93" s="47" t="s">
        <v>110</v>
      </c>
      <c r="CB93" s="47" t="s">
        <v>129</v>
      </c>
      <c r="CC93" s="47" t="s">
        <v>110</v>
      </c>
      <c r="CD93" s="47" t="s">
        <v>129</v>
      </c>
      <c r="CE93" s="47" t="s">
        <v>110</v>
      </c>
      <c r="CF93" s="47" t="s">
        <v>110</v>
      </c>
      <c r="CG93" s="47" t="s">
        <v>129</v>
      </c>
      <c r="CH93" s="83" t="s">
        <v>110</v>
      </c>
      <c r="CI93" s="47" t="s">
        <v>110</v>
      </c>
      <c r="CJ93" s="47" t="s">
        <v>110</v>
      </c>
      <c r="CK93" s="47" t="s">
        <v>126</v>
      </c>
      <c r="CL93" s="47" t="s">
        <v>110</v>
      </c>
      <c r="CM93" s="47" t="s">
        <v>129</v>
      </c>
      <c r="CN93" s="49"/>
      <c r="CO93" t="s">
        <v>786</v>
      </c>
      <c r="CP93">
        <f>IFERROR(VLOOKUP(H93,'Lista Lideres'!$A$1:$B$350,2,0),0)</f>
        <v>0</v>
      </c>
    </row>
    <row r="94" spans="1:94" ht="13.8" hidden="1" x14ac:dyDescent="0.3">
      <c r="A94" s="52">
        <v>45561.905338182871</v>
      </c>
      <c r="B94" s="47" t="s">
        <v>181</v>
      </c>
      <c r="C94" s="53" t="s">
        <v>782</v>
      </c>
      <c r="D94" s="53" t="s">
        <v>93</v>
      </c>
      <c r="E94" s="53" t="s">
        <v>236</v>
      </c>
      <c r="F94" s="53" t="s">
        <v>97</v>
      </c>
      <c r="G94" s="53" t="s">
        <v>403</v>
      </c>
      <c r="H94" s="53" t="s">
        <v>403</v>
      </c>
      <c r="I94" s="53" t="s">
        <v>100</v>
      </c>
      <c r="J94" s="53" t="s">
        <v>101</v>
      </c>
      <c r="K94" s="53" t="s">
        <v>174</v>
      </c>
      <c r="L94" s="84" t="s">
        <v>135</v>
      </c>
      <c r="M94" s="58" t="s">
        <v>351</v>
      </c>
      <c r="N94" s="84" t="s">
        <v>282</v>
      </c>
      <c r="O94" s="84" t="s">
        <v>388</v>
      </c>
      <c r="P94" s="84" t="s">
        <v>264</v>
      </c>
      <c r="Q94" s="115" t="s">
        <v>163</v>
      </c>
      <c r="R94" s="53" t="s">
        <v>109</v>
      </c>
      <c r="S94" s="53" t="s">
        <v>110</v>
      </c>
      <c r="T94" s="53" t="s">
        <v>111</v>
      </c>
      <c r="U94" s="53" t="s">
        <v>110</v>
      </c>
      <c r="V94" s="84" t="s">
        <v>126</v>
      </c>
      <c r="W94" s="84" t="s">
        <v>379</v>
      </c>
      <c r="X94" s="115" t="s">
        <v>235</v>
      </c>
      <c r="Y94" s="53" t="s">
        <v>110</v>
      </c>
      <c r="Z94" s="53" t="s">
        <v>129</v>
      </c>
      <c r="AA94" s="53" t="s">
        <v>119</v>
      </c>
      <c r="AB94" s="53" t="s">
        <v>119</v>
      </c>
      <c r="AC94" s="84" t="s">
        <v>119</v>
      </c>
      <c r="AD94" s="84" t="s">
        <v>137</v>
      </c>
      <c r="AE94" s="84" t="s">
        <v>118</v>
      </c>
      <c r="AF94" s="96" t="s">
        <v>119</v>
      </c>
      <c r="AG94" s="84" t="s">
        <v>111</v>
      </c>
      <c r="AH94" s="53" t="s">
        <v>177</v>
      </c>
      <c r="AI94" s="84" t="s">
        <v>154</v>
      </c>
      <c r="AJ94" s="84" t="s">
        <v>122</v>
      </c>
      <c r="AK94" s="84" t="s">
        <v>225</v>
      </c>
      <c r="AL94" s="53" t="s">
        <v>177</v>
      </c>
      <c r="AM94" s="53" t="s">
        <v>123</v>
      </c>
      <c r="AN94" s="53" t="s">
        <v>177</v>
      </c>
      <c r="AO94" s="84" t="s">
        <v>123</v>
      </c>
      <c r="AP94" s="53" t="s">
        <v>123</v>
      </c>
      <c r="AQ94" s="84" t="s">
        <v>124</v>
      </c>
      <c r="AR94" s="84" t="s">
        <v>111</v>
      </c>
      <c r="AS94" s="53" t="s">
        <v>111</v>
      </c>
      <c r="AT94" s="9" t="s">
        <v>111</v>
      </c>
      <c r="AU94" s="10" t="s">
        <v>119</v>
      </c>
      <c r="AV94" s="53" t="s">
        <v>119</v>
      </c>
      <c r="AW94" s="53" t="s">
        <v>111</v>
      </c>
      <c r="AX94" s="53" t="s">
        <v>111</v>
      </c>
      <c r="AY94" s="53" t="s">
        <v>111</v>
      </c>
      <c r="AZ94" s="84" t="s">
        <v>125</v>
      </c>
      <c r="BA94" s="84" t="s">
        <v>119</v>
      </c>
      <c r="BB94" s="84" t="s">
        <v>139</v>
      </c>
      <c r="BC94" s="84" t="s">
        <v>111</v>
      </c>
      <c r="BD94" s="96" t="s">
        <v>214</v>
      </c>
      <c r="BE94" s="84" t="s">
        <v>140</v>
      </c>
      <c r="BF94" s="84" t="s">
        <v>110</v>
      </c>
      <c r="BG94" s="53" t="s">
        <v>119</v>
      </c>
      <c r="BH94" s="84" t="s">
        <v>124</v>
      </c>
      <c r="BI94" s="53" t="s">
        <v>111</v>
      </c>
      <c r="BJ94" s="84" t="s">
        <v>111</v>
      </c>
      <c r="BK94" s="53" t="s">
        <v>177</v>
      </c>
      <c r="BL94" s="53" t="s">
        <v>124</v>
      </c>
      <c r="BM94" s="53" t="s">
        <v>209</v>
      </c>
      <c r="BN94" s="11" t="s">
        <v>119</v>
      </c>
      <c r="BO94" s="53" t="s">
        <v>119</v>
      </c>
      <c r="BP94" s="53" t="s">
        <v>111</v>
      </c>
      <c r="BQ94" s="53" t="s">
        <v>119</v>
      </c>
      <c r="BR94" s="53" t="s">
        <v>119</v>
      </c>
      <c r="BS94" s="84" t="s">
        <v>110</v>
      </c>
      <c r="BT94" s="53" t="s">
        <v>119</v>
      </c>
      <c r="BU94" s="53" t="s">
        <v>119</v>
      </c>
      <c r="BV94" s="53" t="s">
        <v>110</v>
      </c>
      <c r="BW94" s="53" t="s">
        <v>128</v>
      </c>
      <c r="BX94" s="53" t="s">
        <v>125</v>
      </c>
      <c r="BY94" s="84" t="s">
        <v>110</v>
      </c>
      <c r="BZ94" s="53" t="s">
        <v>119</v>
      </c>
      <c r="CA94" s="53" t="s">
        <v>119</v>
      </c>
      <c r="CB94" s="53" t="s">
        <v>119</v>
      </c>
      <c r="CC94" s="53" t="s">
        <v>119</v>
      </c>
      <c r="CD94" s="53" t="s">
        <v>110</v>
      </c>
      <c r="CE94" s="53" t="s">
        <v>209</v>
      </c>
      <c r="CF94" s="53" t="s">
        <v>119</v>
      </c>
      <c r="CG94" s="53" t="s">
        <v>119</v>
      </c>
      <c r="CH94" s="84" t="s">
        <v>119</v>
      </c>
      <c r="CI94" s="53" t="s">
        <v>111</v>
      </c>
      <c r="CJ94" s="53" t="s">
        <v>119</v>
      </c>
      <c r="CK94" s="53" t="s">
        <v>124</v>
      </c>
      <c r="CL94" s="53" t="s">
        <v>119</v>
      </c>
      <c r="CM94" s="53" t="s">
        <v>111</v>
      </c>
      <c r="CN94" s="50" t="s">
        <v>433</v>
      </c>
      <c r="CO94" t="s">
        <v>786</v>
      </c>
      <c r="CP94">
        <f>IFERROR(VLOOKUP(H94,'Lista Lideres'!$A$1:$B$350,2,0),0)</f>
        <v>1</v>
      </c>
    </row>
    <row r="95" spans="1:94" ht="14.4" hidden="1" x14ac:dyDescent="0.3">
      <c r="A95" s="46">
        <v>45565.731418923606</v>
      </c>
      <c r="B95" s="47" t="s">
        <v>181</v>
      </c>
      <c r="C95" s="47" t="s">
        <v>782</v>
      </c>
      <c r="D95" s="47" t="s">
        <v>93</v>
      </c>
      <c r="E95" s="47" t="s">
        <v>434</v>
      </c>
      <c r="F95" s="47" t="s">
        <v>97</v>
      </c>
      <c r="G95" s="47" t="s">
        <v>160</v>
      </c>
      <c r="H95" s="47" t="s">
        <v>160</v>
      </c>
      <c r="I95" s="47" t="s">
        <v>100</v>
      </c>
      <c r="J95" s="47" t="s">
        <v>183</v>
      </c>
      <c r="K95" s="47" t="s">
        <v>102</v>
      </c>
      <c r="L95" s="83" t="s">
        <v>103</v>
      </c>
      <c r="M95" s="58" t="s">
        <v>351</v>
      </c>
      <c r="N95" s="83" t="s">
        <v>282</v>
      </c>
      <c r="O95" s="83" t="s">
        <v>388</v>
      </c>
      <c r="P95" s="83" t="s">
        <v>264</v>
      </c>
      <c r="Q95" s="114" t="s">
        <v>151</v>
      </c>
      <c r="R95" s="47" t="s">
        <v>109</v>
      </c>
      <c r="S95" s="47" t="s">
        <v>110</v>
      </c>
      <c r="T95" s="47" t="s">
        <v>110</v>
      </c>
      <c r="U95" s="47" t="s">
        <v>110</v>
      </c>
      <c r="V95" s="83" t="s">
        <v>126</v>
      </c>
      <c r="W95" s="83" t="s">
        <v>113</v>
      </c>
      <c r="X95" s="114" t="s">
        <v>114</v>
      </c>
      <c r="Y95" s="47" t="s">
        <v>206</v>
      </c>
      <c r="Z95" s="47" t="s">
        <v>119</v>
      </c>
      <c r="AA95" s="47" t="s">
        <v>110</v>
      </c>
      <c r="AB95" s="47" t="s">
        <v>119</v>
      </c>
      <c r="AC95" s="83" t="s">
        <v>110</v>
      </c>
      <c r="AD95" s="83" t="s">
        <v>166</v>
      </c>
      <c r="AE95" s="83" t="s">
        <v>167</v>
      </c>
      <c r="AF95" s="95" t="s">
        <v>111</v>
      </c>
      <c r="AG95" s="83" t="s">
        <v>111</v>
      </c>
      <c r="AH95" s="47" t="s">
        <v>177</v>
      </c>
      <c r="AI95" s="83" t="s">
        <v>110</v>
      </c>
      <c r="AJ95" s="83" t="s">
        <v>197</v>
      </c>
      <c r="AK95" s="83" t="s">
        <v>110</v>
      </c>
      <c r="AL95" s="47" t="s">
        <v>168</v>
      </c>
      <c r="AM95" s="47" t="s">
        <v>110</v>
      </c>
      <c r="AN95" s="47" t="s">
        <v>123</v>
      </c>
      <c r="AO95" s="83" t="s">
        <v>178</v>
      </c>
      <c r="AP95" s="47" t="s">
        <v>110</v>
      </c>
      <c r="AQ95" s="83" t="s">
        <v>126</v>
      </c>
      <c r="AR95" s="83" t="s">
        <v>110</v>
      </c>
      <c r="AS95" s="47" t="s">
        <v>110</v>
      </c>
      <c r="AT95" s="16" t="s">
        <v>119</v>
      </c>
      <c r="AU95" s="17" t="s">
        <v>110</v>
      </c>
      <c r="AV95" s="47" t="s">
        <v>111</v>
      </c>
      <c r="AW95" s="47" t="s">
        <v>111</v>
      </c>
      <c r="AX95" s="47" t="s">
        <v>111</v>
      </c>
      <c r="AY95" s="47" t="s">
        <v>120</v>
      </c>
      <c r="AZ95" s="83" t="s">
        <v>126</v>
      </c>
      <c r="BA95" s="83" t="s">
        <v>110</v>
      </c>
      <c r="BB95" s="83" t="s">
        <v>126</v>
      </c>
      <c r="BC95" s="83" t="s">
        <v>110</v>
      </c>
      <c r="BD95" s="95" t="s">
        <v>126</v>
      </c>
      <c r="BE95" s="83" t="s">
        <v>126</v>
      </c>
      <c r="BF95" s="83" t="s">
        <v>110</v>
      </c>
      <c r="BG95" s="47" t="s">
        <v>119</v>
      </c>
      <c r="BH95" s="83" t="s">
        <v>125</v>
      </c>
      <c r="BI95" s="47" t="s">
        <v>111</v>
      </c>
      <c r="BJ95" s="83" t="s">
        <v>120</v>
      </c>
      <c r="BK95" s="47" t="s">
        <v>168</v>
      </c>
      <c r="BL95" s="47" t="s">
        <v>126</v>
      </c>
      <c r="BM95" s="47" t="s">
        <v>110</v>
      </c>
      <c r="BN95" s="18" t="s">
        <v>119</v>
      </c>
      <c r="BO95" s="47" t="s">
        <v>119</v>
      </c>
      <c r="BP95" s="47" t="s">
        <v>111</v>
      </c>
      <c r="BQ95" s="47" t="s">
        <v>111</v>
      </c>
      <c r="BR95" s="47" t="s">
        <v>110</v>
      </c>
      <c r="BS95" s="83" t="s">
        <v>111</v>
      </c>
      <c r="BT95" s="47" t="s">
        <v>115</v>
      </c>
      <c r="BU95" s="47" t="s">
        <v>110</v>
      </c>
      <c r="BV95" s="47" t="s">
        <v>110</v>
      </c>
      <c r="BW95" s="47" t="s">
        <v>123</v>
      </c>
      <c r="BX95" s="47" t="s">
        <v>125</v>
      </c>
      <c r="BY95" s="83" t="s">
        <v>110</v>
      </c>
      <c r="BZ95" s="47" t="s">
        <v>111</v>
      </c>
      <c r="CA95" s="47" t="s">
        <v>119</v>
      </c>
      <c r="CB95" s="47" t="s">
        <v>110</v>
      </c>
      <c r="CC95" s="47" t="s">
        <v>111</v>
      </c>
      <c r="CD95" s="47" t="s">
        <v>111</v>
      </c>
      <c r="CE95" s="47" t="s">
        <v>209</v>
      </c>
      <c r="CF95" s="47" t="s">
        <v>111</v>
      </c>
      <c r="CG95" s="47" t="s">
        <v>119</v>
      </c>
      <c r="CH95" s="83" t="s">
        <v>110</v>
      </c>
      <c r="CI95" s="47" t="s">
        <v>111</v>
      </c>
      <c r="CJ95" s="47" t="s">
        <v>111</v>
      </c>
      <c r="CK95" s="47" t="s">
        <v>126</v>
      </c>
      <c r="CL95" s="47" t="s">
        <v>119</v>
      </c>
      <c r="CM95" s="47" t="s">
        <v>119</v>
      </c>
      <c r="CN95" s="51"/>
      <c r="CO95" t="s">
        <v>786</v>
      </c>
      <c r="CP95">
        <f>IFERROR(VLOOKUP(H95,'Lista Lideres'!$A$1:$B$350,2,0),0)</f>
        <v>0</v>
      </c>
    </row>
    <row r="96" spans="1:94" ht="13.8" hidden="1" x14ac:dyDescent="0.3">
      <c r="A96" s="52">
        <v>45582.177028749997</v>
      </c>
      <c r="B96" s="47" t="s">
        <v>181</v>
      </c>
      <c r="C96" s="53" t="s">
        <v>782</v>
      </c>
      <c r="D96" s="53" t="s">
        <v>93</v>
      </c>
      <c r="E96" s="53" t="s">
        <v>304</v>
      </c>
      <c r="F96" s="53" t="s">
        <v>171</v>
      </c>
      <c r="G96" s="53" t="s">
        <v>435</v>
      </c>
      <c r="H96" s="53" t="s">
        <v>436</v>
      </c>
      <c r="I96" s="53" t="s">
        <v>100</v>
      </c>
      <c r="J96" s="53" t="s">
        <v>101</v>
      </c>
      <c r="K96" s="53" t="s">
        <v>102</v>
      </c>
      <c r="L96" s="84" t="s">
        <v>103</v>
      </c>
      <c r="M96" s="58" t="s">
        <v>351</v>
      </c>
      <c r="N96" s="84" t="s">
        <v>282</v>
      </c>
      <c r="O96" s="84" t="s">
        <v>352</v>
      </c>
      <c r="P96" s="84" t="s">
        <v>107</v>
      </c>
      <c r="Q96" s="115" t="s">
        <v>108</v>
      </c>
      <c r="R96" s="53" t="s">
        <v>109</v>
      </c>
      <c r="S96" s="53" t="s">
        <v>110</v>
      </c>
      <c r="T96" s="53" t="s">
        <v>110</v>
      </c>
      <c r="U96" s="53" t="s">
        <v>111</v>
      </c>
      <c r="V96" s="84" t="s">
        <v>112</v>
      </c>
      <c r="W96" s="84" t="s">
        <v>113</v>
      </c>
      <c r="X96" s="115" t="s">
        <v>235</v>
      </c>
      <c r="Y96" s="53" t="s">
        <v>111</v>
      </c>
      <c r="Z96" s="53" t="s">
        <v>111</v>
      </c>
      <c r="AA96" s="53" t="s">
        <v>110</v>
      </c>
      <c r="AB96" s="53" t="s">
        <v>111</v>
      </c>
      <c r="AC96" s="84" t="s">
        <v>116</v>
      </c>
      <c r="AD96" s="84" t="s">
        <v>137</v>
      </c>
      <c r="AE96" s="84" t="s">
        <v>118</v>
      </c>
      <c r="AF96" s="96" t="s">
        <v>110</v>
      </c>
      <c r="AG96" s="84" t="s">
        <v>110</v>
      </c>
      <c r="AH96" s="53" t="s">
        <v>110</v>
      </c>
      <c r="AI96" s="84" t="s">
        <v>110</v>
      </c>
      <c r="AJ96" s="84" t="s">
        <v>122</v>
      </c>
      <c r="AK96" s="84" t="s">
        <v>110</v>
      </c>
      <c r="AL96" s="53" t="s">
        <v>122</v>
      </c>
      <c r="AM96" s="53" t="s">
        <v>110</v>
      </c>
      <c r="AN96" s="53" t="s">
        <v>123</v>
      </c>
      <c r="AO96" s="84" t="s">
        <v>110</v>
      </c>
      <c r="AP96" s="53" t="s">
        <v>110</v>
      </c>
      <c r="AQ96" s="84" t="s">
        <v>124</v>
      </c>
      <c r="AR96" s="84" t="s">
        <v>111</v>
      </c>
      <c r="AS96" s="53" t="s">
        <v>119</v>
      </c>
      <c r="AT96" s="9" t="s">
        <v>111</v>
      </c>
      <c r="AU96" s="10" t="s">
        <v>111</v>
      </c>
      <c r="AV96" s="53" t="s">
        <v>111</v>
      </c>
      <c r="AW96" s="53" t="s">
        <v>111</v>
      </c>
      <c r="AX96" s="53" t="s">
        <v>111</v>
      </c>
      <c r="AY96" s="53" t="s">
        <v>111</v>
      </c>
      <c r="AZ96" s="84" t="s">
        <v>126</v>
      </c>
      <c r="BA96" s="84" t="s">
        <v>111</v>
      </c>
      <c r="BB96" s="84" t="s">
        <v>126</v>
      </c>
      <c r="BC96" s="84" t="s">
        <v>111</v>
      </c>
      <c r="BD96" s="96" t="s">
        <v>126</v>
      </c>
      <c r="BE96" s="84" t="s">
        <v>126</v>
      </c>
      <c r="BF96" s="84" t="s">
        <v>122</v>
      </c>
      <c r="BG96" s="53" t="s">
        <v>110</v>
      </c>
      <c r="BH96" s="84" t="s">
        <v>125</v>
      </c>
      <c r="BI96" s="53" t="s">
        <v>111</v>
      </c>
      <c r="BJ96" s="84" t="s">
        <v>119</v>
      </c>
      <c r="BK96" s="53" t="s">
        <v>122</v>
      </c>
      <c r="BL96" s="53" t="s">
        <v>124</v>
      </c>
      <c r="BM96" s="53" t="s">
        <v>127</v>
      </c>
      <c r="BN96" s="11" t="s">
        <v>110</v>
      </c>
      <c r="BO96" s="53" t="s">
        <v>111</v>
      </c>
      <c r="BP96" s="53" t="s">
        <v>120</v>
      </c>
      <c r="BQ96" s="53" t="s">
        <v>111</v>
      </c>
      <c r="BR96" s="53" t="s">
        <v>115</v>
      </c>
      <c r="BS96" s="84" t="s">
        <v>115</v>
      </c>
      <c r="BT96" s="53" t="s">
        <v>111</v>
      </c>
      <c r="BU96" s="53" t="s">
        <v>110</v>
      </c>
      <c r="BV96" s="53" t="s">
        <v>110</v>
      </c>
      <c r="BW96" s="53" t="s">
        <v>128</v>
      </c>
      <c r="BX96" s="53" t="s">
        <v>125</v>
      </c>
      <c r="BY96" s="84" t="s">
        <v>111</v>
      </c>
      <c r="BZ96" s="53" t="s">
        <v>111</v>
      </c>
      <c r="CA96" s="53" t="s">
        <v>111</v>
      </c>
      <c r="CB96" s="53" t="s">
        <v>119</v>
      </c>
      <c r="CC96" s="53" t="s">
        <v>111</v>
      </c>
      <c r="CD96" s="53" t="s">
        <v>119</v>
      </c>
      <c r="CE96" s="53" t="s">
        <v>127</v>
      </c>
      <c r="CF96" s="53" t="s">
        <v>115</v>
      </c>
      <c r="CG96" s="53" t="s">
        <v>119</v>
      </c>
      <c r="CH96" s="84" t="s">
        <v>111</v>
      </c>
      <c r="CI96" s="53" t="s">
        <v>111</v>
      </c>
      <c r="CJ96" s="53" t="s">
        <v>110</v>
      </c>
      <c r="CK96" s="53" t="s">
        <v>124</v>
      </c>
      <c r="CL96" s="53" t="s">
        <v>119</v>
      </c>
      <c r="CM96" s="53" t="s">
        <v>111</v>
      </c>
      <c r="CN96" s="57" t="s">
        <v>437</v>
      </c>
      <c r="CO96" t="s">
        <v>786</v>
      </c>
      <c r="CP96">
        <f>IFERROR(VLOOKUP(H96,'Lista Lideres'!$A$1:$B$350,2,0),0)</f>
        <v>0</v>
      </c>
    </row>
    <row r="97" spans="1:94" ht="14.4" hidden="1" x14ac:dyDescent="0.3">
      <c r="A97" s="46">
        <v>45563.047564016204</v>
      </c>
      <c r="B97" s="47" t="s">
        <v>181</v>
      </c>
      <c r="C97" s="47" t="s">
        <v>782</v>
      </c>
      <c r="D97" s="47" t="s">
        <v>93</v>
      </c>
      <c r="E97" s="47" t="s">
        <v>304</v>
      </c>
      <c r="F97" s="47" t="s">
        <v>97</v>
      </c>
      <c r="G97" s="47" t="s">
        <v>438</v>
      </c>
      <c r="H97" s="47" t="s">
        <v>439</v>
      </c>
      <c r="I97" s="47" t="s">
        <v>100</v>
      </c>
      <c r="J97" s="47" t="s">
        <v>101</v>
      </c>
      <c r="K97" s="47" t="s">
        <v>102</v>
      </c>
      <c r="L97" s="83" t="s">
        <v>213</v>
      </c>
      <c r="M97" s="58" t="s">
        <v>351</v>
      </c>
      <c r="N97" s="83" t="s">
        <v>282</v>
      </c>
      <c r="O97" s="83" t="s">
        <v>352</v>
      </c>
      <c r="P97" s="83" t="s">
        <v>264</v>
      </c>
      <c r="Q97" s="114" t="s">
        <v>163</v>
      </c>
      <c r="R97" s="47" t="s">
        <v>164</v>
      </c>
      <c r="S97" s="47" t="s">
        <v>119</v>
      </c>
      <c r="T97" s="47" t="s">
        <v>119</v>
      </c>
      <c r="U97" s="47" t="s">
        <v>119</v>
      </c>
      <c r="V97" s="83" t="s">
        <v>136</v>
      </c>
      <c r="W97" s="83" t="s">
        <v>363</v>
      </c>
      <c r="X97" s="114" t="s">
        <v>153</v>
      </c>
      <c r="Y97" s="47" t="s">
        <v>111</v>
      </c>
      <c r="Z97" s="47" t="s">
        <v>110</v>
      </c>
      <c r="AA97" s="47" t="s">
        <v>110</v>
      </c>
      <c r="AB97" s="47" t="s">
        <v>111</v>
      </c>
      <c r="AC97" s="83" t="s">
        <v>111</v>
      </c>
      <c r="AD97" s="83" t="s">
        <v>137</v>
      </c>
      <c r="AE97" s="83" t="s">
        <v>138</v>
      </c>
      <c r="AF97" s="95" t="s">
        <v>119</v>
      </c>
      <c r="AG97" s="83" t="s">
        <v>110</v>
      </c>
      <c r="AH97" s="47" t="s">
        <v>122</v>
      </c>
      <c r="AI97" s="83" t="s">
        <v>121</v>
      </c>
      <c r="AJ97" s="83" t="s">
        <v>122</v>
      </c>
      <c r="AK97" s="83" t="s">
        <v>110</v>
      </c>
      <c r="AL97" s="47" t="s">
        <v>122</v>
      </c>
      <c r="AM97" s="47" t="s">
        <v>110</v>
      </c>
      <c r="AN97" s="47" t="s">
        <v>110</v>
      </c>
      <c r="AO97" s="83" t="s">
        <v>110</v>
      </c>
      <c r="AP97" s="47" t="s">
        <v>123</v>
      </c>
      <c r="AQ97" s="83" t="s">
        <v>126</v>
      </c>
      <c r="AR97" s="83" t="s">
        <v>111</v>
      </c>
      <c r="AS97" s="47" t="s">
        <v>110</v>
      </c>
      <c r="AT97" s="16" t="s">
        <v>119</v>
      </c>
      <c r="AU97" s="17" t="s">
        <v>110</v>
      </c>
      <c r="AV97" s="47" t="s">
        <v>119</v>
      </c>
      <c r="AW97" s="47" t="s">
        <v>110</v>
      </c>
      <c r="AX97" s="47" t="s">
        <v>110</v>
      </c>
      <c r="AY97" s="47" t="s">
        <v>111</v>
      </c>
      <c r="AZ97" s="83" t="s">
        <v>124</v>
      </c>
      <c r="BA97" s="83" t="s">
        <v>111</v>
      </c>
      <c r="BB97" s="83" t="s">
        <v>126</v>
      </c>
      <c r="BC97" s="83" t="s">
        <v>110</v>
      </c>
      <c r="BD97" s="95" t="s">
        <v>126</v>
      </c>
      <c r="BE97" s="83" t="s">
        <v>126</v>
      </c>
      <c r="BF97" s="83" t="s">
        <v>128</v>
      </c>
      <c r="BG97" s="47" t="s">
        <v>110</v>
      </c>
      <c r="BH97" s="83" t="s">
        <v>126</v>
      </c>
      <c r="BI97" s="47" t="s">
        <v>110</v>
      </c>
      <c r="BJ97" s="83" t="s">
        <v>110</v>
      </c>
      <c r="BK97" s="47" t="s">
        <v>110</v>
      </c>
      <c r="BL97" s="47" t="s">
        <v>124</v>
      </c>
      <c r="BM97" s="47" t="s">
        <v>209</v>
      </c>
      <c r="BN97" s="18" t="s">
        <v>110</v>
      </c>
      <c r="BO97" s="47" t="s">
        <v>110</v>
      </c>
      <c r="BP97" s="47" t="s">
        <v>120</v>
      </c>
      <c r="BQ97" s="47" t="s">
        <v>110</v>
      </c>
      <c r="BR97" s="47" t="s">
        <v>110</v>
      </c>
      <c r="BS97" s="83" t="s">
        <v>110</v>
      </c>
      <c r="BT97" s="47" t="s">
        <v>110</v>
      </c>
      <c r="BU97" s="47" t="s">
        <v>110</v>
      </c>
      <c r="BV97" s="47" t="s">
        <v>110</v>
      </c>
      <c r="BW97" s="47" t="s">
        <v>128</v>
      </c>
      <c r="BX97" s="47" t="s">
        <v>126</v>
      </c>
      <c r="BY97" s="83" t="s">
        <v>119</v>
      </c>
      <c r="BZ97" s="47" t="s">
        <v>111</v>
      </c>
      <c r="CA97" s="47" t="s">
        <v>119</v>
      </c>
      <c r="CB97" s="47" t="s">
        <v>110</v>
      </c>
      <c r="CC97" s="47" t="s">
        <v>119</v>
      </c>
      <c r="CD97" s="47" t="s">
        <v>110</v>
      </c>
      <c r="CE97" s="47" t="s">
        <v>209</v>
      </c>
      <c r="CF97" s="47" t="s">
        <v>119</v>
      </c>
      <c r="CG97" s="47" t="s">
        <v>119</v>
      </c>
      <c r="CH97" s="83" t="s">
        <v>110</v>
      </c>
      <c r="CI97" s="47" t="s">
        <v>110</v>
      </c>
      <c r="CJ97" s="47" t="s">
        <v>110</v>
      </c>
      <c r="CK97" s="47" t="s">
        <v>126</v>
      </c>
      <c r="CL97" s="47" t="s">
        <v>110</v>
      </c>
      <c r="CM97" s="47" t="s">
        <v>111</v>
      </c>
      <c r="CN97" s="51"/>
      <c r="CO97" t="s">
        <v>786</v>
      </c>
      <c r="CP97">
        <f>IFERROR(VLOOKUP(H97,'Lista Lideres'!$A$1:$B$350,2,0),0)</f>
        <v>0</v>
      </c>
    </row>
    <row r="98" spans="1:94" ht="13.8" hidden="1" x14ac:dyDescent="0.3">
      <c r="A98" s="6">
        <v>45573.129485509256</v>
      </c>
      <c r="B98" s="14" t="s">
        <v>91</v>
      </c>
      <c r="C98" s="7" t="s">
        <v>783</v>
      </c>
      <c r="D98" s="7" t="s">
        <v>93</v>
      </c>
      <c r="E98" s="7" t="s">
        <v>204</v>
      </c>
      <c r="F98" s="7" t="s">
        <v>171</v>
      </c>
      <c r="G98" s="7" t="s">
        <v>205</v>
      </c>
      <c r="H98" s="7" t="s">
        <v>205</v>
      </c>
      <c r="I98" s="7" t="s">
        <v>149</v>
      </c>
      <c r="J98" s="7" t="s">
        <v>196</v>
      </c>
      <c r="K98" s="7" t="s">
        <v>191</v>
      </c>
      <c r="L98" s="75" t="s">
        <v>213</v>
      </c>
      <c r="M98" s="8" t="s">
        <v>104</v>
      </c>
      <c r="N98" s="75" t="s">
        <v>388</v>
      </c>
      <c r="O98" s="75" t="s">
        <v>106</v>
      </c>
      <c r="P98" s="75" t="s">
        <v>107</v>
      </c>
      <c r="Q98" s="106" t="s">
        <v>108</v>
      </c>
      <c r="R98" s="7" t="s">
        <v>109</v>
      </c>
      <c r="S98" s="7" t="s">
        <v>110</v>
      </c>
      <c r="T98" s="7" t="s">
        <v>119</v>
      </c>
      <c r="U98" s="7" t="s">
        <v>110</v>
      </c>
      <c r="V98" s="75" t="s">
        <v>126</v>
      </c>
      <c r="W98" s="75" t="s">
        <v>113</v>
      </c>
      <c r="X98" s="106" t="s">
        <v>153</v>
      </c>
      <c r="Y98" s="71" t="s">
        <v>111</v>
      </c>
      <c r="Z98" s="7" t="s">
        <v>111</v>
      </c>
      <c r="AA98" s="7" t="s">
        <v>110</v>
      </c>
      <c r="AB98" s="7" t="s">
        <v>111</v>
      </c>
      <c r="AC98" s="75" t="s">
        <v>110</v>
      </c>
      <c r="AD98" s="75" t="s">
        <v>166</v>
      </c>
      <c r="AE98" s="75" t="s">
        <v>138</v>
      </c>
      <c r="AF98" s="87" t="s">
        <v>111</v>
      </c>
      <c r="AG98" s="75" t="s">
        <v>119</v>
      </c>
      <c r="AH98" s="7" t="s">
        <v>110</v>
      </c>
      <c r="AI98" s="75" t="s">
        <v>110</v>
      </c>
      <c r="AJ98" s="75" t="s">
        <v>110</v>
      </c>
      <c r="AK98" s="75" t="s">
        <v>110</v>
      </c>
      <c r="AL98" s="7" t="s">
        <v>110</v>
      </c>
      <c r="AM98" s="7" t="s">
        <v>110</v>
      </c>
      <c r="AN98" s="7" t="s">
        <v>110</v>
      </c>
      <c r="AO98" s="75" t="s">
        <v>110</v>
      </c>
      <c r="AP98" s="7" t="s">
        <v>110</v>
      </c>
      <c r="AQ98" s="75" t="s">
        <v>126</v>
      </c>
      <c r="AR98" s="75" t="s">
        <v>110</v>
      </c>
      <c r="AS98" s="7" t="s">
        <v>110</v>
      </c>
      <c r="AT98" s="9" t="s">
        <v>129</v>
      </c>
      <c r="AU98" s="10" t="s">
        <v>111</v>
      </c>
      <c r="AV98" s="7" t="s">
        <v>110</v>
      </c>
      <c r="AW98" s="7" t="s">
        <v>110</v>
      </c>
      <c r="AX98" s="7" t="s">
        <v>110</v>
      </c>
      <c r="AY98" s="7" t="s">
        <v>110</v>
      </c>
      <c r="AZ98" s="75" t="s">
        <v>126</v>
      </c>
      <c r="BA98" s="75" t="s">
        <v>110</v>
      </c>
      <c r="BB98" s="75" t="s">
        <v>139</v>
      </c>
      <c r="BC98" s="75" t="s">
        <v>110</v>
      </c>
      <c r="BD98" s="87" t="s">
        <v>126</v>
      </c>
      <c r="BE98" s="75" t="s">
        <v>140</v>
      </c>
      <c r="BF98" s="75" t="s">
        <v>141</v>
      </c>
      <c r="BG98" s="7" t="s">
        <v>110</v>
      </c>
      <c r="BH98" s="75" t="s">
        <v>142</v>
      </c>
      <c r="BI98" s="7" t="s">
        <v>120</v>
      </c>
      <c r="BJ98" s="75" t="s">
        <v>110</v>
      </c>
      <c r="BK98" s="7" t="s">
        <v>110</v>
      </c>
      <c r="BL98" s="7" t="s">
        <v>126</v>
      </c>
      <c r="BM98" s="7" t="s">
        <v>110</v>
      </c>
      <c r="BN98" s="11" t="s">
        <v>111</v>
      </c>
      <c r="BO98" s="7" t="s">
        <v>111</v>
      </c>
      <c r="BP98" s="7" t="s">
        <v>120</v>
      </c>
      <c r="BQ98" s="7" t="s">
        <v>111</v>
      </c>
      <c r="BR98" s="7" t="s">
        <v>111</v>
      </c>
      <c r="BS98" s="75" t="s">
        <v>110</v>
      </c>
      <c r="BT98" s="7" t="s">
        <v>111</v>
      </c>
      <c r="BU98" s="7" t="s">
        <v>110</v>
      </c>
      <c r="BV98" s="7" t="s">
        <v>110</v>
      </c>
      <c r="BW98" s="7" t="s">
        <v>128</v>
      </c>
      <c r="BX98" s="7" t="s">
        <v>125</v>
      </c>
      <c r="BY98" s="75" t="s">
        <v>111</v>
      </c>
      <c r="BZ98" s="7" t="s">
        <v>115</v>
      </c>
      <c r="CA98" s="7" t="s">
        <v>119</v>
      </c>
      <c r="CB98" s="7" t="s">
        <v>110</v>
      </c>
      <c r="CC98" s="7" t="s">
        <v>110</v>
      </c>
      <c r="CD98" s="7" t="s">
        <v>111</v>
      </c>
      <c r="CE98" s="7" t="s">
        <v>110</v>
      </c>
      <c r="CF98" s="7" t="s">
        <v>110</v>
      </c>
      <c r="CG98" s="7" t="s">
        <v>119</v>
      </c>
      <c r="CH98" s="75" t="s">
        <v>110</v>
      </c>
      <c r="CI98" s="7" t="s">
        <v>111</v>
      </c>
      <c r="CJ98" s="7" t="s">
        <v>110</v>
      </c>
      <c r="CK98" s="7" t="s">
        <v>126</v>
      </c>
      <c r="CL98" s="7" t="s">
        <v>119</v>
      </c>
      <c r="CM98" s="7" t="s">
        <v>110</v>
      </c>
      <c r="CN98" s="12" t="s">
        <v>526</v>
      </c>
      <c r="CO98" t="s">
        <v>785</v>
      </c>
      <c r="CP98">
        <f>IFERROR(VLOOKUP(H98,'Lista Lideres'!$A$1:$B$350,2,0),0)</f>
        <v>0</v>
      </c>
    </row>
    <row r="99" spans="1:94" ht="13.8" hidden="1" x14ac:dyDescent="0.3">
      <c r="A99" s="29">
        <v>45572.980098425927</v>
      </c>
      <c r="B99" s="30" t="s">
        <v>169</v>
      </c>
      <c r="C99" s="30" t="s">
        <v>782</v>
      </c>
      <c r="D99" s="30" t="s">
        <v>93</v>
      </c>
      <c r="E99" s="30" t="s">
        <v>193</v>
      </c>
      <c r="F99" s="30" t="s">
        <v>171</v>
      </c>
      <c r="G99" s="30" t="s">
        <v>349</v>
      </c>
      <c r="H99" s="30" t="s">
        <v>441</v>
      </c>
      <c r="I99" s="30" t="s">
        <v>100</v>
      </c>
      <c r="J99" s="30" t="s">
        <v>173</v>
      </c>
      <c r="K99" s="30" t="s">
        <v>102</v>
      </c>
      <c r="L99" s="79" t="s">
        <v>135</v>
      </c>
      <c r="M99" s="8" t="s">
        <v>104</v>
      </c>
      <c r="N99" s="79" t="s">
        <v>352</v>
      </c>
      <c r="O99" s="79" t="s">
        <v>282</v>
      </c>
      <c r="P99" s="79" t="s">
        <v>107</v>
      </c>
      <c r="Q99" s="110" t="s">
        <v>163</v>
      </c>
      <c r="R99" s="30" t="s">
        <v>176</v>
      </c>
      <c r="S99" s="30" t="s">
        <v>120</v>
      </c>
      <c r="T99" s="30" t="s">
        <v>111</v>
      </c>
      <c r="U99" s="30" t="s">
        <v>111</v>
      </c>
      <c r="V99" s="79" t="s">
        <v>136</v>
      </c>
      <c r="W99" s="79" t="s">
        <v>152</v>
      </c>
      <c r="X99" s="110" t="s">
        <v>165</v>
      </c>
      <c r="Y99" s="30" t="s">
        <v>111</v>
      </c>
      <c r="Z99" s="30" t="s">
        <v>115</v>
      </c>
      <c r="AA99" s="30" t="s">
        <v>115</v>
      </c>
      <c r="AB99" s="30" t="s">
        <v>111</v>
      </c>
      <c r="AC99" s="79" t="s">
        <v>116</v>
      </c>
      <c r="AD99" s="79" t="s">
        <v>137</v>
      </c>
      <c r="AE99" s="79" t="s">
        <v>118</v>
      </c>
      <c r="AF99" s="91" t="s">
        <v>111</v>
      </c>
      <c r="AG99" s="79" t="s">
        <v>110</v>
      </c>
      <c r="AH99" s="30" t="s">
        <v>110</v>
      </c>
      <c r="AI99" s="79" t="s">
        <v>121</v>
      </c>
      <c r="AJ99" s="79" t="s">
        <v>110</v>
      </c>
      <c r="AK99" s="79" t="s">
        <v>128</v>
      </c>
      <c r="AL99" s="30" t="s">
        <v>128</v>
      </c>
      <c r="AM99" s="30" t="s">
        <v>121</v>
      </c>
      <c r="AN99" s="30" t="s">
        <v>123</v>
      </c>
      <c r="AO99" s="79" t="s">
        <v>110</v>
      </c>
      <c r="AP99" s="30" t="s">
        <v>110</v>
      </c>
      <c r="AQ99" s="79" t="s">
        <v>203</v>
      </c>
      <c r="AR99" s="79" t="s">
        <v>115</v>
      </c>
      <c r="AS99" s="30" t="s">
        <v>111</v>
      </c>
      <c r="AT99" s="16" t="s">
        <v>119</v>
      </c>
      <c r="AU99" s="17" t="s">
        <v>111</v>
      </c>
      <c r="AV99" s="30" t="s">
        <v>119</v>
      </c>
      <c r="AW99" s="30" t="s">
        <v>119</v>
      </c>
      <c r="AX99" s="30" t="s">
        <v>110</v>
      </c>
      <c r="AY99" s="30" t="s">
        <v>120</v>
      </c>
      <c r="AZ99" s="79" t="s">
        <v>125</v>
      </c>
      <c r="BA99" s="79" t="s">
        <v>120</v>
      </c>
      <c r="BB99" s="79" t="s">
        <v>125</v>
      </c>
      <c r="BC99" s="79" t="s">
        <v>120</v>
      </c>
      <c r="BD99" s="91" t="s">
        <v>125</v>
      </c>
      <c r="BE99" s="79" t="s">
        <v>142</v>
      </c>
      <c r="BF99" s="79" t="s">
        <v>121</v>
      </c>
      <c r="BG99" s="30" t="s">
        <v>119</v>
      </c>
      <c r="BH99" s="79" t="s">
        <v>125</v>
      </c>
      <c r="BI99" s="30" t="s">
        <v>111</v>
      </c>
      <c r="BJ99" s="79" t="s">
        <v>110</v>
      </c>
      <c r="BK99" s="30" t="s">
        <v>110</v>
      </c>
      <c r="BL99" s="30" t="s">
        <v>125</v>
      </c>
      <c r="BM99" s="30" t="s">
        <v>127</v>
      </c>
      <c r="BN99" s="18" t="s">
        <v>111</v>
      </c>
      <c r="BO99" s="30" t="s">
        <v>111</v>
      </c>
      <c r="BP99" s="30" t="s">
        <v>120</v>
      </c>
      <c r="BQ99" s="30" t="s">
        <v>115</v>
      </c>
      <c r="BR99" s="30" t="s">
        <v>115</v>
      </c>
      <c r="BS99" s="79" t="s">
        <v>115</v>
      </c>
      <c r="BT99" s="30" t="s">
        <v>111</v>
      </c>
      <c r="BU99" s="30" t="s">
        <v>119</v>
      </c>
      <c r="BV99" s="30" t="s">
        <v>119</v>
      </c>
      <c r="BW99" s="30" t="s">
        <v>123</v>
      </c>
      <c r="BX99" s="30" t="s">
        <v>124</v>
      </c>
      <c r="BY99" s="79" t="s">
        <v>111</v>
      </c>
      <c r="BZ99" s="30" t="s">
        <v>115</v>
      </c>
      <c r="CA99" s="30" t="s">
        <v>111</v>
      </c>
      <c r="CB99" s="30" t="s">
        <v>119</v>
      </c>
      <c r="CC99" s="30" t="s">
        <v>111</v>
      </c>
      <c r="CD99" s="30" t="s">
        <v>119</v>
      </c>
      <c r="CE99" s="30" t="s">
        <v>116</v>
      </c>
      <c r="CF99" s="30" t="s">
        <v>111</v>
      </c>
      <c r="CG99" s="30" t="s">
        <v>111</v>
      </c>
      <c r="CH99" s="79" t="s">
        <v>111</v>
      </c>
      <c r="CI99" s="30" t="s">
        <v>111</v>
      </c>
      <c r="CJ99" s="30" t="s">
        <v>110</v>
      </c>
      <c r="CK99" s="30" t="s">
        <v>125</v>
      </c>
      <c r="CL99" s="30" t="s">
        <v>111</v>
      </c>
      <c r="CM99" s="30" t="s">
        <v>111</v>
      </c>
      <c r="CN99" s="34" t="s">
        <v>442</v>
      </c>
      <c r="CO99" t="s">
        <v>786</v>
      </c>
      <c r="CP99">
        <f>IFERROR(VLOOKUP(H99,'Lista Lideres'!$A$1:$B$350,2,0),0)</f>
        <v>1</v>
      </c>
    </row>
    <row r="100" spans="1:94" ht="13.8" hidden="1" x14ac:dyDescent="0.3">
      <c r="A100" s="25">
        <v>45573.69190380787</v>
      </c>
      <c r="B100" s="30" t="s">
        <v>169</v>
      </c>
      <c r="C100" s="26" t="s">
        <v>782</v>
      </c>
      <c r="D100" s="26" t="s">
        <v>93</v>
      </c>
      <c r="E100" s="26" t="s">
        <v>443</v>
      </c>
      <c r="F100" s="26" t="s">
        <v>96</v>
      </c>
      <c r="G100" s="26" t="s">
        <v>444</v>
      </c>
      <c r="H100" s="26" t="s">
        <v>445</v>
      </c>
      <c r="I100" s="26" t="s">
        <v>190</v>
      </c>
      <c r="J100" s="26" t="s">
        <v>173</v>
      </c>
      <c r="K100" s="26" t="s">
        <v>191</v>
      </c>
      <c r="L100" s="80" t="s">
        <v>213</v>
      </c>
      <c r="M100" s="8" t="s">
        <v>104</v>
      </c>
      <c r="N100" s="80" t="s">
        <v>352</v>
      </c>
      <c r="O100" s="80" t="s">
        <v>282</v>
      </c>
      <c r="P100" s="80" t="s">
        <v>175</v>
      </c>
      <c r="Q100" s="111" t="s">
        <v>163</v>
      </c>
      <c r="R100" s="80" t="s">
        <v>184</v>
      </c>
      <c r="S100" s="26" t="s">
        <v>110</v>
      </c>
      <c r="T100" s="26" t="s">
        <v>110</v>
      </c>
      <c r="U100" s="26" t="s">
        <v>110</v>
      </c>
      <c r="V100" s="80" t="s">
        <v>112</v>
      </c>
      <c r="W100" s="80" t="s">
        <v>152</v>
      </c>
      <c r="X100" s="111" t="s">
        <v>114</v>
      </c>
      <c r="Y100" s="26" t="s">
        <v>115</v>
      </c>
      <c r="Z100" s="26" t="s">
        <v>168</v>
      </c>
      <c r="AA100" s="26" t="s">
        <v>111</v>
      </c>
      <c r="AB100" s="26" t="s">
        <v>111</v>
      </c>
      <c r="AC100" s="80" t="s">
        <v>111</v>
      </c>
      <c r="AD100" s="80" t="s">
        <v>117</v>
      </c>
      <c r="AE100" s="80" t="s">
        <v>167</v>
      </c>
      <c r="AF100" s="92" t="s">
        <v>110</v>
      </c>
      <c r="AG100" s="80" t="s">
        <v>119</v>
      </c>
      <c r="AH100" s="26" t="s">
        <v>110</v>
      </c>
      <c r="AI100" s="80" t="s">
        <v>154</v>
      </c>
      <c r="AJ100" s="80" t="s">
        <v>110</v>
      </c>
      <c r="AK100" s="80" t="s">
        <v>121</v>
      </c>
      <c r="AL100" s="26" t="s">
        <v>168</v>
      </c>
      <c r="AM100" s="26" t="s">
        <v>128</v>
      </c>
      <c r="AN100" s="26" t="s">
        <v>110</v>
      </c>
      <c r="AO100" s="80" t="s">
        <v>110</v>
      </c>
      <c r="AP100" s="26" t="s">
        <v>110</v>
      </c>
      <c r="AQ100" s="80" t="s">
        <v>124</v>
      </c>
      <c r="AR100" s="80" t="s">
        <v>119</v>
      </c>
      <c r="AS100" s="26" t="s">
        <v>110</v>
      </c>
      <c r="AT100" s="9" t="s">
        <v>110</v>
      </c>
      <c r="AU100" s="10" t="s">
        <v>110</v>
      </c>
      <c r="AV100" s="26" t="s">
        <v>119</v>
      </c>
      <c r="AW100" s="26" t="s">
        <v>119</v>
      </c>
      <c r="AX100" s="26" t="s">
        <v>110</v>
      </c>
      <c r="AY100" s="26" t="s">
        <v>111</v>
      </c>
      <c r="AZ100" s="80" t="s">
        <v>126</v>
      </c>
      <c r="BA100" s="80" t="s">
        <v>120</v>
      </c>
      <c r="BB100" s="80" t="s">
        <v>139</v>
      </c>
      <c r="BC100" s="80" t="s">
        <v>110</v>
      </c>
      <c r="BD100" s="92" t="s">
        <v>125</v>
      </c>
      <c r="BE100" s="80" t="s">
        <v>140</v>
      </c>
      <c r="BF100" s="80" t="s">
        <v>110</v>
      </c>
      <c r="BG100" s="26" t="s">
        <v>110</v>
      </c>
      <c r="BH100" s="80" t="s">
        <v>125</v>
      </c>
      <c r="BI100" s="26" t="s">
        <v>111</v>
      </c>
      <c r="BJ100" s="80" t="s">
        <v>110</v>
      </c>
      <c r="BK100" s="26" t="s">
        <v>168</v>
      </c>
      <c r="BL100" s="26" t="s">
        <v>126</v>
      </c>
      <c r="BM100" s="26" t="s">
        <v>110</v>
      </c>
      <c r="BN100" s="11" t="s">
        <v>111</v>
      </c>
      <c r="BO100" s="26" t="s">
        <v>111</v>
      </c>
      <c r="BP100" s="26" t="s">
        <v>120</v>
      </c>
      <c r="BQ100" s="26" t="s">
        <v>110</v>
      </c>
      <c r="BR100" s="26" t="s">
        <v>110</v>
      </c>
      <c r="BS100" s="80" t="s">
        <v>110</v>
      </c>
      <c r="BT100" s="26" t="s">
        <v>111</v>
      </c>
      <c r="BU100" s="26" t="s">
        <v>115</v>
      </c>
      <c r="BV100" s="26" t="s">
        <v>110</v>
      </c>
      <c r="BW100" s="26" t="s">
        <v>178</v>
      </c>
      <c r="BX100" s="26" t="s">
        <v>126</v>
      </c>
      <c r="BY100" s="80" t="s">
        <v>111</v>
      </c>
      <c r="BZ100" s="26" t="s">
        <v>111</v>
      </c>
      <c r="CA100" s="26" t="s">
        <v>110</v>
      </c>
      <c r="CB100" s="26" t="s">
        <v>111</v>
      </c>
      <c r="CC100" s="26" t="s">
        <v>110</v>
      </c>
      <c r="CD100" s="26" t="s">
        <v>110</v>
      </c>
      <c r="CE100" s="26" t="s">
        <v>110</v>
      </c>
      <c r="CF100" s="26" t="s">
        <v>115</v>
      </c>
      <c r="CG100" s="26" t="s">
        <v>110</v>
      </c>
      <c r="CH100" s="80" t="s">
        <v>110</v>
      </c>
      <c r="CI100" s="26" t="s">
        <v>115</v>
      </c>
      <c r="CJ100" s="26" t="s">
        <v>110</v>
      </c>
      <c r="CK100" s="26" t="s">
        <v>126</v>
      </c>
      <c r="CL100" s="26" t="s">
        <v>110</v>
      </c>
      <c r="CM100" s="26" t="s">
        <v>120</v>
      </c>
      <c r="CN100" s="27" t="s">
        <v>446</v>
      </c>
      <c r="CO100" t="s">
        <v>785</v>
      </c>
      <c r="CP100">
        <f>IFERROR(VLOOKUP(H100,'Lista Lideres'!$A$1:$B$350,2,0),0)</f>
        <v>0</v>
      </c>
    </row>
    <row r="101" spans="1:94" ht="13.8" hidden="1" x14ac:dyDescent="0.3">
      <c r="A101" s="29">
        <v>45572.975390949076</v>
      </c>
      <c r="B101" s="30" t="s">
        <v>169</v>
      </c>
      <c r="C101" s="30" t="s">
        <v>782</v>
      </c>
      <c r="D101" s="30" t="s">
        <v>93</v>
      </c>
      <c r="E101" s="30" t="s">
        <v>447</v>
      </c>
      <c r="F101" s="30" t="s">
        <v>97</v>
      </c>
      <c r="G101" s="30" t="s">
        <v>448</v>
      </c>
      <c r="H101" s="30" t="s">
        <v>449</v>
      </c>
      <c r="I101" s="30" t="s">
        <v>161</v>
      </c>
      <c r="J101" s="30" t="s">
        <v>183</v>
      </c>
      <c r="K101" s="30" t="s">
        <v>102</v>
      </c>
      <c r="L101" s="79" t="s">
        <v>135</v>
      </c>
      <c r="M101" s="8" t="s">
        <v>104</v>
      </c>
      <c r="N101" s="79" t="s">
        <v>352</v>
      </c>
      <c r="O101" s="79" t="s">
        <v>282</v>
      </c>
      <c r="P101" s="79" t="s">
        <v>175</v>
      </c>
      <c r="Q101" s="110" t="s">
        <v>163</v>
      </c>
      <c r="R101" s="30" t="s">
        <v>176</v>
      </c>
      <c r="S101" s="30" t="s">
        <v>110</v>
      </c>
      <c r="T101" s="30" t="s">
        <v>111</v>
      </c>
      <c r="U101" s="30" t="s">
        <v>110</v>
      </c>
      <c r="V101" s="79" t="s">
        <v>136</v>
      </c>
      <c r="W101" s="79" t="s">
        <v>152</v>
      </c>
      <c r="X101" s="110" t="s">
        <v>165</v>
      </c>
      <c r="Y101" s="30" t="s">
        <v>111</v>
      </c>
      <c r="Z101" s="30" t="s">
        <v>115</v>
      </c>
      <c r="AA101" s="30" t="s">
        <v>111</v>
      </c>
      <c r="AB101" s="30" t="s">
        <v>110</v>
      </c>
      <c r="AC101" s="79" t="s">
        <v>110</v>
      </c>
      <c r="AD101" s="79" t="s">
        <v>137</v>
      </c>
      <c r="AE101" s="79" t="s">
        <v>118</v>
      </c>
      <c r="AF101" s="91" t="s">
        <v>111</v>
      </c>
      <c r="AG101" s="79" t="s">
        <v>110</v>
      </c>
      <c r="AH101" s="30" t="s">
        <v>110</v>
      </c>
      <c r="AI101" s="79" t="s">
        <v>110</v>
      </c>
      <c r="AJ101" s="79" t="s">
        <v>110</v>
      </c>
      <c r="AK101" s="79" t="s">
        <v>110</v>
      </c>
      <c r="AL101" s="30" t="s">
        <v>110</v>
      </c>
      <c r="AM101" s="30" t="s">
        <v>110</v>
      </c>
      <c r="AN101" s="30" t="s">
        <v>110</v>
      </c>
      <c r="AO101" s="79" t="s">
        <v>110</v>
      </c>
      <c r="AP101" s="30" t="s">
        <v>128</v>
      </c>
      <c r="AQ101" s="79" t="s">
        <v>126</v>
      </c>
      <c r="AR101" s="79" t="s">
        <v>119</v>
      </c>
      <c r="AS101" s="30" t="s">
        <v>111</v>
      </c>
      <c r="AT101" s="16" t="s">
        <v>119</v>
      </c>
      <c r="AU101" s="17" t="s">
        <v>111</v>
      </c>
      <c r="AV101" s="30" t="s">
        <v>119</v>
      </c>
      <c r="AW101" s="30" t="s">
        <v>119</v>
      </c>
      <c r="AX101" s="30" t="s">
        <v>119</v>
      </c>
      <c r="AY101" s="30" t="s">
        <v>111</v>
      </c>
      <c r="AZ101" s="79" t="s">
        <v>126</v>
      </c>
      <c r="BA101" s="79" t="s">
        <v>110</v>
      </c>
      <c r="BB101" s="79" t="s">
        <v>126</v>
      </c>
      <c r="BC101" s="79" t="s">
        <v>111</v>
      </c>
      <c r="BD101" s="91" t="s">
        <v>126</v>
      </c>
      <c r="BE101" s="79" t="s">
        <v>126</v>
      </c>
      <c r="BF101" s="79" t="s">
        <v>110</v>
      </c>
      <c r="BG101" s="30" t="s">
        <v>110</v>
      </c>
      <c r="BH101" s="79" t="s">
        <v>126</v>
      </c>
      <c r="BI101" s="30" t="s">
        <v>111</v>
      </c>
      <c r="BJ101" s="79" t="s">
        <v>110</v>
      </c>
      <c r="BK101" s="30" t="s">
        <v>110</v>
      </c>
      <c r="BL101" s="30" t="s">
        <v>126</v>
      </c>
      <c r="BM101" s="30" t="s">
        <v>110</v>
      </c>
      <c r="BN101" s="18" t="s">
        <v>111</v>
      </c>
      <c r="BO101" s="30" t="s">
        <v>111</v>
      </c>
      <c r="BP101" s="30" t="s">
        <v>111</v>
      </c>
      <c r="BQ101" s="30" t="s">
        <v>111</v>
      </c>
      <c r="BR101" s="30" t="s">
        <v>111</v>
      </c>
      <c r="BS101" s="79" t="s">
        <v>111</v>
      </c>
      <c r="BT101" s="30" t="s">
        <v>111</v>
      </c>
      <c r="BU101" s="30" t="s">
        <v>111</v>
      </c>
      <c r="BV101" s="30" t="s">
        <v>110</v>
      </c>
      <c r="BW101" s="30" t="s">
        <v>110</v>
      </c>
      <c r="BX101" s="30" t="s">
        <v>126</v>
      </c>
      <c r="BY101" s="79" t="s">
        <v>111</v>
      </c>
      <c r="BZ101" s="30" t="s">
        <v>111</v>
      </c>
      <c r="CA101" s="30" t="s">
        <v>110</v>
      </c>
      <c r="CB101" s="30" t="s">
        <v>119</v>
      </c>
      <c r="CC101" s="30" t="s">
        <v>110</v>
      </c>
      <c r="CD101" s="30" t="s">
        <v>110</v>
      </c>
      <c r="CE101" s="30" t="s">
        <v>110</v>
      </c>
      <c r="CF101" s="30" t="s">
        <v>110</v>
      </c>
      <c r="CG101" s="30" t="s">
        <v>110</v>
      </c>
      <c r="CH101" s="79" t="s">
        <v>110</v>
      </c>
      <c r="CI101" s="30" t="s">
        <v>110</v>
      </c>
      <c r="CJ101" s="30" t="s">
        <v>110</v>
      </c>
      <c r="CK101" s="30" t="s">
        <v>126</v>
      </c>
      <c r="CL101" s="30" t="s">
        <v>110</v>
      </c>
      <c r="CM101" s="30" t="s">
        <v>111</v>
      </c>
      <c r="CN101" s="27" t="s">
        <v>450</v>
      </c>
      <c r="CO101" t="s">
        <v>785</v>
      </c>
      <c r="CP101">
        <f>IFERROR(VLOOKUP(H101,'Lista Lideres'!$A$1:$B$350,2,0),0)</f>
        <v>0</v>
      </c>
    </row>
    <row r="102" spans="1:94" ht="14.4" hidden="1" x14ac:dyDescent="0.3">
      <c r="A102" s="29">
        <v>45586.745180763886</v>
      </c>
      <c r="B102" s="30" t="s">
        <v>169</v>
      </c>
      <c r="C102" s="30" t="s">
        <v>782</v>
      </c>
      <c r="D102" s="30" t="s">
        <v>131</v>
      </c>
      <c r="E102" s="30" t="s">
        <v>443</v>
      </c>
      <c r="F102" s="30" t="s">
        <v>171</v>
      </c>
      <c r="G102" s="30" t="s">
        <v>451</v>
      </c>
      <c r="H102" s="30" t="s">
        <v>281</v>
      </c>
      <c r="I102" s="30" t="s">
        <v>100</v>
      </c>
      <c r="J102" s="30" t="s">
        <v>173</v>
      </c>
      <c r="K102" s="30" t="s">
        <v>191</v>
      </c>
      <c r="L102" s="79" t="s">
        <v>162</v>
      </c>
      <c r="M102" s="8" t="s">
        <v>104</v>
      </c>
      <c r="N102" s="79" t="s">
        <v>352</v>
      </c>
      <c r="O102" s="79" t="s">
        <v>282</v>
      </c>
      <c r="P102" s="79" t="s">
        <v>175</v>
      </c>
      <c r="Q102" s="110" t="s">
        <v>163</v>
      </c>
      <c r="R102" s="79" t="s">
        <v>184</v>
      </c>
      <c r="S102" s="30" t="s">
        <v>110</v>
      </c>
      <c r="T102" s="30" t="s">
        <v>119</v>
      </c>
      <c r="U102" s="30" t="s">
        <v>110</v>
      </c>
      <c r="V102" s="79" t="s">
        <v>112</v>
      </c>
      <c r="W102" s="79" t="s">
        <v>363</v>
      </c>
      <c r="X102" s="110" t="s">
        <v>235</v>
      </c>
      <c r="Y102" s="30" t="s">
        <v>206</v>
      </c>
      <c r="Z102" s="30" t="s">
        <v>119</v>
      </c>
      <c r="AA102" s="30" t="s">
        <v>119</v>
      </c>
      <c r="AB102" s="30" t="s">
        <v>111</v>
      </c>
      <c r="AC102" s="79" t="s">
        <v>111</v>
      </c>
      <c r="AD102" s="79" t="s">
        <v>166</v>
      </c>
      <c r="AE102" s="79" t="s">
        <v>185</v>
      </c>
      <c r="AF102" s="91" t="s">
        <v>119</v>
      </c>
      <c r="AG102" s="79" t="s">
        <v>110</v>
      </c>
      <c r="AH102" s="30" t="s">
        <v>177</v>
      </c>
      <c r="AI102" s="79" t="s">
        <v>110</v>
      </c>
      <c r="AJ102" s="79" t="s">
        <v>122</v>
      </c>
      <c r="AK102" s="79" t="s">
        <v>122</v>
      </c>
      <c r="AL102" s="30" t="s">
        <v>110</v>
      </c>
      <c r="AM102" s="30" t="s">
        <v>110</v>
      </c>
      <c r="AN102" s="30" t="s">
        <v>123</v>
      </c>
      <c r="AO102" s="79" t="s">
        <v>123</v>
      </c>
      <c r="AP102" s="30" t="s">
        <v>110</v>
      </c>
      <c r="AQ102" s="79" t="s">
        <v>126</v>
      </c>
      <c r="AR102" s="79" t="s">
        <v>111</v>
      </c>
      <c r="AS102" s="30" t="s">
        <v>111</v>
      </c>
      <c r="AT102" s="16" t="s">
        <v>111</v>
      </c>
      <c r="AU102" s="17" t="s">
        <v>110</v>
      </c>
      <c r="AV102" s="30" t="s">
        <v>111</v>
      </c>
      <c r="AW102" s="30" t="s">
        <v>111</v>
      </c>
      <c r="AX102" s="30" t="s">
        <v>110</v>
      </c>
      <c r="AY102" s="30" t="s">
        <v>111</v>
      </c>
      <c r="AZ102" s="79" t="s">
        <v>124</v>
      </c>
      <c r="BA102" s="79" t="s">
        <v>119</v>
      </c>
      <c r="BB102" s="79" t="s">
        <v>126</v>
      </c>
      <c r="BC102" s="79" t="s">
        <v>111</v>
      </c>
      <c r="BD102" s="91" t="s">
        <v>124</v>
      </c>
      <c r="BE102" s="79" t="s">
        <v>126</v>
      </c>
      <c r="BF102" s="79" t="s">
        <v>110</v>
      </c>
      <c r="BG102" s="30" t="s">
        <v>111</v>
      </c>
      <c r="BH102" s="79" t="s">
        <v>126</v>
      </c>
      <c r="BI102" s="30" t="s">
        <v>111</v>
      </c>
      <c r="BJ102" s="79" t="s">
        <v>111</v>
      </c>
      <c r="BK102" s="30" t="s">
        <v>122</v>
      </c>
      <c r="BL102" s="30" t="s">
        <v>124</v>
      </c>
      <c r="BM102" s="30" t="s">
        <v>209</v>
      </c>
      <c r="BN102" s="18" t="s">
        <v>110</v>
      </c>
      <c r="BO102" s="30" t="s">
        <v>111</v>
      </c>
      <c r="BP102" s="30" t="s">
        <v>111</v>
      </c>
      <c r="BQ102" s="30" t="s">
        <v>110</v>
      </c>
      <c r="BR102" s="30" t="s">
        <v>110</v>
      </c>
      <c r="BS102" s="79" t="s">
        <v>110</v>
      </c>
      <c r="BT102" s="30" t="s">
        <v>110</v>
      </c>
      <c r="BU102" s="30" t="s">
        <v>110</v>
      </c>
      <c r="BV102" s="30" t="s">
        <v>111</v>
      </c>
      <c r="BW102" s="30" t="s">
        <v>110</v>
      </c>
      <c r="BX102" s="30" t="s">
        <v>125</v>
      </c>
      <c r="BY102" s="79" t="s">
        <v>119</v>
      </c>
      <c r="BZ102" s="30" t="s">
        <v>119</v>
      </c>
      <c r="CA102" s="30" t="s">
        <v>110</v>
      </c>
      <c r="CB102" s="30" t="s">
        <v>110</v>
      </c>
      <c r="CC102" s="30" t="s">
        <v>111</v>
      </c>
      <c r="CD102" s="30" t="s">
        <v>110</v>
      </c>
      <c r="CE102" s="30" t="s">
        <v>110</v>
      </c>
      <c r="CF102" s="30" t="s">
        <v>110</v>
      </c>
      <c r="CG102" s="30" t="s">
        <v>119</v>
      </c>
      <c r="CH102" s="79" t="s">
        <v>119</v>
      </c>
      <c r="CI102" s="30" t="s">
        <v>111</v>
      </c>
      <c r="CJ102" s="30" t="s">
        <v>111</v>
      </c>
      <c r="CK102" s="30" t="s">
        <v>126</v>
      </c>
      <c r="CL102" s="30" t="s">
        <v>110</v>
      </c>
      <c r="CM102" s="30" t="s">
        <v>119</v>
      </c>
      <c r="CN102" s="28"/>
      <c r="CO102" t="s">
        <v>786</v>
      </c>
      <c r="CP102">
        <f>IFERROR(VLOOKUP(H102,'Lista Lideres'!$A$1:$B$350,2,0),0)</f>
        <v>1</v>
      </c>
    </row>
    <row r="103" spans="1:94" ht="13.8" hidden="1" x14ac:dyDescent="0.3">
      <c r="A103" s="25">
        <v>45573.714777685185</v>
      </c>
      <c r="B103" s="30" t="s">
        <v>169</v>
      </c>
      <c r="C103" s="26" t="s">
        <v>782</v>
      </c>
      <c r="D103" s="26" t="s">
        <v>93</v>
      </c>
      <c r="E103" s="26" t="s">
        <v>236</v>
      </c>
      <c r="F103" s="26" t="s">
        <v>96</v>
      </c>
      <c r="G103" s="26" t="s">
        <v>452</v>
      </c>
      <c r="H103" s="26" t="s">
        <v>270</v>
      </c>
      <c r="I103" s="26" t="s">
        <v>161</v>
      </c>
      <c r="J103" s="26" t="s">
        <v>101</v>
      </c>
      <c r="K103" s="26" t="s">
        <v>102</v>
      </c>
      <c r="L103" s="80" t="s">
        <v>135</v>
      </c>
      <c r="M103" s="8" t="s">
        <v>104</v>
      </c>
      <c r="N103" s="80" t="s">
        <v>352</v>
      </c>
      <c r="O103" s="80" t="s">
        <v>282</v>
      </c>
      <c r="P103" s="80" t="s">
        <v>264</v>
      </c>
      <c r="Q103" s="111" t="s">
        <v>163</v>
      </c>
      <c r="R103" s="26" t="s">
        <v>164</v>
      </c>
      <c r="S103" s="26" t="s">
        <v>129</v>
      </c>
      <c r="T103" s="26" t="s">
        <v>119</v>
      </c>
      <c r="U103" s="26" t="s">
        <v>111</v>
      </c>
      <c r="V103" s="80" t="s">
        <v>320</v>
      </c>
      <c r="W103" s="80" t="s">
        <v>113</v>
      </c>
      <c r="X103" s="111" t="s">
        <v>235</v>
      </c>
      <c r="Y103" s="26" t="s">
        <v>206</v>
      </c>
      <c r="Z103" s="26" t="s">
        <v>119</v>
      </c>
      <c r="AA103" s="26" t="s">
        <v>110</v>
      </c>
      <c r="AB103" s="26" t="s">
        <v>119</v>
      </c>
      <c r="AC103" s="80" t="s">
        <v>129</v>
      </c>
      <c r="AD103" s="80" t="s">
        <v>221</v>
      </c>
      <c r="AE103" s="80" t="s">
        <v>185</v>
      </c>
      <c r="AF103" s="92" t="s">
        <v>111</v>
      </c>
      <c r="AG103" s="80" t="s">
        <v>120</v>
      </c>
      <c r="AH103" s="26" t="s">
        <v>177</v>
      </c>
      <c r="AI103" s="80" t="s">
        <v>122</v>
      </c>
      <c r="AJ103" s="80" t="s">
        <v>128</v>
      </c>
      <c r="AK103" s="80" t="s">
        <v>122</v>
      </c>
      <c r="AL103" s="26" t="s">
        <v>122</v>
      </c>
      <c r="AM103" s="26" t="s">
        <v>123</v>
      </c>
      <c r="AN103" s="26" t="s">
        <v>177</v>
      </c>
      <c r="AO103" s="80" t="s">
        <v>123</v>
      </c>
      <c r="AP103" s="26" t="s">
        <v>123</v>
      </c>
      <c r="AQ103" s="80" t="s">
        <v>125</v>
      </c>
      <c r="AR103" s="80" t="s">
        <v>111</v>
      </c>
      <c r="AS103" s="26" t="s">
        <v>110</v>
      </c>
      <c r="AT103" s="9" t="s">
        <v>115</v>
      </c>
      <c r="AU103" s="10" t="s">
        <v>110</v>
      </c>
      <c r="AV103" s="26" t="s">
        <v>111</v>
      </c>
      <c r="AW103" s="26" t="s">
        <v>111</v>
      </c>
      <c r="AX103" s="26" t="s">
        <v>110</v>
      </c>
      <c r="AY103" s="26" t="s">
        <v>111</v>
      </c>
      <c r="AZ103" s="80" t="s">
        <v>124</v>
      </c>
      <c r="BA103" s="80" t="s">
        <v>111</v>
      </c>
      <c r="BB103" s="80" t="s">
        <v>124</v>
      </c>
      <c r="BC103" s="80" t="s">
        <v>111</v>
      </c>
      <c r="BD103" s="92" t="s">
        <v>124</v>
      </c>
      <c r="BE103" s="80" t="s">
        <v>126</v>
      </c>
      <c r="BF103" s="80" t="s">
        <v>110</v>
      </c>
      <c r="BG103" s="26" t="s">
        <v>110</v>
      </c>
      <c r="BH103" s="80" t="s">
        <v>124</v>
      </c>
      <c r="BI103" s="26" t="s">
        <v>119</v>
      </c>
      <c r="BJ103" s="80" t="s">
        <v>111</v>
      </c>
      <c r="BK103" s="26" t="s">
        <v>177</v>
      </c>
      <c r="BL103" s="26" t="s">
        <v>124</v>
      </c>
      <c r="BM103" s="26" t="s">
        <v>110</v>
      </c>
      <c r="BN103" s="11" t="s">
        <v>111</v>
      </c>
      <c r="BO103" s="26" t="s">
        <v>119</v>
      </c>
      <c r="BP103" s="26" t="s">
        <v>111</v>
      </c>
      <c r="BQ103" s="26" t="s">
        <v>111</v>
      </c>
      <c r="BR103" s="26" t="s">
        <v>110</v>
      </c>
      <c r="BS103" s="80" t="s">
        <v>111</v>
      </c>
      <c r="BT103" s="26" t="s">
        <v>110</v>
      </c>
      <c r="BU103" s="26" t="s">
        <v>110</v>
      </c>
      <c r="BV103" s="26" t="s">
        <v>119</v>
      </c>
      <c r="BW103" s="26" t="s">
        <v>110</v>
      </c>
      <c r="BX103" s="26" t="s">
        <v>124</v>
      </c>
      <c r="BY103" s="80" t="s">
        <v>110</v>
      </c>
      <c r="BZ103" s="26" t="s">
        <v>110</v>
      </c>
      <c r="CA103" s="26" t="s">
        <v>111</v>
      </c>
      <c r="CB103" s="26" t="s">
        <v>111</v>
      </c>
      <c r="CC103" s="26" t="s">
        <v>111</v>
      </c>
      <c r="CD103" s="26" t="s">
        <v>115</v>
      </c>
      <c r="CE103" s="26" t="s">
        <v>127</v>
      </c>
      <c r="CF103" s="26" t="s">
        <v>119</v>
      </c>
      <c r="CG103" s="26" t="s">
        <v>110</v>
      </c>
      <c r="CH103" s="80" t="s">
        <v>110</v>
      </c>
      <c r="CI103" s="26" t="s">
        <v>111</v>
      </c>
      <c r="CJ103" s="26" t="s">
        <v>111</v>
      </c>
      <c r="CK103" s="26" t="s">
        <v>124</v>
      </c>
      <c r="CL103" s="26" t="s">
        <v>110</v>
      </c>
      <c r="CM103" s="26" t="s">
        <v>119</v>
      </c>
      <c r="CN103" s="27" t="s">
        <v>453</v>
      </c>
      <c r="CO103" t="s">
        <v>785</v>
      </c>
      <c r="CP103">
        <f>IFERROR(VLOOKUP(H103,'Lista Lideres'!$A$1:$B$350,2,0),0)</f>
        <v>1</v>
      </c>
    </row>
    <row r="104" spans="1:94" ht="14.4" hidden="1" x14ac:dyDescent="0.3">
      <c r="A104" s="29">
        <v>45568.657797187501</v>
      </c>
      <c r="B104" s="30" t="s">
        <v>169</v>
      </c>
      <c r="C104" s="30" t="s">
        <v>782</v>
      </c>
      <c r="D104" s="30" t="s">
        <v>93</v>
      </c>
      <c r="E104" s="30" t="s">
        <v>187</v>
      </c>
      <c r="F104" s="30" t="s">
        <v>171</v>
      </c>
      <c r="G104" s="30" t="s">
        <v>454</v>
      </c>
      <c r="H104" s="30" t="s">
        <v>455</v>
      </c>
      <c r="I104" s="30" t="s">
        <v>100</v>
      </c>
      <c r="J104" s="30" t="s">
        <v>196</v>
      </c>
      <c r="K104" s="30" t="s">
        <v>191</v>
      </c>
      <c r="L104" s="79" t="s">
        <v>135</v>
      </c>
      <c r="M104" s="8" t="s">
        <v>104</v>
      </c>
      <c r="N104" s="79" t="s">
        <v>352</v>
      </c>
      <c r="O104" s="79" t="s">
        <v>282</v>
      </c>
      <c r="P104" s="79" t="s">
        <v>175</v>
      </c>
      <c r="Q104" s="110" t="s">
        <v>163</v>
      </c>
      <c r="R104" s="79" t="s">
        <v>184</v>
      </c>
      <c r="S104" s="30" t="s">
        <v>111</v>
      </c>
      <c r="T104" s="30" t="s">
        <v>110</v>
      </c>
      <c r="U104" s="30" t="s">
        <v>111</v>
      </c>
      <c r="V104" s="79" t="s">
        <v>320</v>
      </c>
      <c r="W104" s="79" t="s">
        <v>152</v>
      </c>
      <c r="X104" s="110" t="s">
        <v>114</v>
      </c>
      <c r="Y104" s="30" t="s">
        <v>111</v>
      </c>
      <c r="Z104" s="30" t="s">
        <v>111</v>
      </c>
      <c r="AA104" s="30" t="s">
        <v>110</v>
      </c>
      <c r="AB104" s="30" t="s">
        <v>119</v>
      </c>
      <c r="AC104" s="79" t="s">
        <v>116</v>
      </c>
      <c r="AD104" s="79" t="s">
        <v>117</v>
      </c>
      <c r="AE104" s="79" t="s">
        <v>118</v>
      </c>
      <c r="AF104" s="91" t="s">
        <v>111</v>
      </c>
      <c r="AG104" s="79" t="s">
        <v>111</v>
      </c>
      <c r="AH104" s="30" t="s">
        <v>177</v>
      </c>
      <c r="AI104" s="79" t="s">
        <v>121</v>
      </c>
      <c r="AJ104" s="79" t="s">
        <v>110</v>
      </c>
      <c r="AK104" s="79" t="s">
        <v>128</v>
      </c>
      <c r="AL104" s="30" t="s">
        <v>122</v>
      </c>
      <c r="AM104" s="30" t="s">
        <v>110</v>
      </c>
      <c r="AN104" s="30" t="s">
        <v>177</v>
      </c>
      <c r="AO104" s="79" t="s">
        <v>123</v>
      </c>
      <c r="AP104" s="30" t="s">
        <v>178</v>
      </c>
      <c r="AQ104" s="79" t="s">
        <v>125</v>
      </c>
      <c r="AR104" s="79" t="s">
        <v>111</v>
      </c>
      <c r="AS104" s="30" t="s">
        <v>110</v>
      </c>
      <c r="AT104" s="16" t="s">
        <v>111</v>
      </c>
      <c r="AU104" s="17" t="s">
        <v>115</v>
      </c>
      <c r="AV104" s="30" t="s">
        <v>110</v>
      </c>
      <c r="AW104" s="30" t="s">
        <v>119</v>
      </c>
      <c r="AX104" s="30" t="s">
        <v>111</v>
      </c>
      <c r="AY104" s="30" t="s">
        <v>119</v>
      </c>
      <c r="AZ104" s="79" t="s">
        <v>125</v>
      </c>
      <c r="BA104" s="79" t="s">
        <v>110</v>
      </c>
      <c r="BB104" s="79" t="s">
        <v>142</v>
      </c>
      <c r="BC104" s="79" t="s">
        <v>111</v>
      </c>
      <c r="BD104" s="91" t="s">
        <v>126</v>
      </c>
      <c r="BE104" s="79" t="s">
        <v>126</v>
      </c>
      <c r="BF104" s="79" t="s">
        <v>110</v>
      </c>
      <c r="BG104" s="30" t="s">
        <v>111</v>
      </c>
      <c r="BH104" s="79" t="s">
        <v>124</v>
      </c>
      <c r="BI104" s="30" t="s">
        <v>119</v>
      </c>
      <c r="BJ104" s="79" t="s">
        <v>119</v>
      </c>
      <c r="BK104" s="30" t="s">
        <v>122</v>
      </c>
      <c r="BL104" s="30" t="s">
        <v>124</v>
      </c>
      <c r="BM104" s="30" t="s">
        <v>127</v>
      </c>
      <c r="BN104" s="18" t="s">
        <v>111</v>
      </c>
      <c r="BO104" s="30" t="s">
        <v>111</v>
      </c>
      <c r="BP104" s="30" t="s">
        <v>119</v>
      </c>
      <c r="BQ104" s="30" t="s">
        <v>111</v>
      </c>
      <c r="BR104" s="30" t="s">
        <v>111</v>
      </c>
      <c r="BS104" s="79" t="s">
        <v>111</v>
      </c>
      <c r="BT104" s="30" t="s">
        <v>110</v>
      </c>
      <c r="BU104" s="30" t="s">
        <v>111</v>
      </c>
      <c r="BV104" s="30" t="s">
        <v>110</v>
      </c>
      <c r="BW104" s="30" t="s">
        <v>128</v>
      </c>
      <c r="BX104" s="30" t="s">
        <v>125</v>
      </c>
      <c r="BY104" s="79" t="s">
        <v>110</v>
      </c>
      <c r="BZ104" s="30" t="s">
        <v>119</v>
      </c>
      <c r="CA104" s="30" t="s">
        <v>111</v>
      </c>
      <c r="CB104" s="30" t="s">
        <v>110</v>
      </c>
      <c r="CC104" s="30" t="s">
        <v>119</v>
      </c>
      <c r="CD104" s="30" t="s">
        <v>111</v>
      </c>
      <c r="CE104" s="30" t="s">
        <v>110</v>
      </c>
      <c r="CF104" s="30" t="s">
        <v>111</v>
      </c>
      <c r="CG104" s="30" t="s">
        <v>110</v>
      </c>
      <c r="CH104" s="79" t="s">
        <v>111</v>
      </c>
      <c r="CI104" s="30" t="s">
        <v>111</v>
      </c>
      <c r="CJ104" s="30" t="s">
        <v>119</v>
      </c>
      <c r="CK104" s="30" t="s">
        <v>125</v>
      </c>
      <c r="CL104" s="30" t="s">
        <v>110</v>
      </c>
      <c r="CM104" s="30" t="s">
        <v>111</v>
      </c>
      <c r="CN104" s="28"/>
      <c r="CO104" t="s">
        <v>786</v>
      </c>
      <c r="CP104">
        <f>IFERROR(VLOOKUP(H104,'Lista Lideres'!$A$1:$B$350,2,0),0)</f>
        <v>0</v>
      </c>
    </row>
    <row r="105" spans="1:94" ht="13.8" hidden="1" x14ac:dyDescent="0.3">
      <c r="A105" s="25">
        <v>45579.071809618057</v>
      </c>
      <c r="B105" s="30" t="s">
        <v>169</v>
      </c>
      <c r="C105" s="26" t="s">
        <v>782</v>
      </c>
      <c r="D105" s="26" t="s">
        <v>93</v>
      </c>
      <c r="E105" s="26" t="s">
        <v>193</v>
      </c>
      <c r="F105" s="26" t="s">
        <v>171</v>
      </c>
      <c r="G105" s="26" t="s">
        <v>361</v>
      </c>
      <c r="H105" s="26" t="s">
        <v>386</v>
      </c>
      <c r="I105" s="26" t="s">
        <v>100</v>
      </c>
      <c r="J105" s="26" t="s">
        <v>196</v>
      </c>
      <c r="K105" s="26" t="s">
        <v>102</v>
      </c>
      <c r="L105" s="80" t="s">
        <v>103</v>
      </c>
      <c r="M105" s="8" t="s">
        <v>104</v>
      </c>
      <c r="N105" s="80" t="s">
        <v>352</v>
      </c>
      <c r="O105" s="80" t="s">
        <v>282</v>
      </c>
      <c r="P105" s="80" t="s">
        <v>107</v>
      </c>
      <c r="Q105" s="111" t="s">
        <v>163</v>
      </c>
      <c r="R105" s="80" t="s">
        <v>184</v>
      </c>
      <c r="S105" s="26" t="s">
        <v>119</v>
      </c>
      <c r="T105" s="26" t="s">
        <v>119</v>
      </c>
      <c r="U105" s="26" t="s">
        <v>110</v>
      </c>
      <c r="V105" s="80" t="s">
        <v>112</v>
      </c>
      <c r="W105" s="80" t="s">
        <v>113</v>
      </c>
      <c r="X105" s="111" t="s">
        <v>114</v>
      </c>
      <c r="Y105" s="26" t="s">
        <v>115</v>
      </c>
      <c r="Z105" s="26" t="s">
        <v>168</v>
      </c>
      <c r="AA105" s="26" t="s">
        <v>110</v>
      </c>
      <c r="AB105" s="26" t="s">
        <v>111</v>
      </c>
      <c r="AC105" s="80" t="s">
        <v>110</v>
      </c>
      <c r="AD105" s="80" t="s">
        <v>137</v>
      </c>
      <c r="AE105" s="80" t="s">
        <v>118</v>
      </c>
      <c r="AF105" s="92" t="s">
        <v>119</v>
      </c>
      <c r="AG105" s="80" t="s">
        <v>111</v>
      </c>
      <c r="AH105" s="26" t="s">
        <v>177</v>
      </c>
      <c r="AI105" s="80" t="s">
        <v>110</v>
      </c>
      <c r="AJ105" s="80" t="s">
        <v>110</v>
      </c>
      <c r="AK105" s="80" t="s">
        <v>110</v>
      </c>
      <c r="AL105" s="26" t="s">
        <v>177</v>
      </c>
      <c r="AM105" s="26" t="s">
        <v>110</v>
      </c>
      <c r="AN105" s="26" t="s">
        <v>123</v>
      </c>
      <c r="AO105" s="80" t="s">
        <v>123</v>
      </c>
      <c r="AP105" s="26" t="s">
        <v>110</v>
      </c>
      <c r="AQ105" s="80" t="s">
        <v>126</v>
      </c>
      <c r="AR105" s="80" t="s">
        <v>110</v>
      </c>
      <c r="AS105" s="26" t="s">
        <v>119</v>
      </c>
      <c r="AT105" s="9" t="s">
        <v>111</v>
      </c>
      <c r="AU105" s="10" t="s">
        <v>115</v>
      </c>
      <c r="AV105" s="26" t="s">
        <v>111</v>
      </c>
      <c r="AW105" s="26" t="s">
        <v>111</v>
      </c>
      <c r="AX105" s="26" t="s">
        <v>111</v>
      </c>
      <c r="AY105" s="26" t="s">
        <v>111</v>
      </c>
      <c r="AZ105" s="80" t="s">
        <v>126</v>
      </c>
      <c r="BA105" s="80" t="s">
        <v>110</v>
      </c>
      <c r="BB105" s="80" t="s">
        <v>126</v>
      </c>
      <c r="BC105" s="80" t="s">
        <v>110</v>
      </c>
      <c r="BD105" s="92" t="s">
        <v>126</v>
      </c>
      <c r="BE105" s="80" t="s">
        <v>126</v>
      </c>
      <c r="BF105" s="80" t="s">
        <v>110</v>
      </c>
      <c r="BG105" s="26" t="s">
        <v>119</v>
      </c>
      <c r="BH105" s="80" t="s">
        <v>125</v>
      </c>
      <c r="BI105" s="26" t="s">
        <v>119</v>
      </c>
      <c r="BJ105" s="80" t="s">
        <v>110</v>
      </c>
      <c r="BK105" s="26" t="s">
        <v>122</v>
      </c>
      <c r="BL105" s="26" t="s">
        <v>126</v>
      </c>
      <c r="BM105" s="26" t="s">
        <v>209</v>
      </c>
      <c r="BN105" s="11" t="s">
        <v>110</v>
      </c>
      <c r="BO105" s="26" t="s">
        <v>111</v>
      </c>
      <c r="BP105" s="26" t="s">
        <v>120</v>
      </c>
      <c r="BQ105" s="26" t="s">
        <v>110</v>
      </c>
      <c r="BR105" s="26" t="s">
        <v>110</v>
      </c>
      <c r="BS105" s="80" t="s">
        <v>111</v>
      </c>
      <c r="BT105" s="26" t="s">
        <v>111</v>
      </c>
      <c r="BU105" s="26" t="s">
        <v>110</v>
      </c>
      <c r="BV105" s="26" t="s">
        <v>111</v>
      </c>
      <c r="BW105" s="26" t="s">
        <v>110</v>
      </c>
      <c r="BX105" s="26" t="s">
        <v>125</v>
      </c>
      <c r="BY105" s="80" t="s">
        <v>110</v>
      </c>
      <c r="BZ105" s="26" t="s">
        <v>111</v>
      </c>
      <c r="CA105" s="26" t="s">
        <v>110</v>
      </c>
      <c r="CB105" s="26" t="s">
        <v>111</v>
      </c>
      <c r="CC105" s="26" t="s">
        <v>119</v>
      </c>
      <c r="CD105" s="26" t="s">
        <v>111</v>
      </c>
      <c r="CE105" s="26" t="s">
        <v>127</v>
      </c>
      <c r="CF105" s="26" t="s">
        <v>111</v>
      </c>
      <c r="CG105" s="26" t="s">
        <v>119</v>
      </c>
      <c r="CH105" s="80" t="s">
        <v>119</v>
      </c>
      <c r="CI105" s="26" t="s">
        <v>110</v>
      </c>
      <c r="CJ105" s="26" t="s">
        <v>110</v>
      </c>
      <c r="CK105" s="26" t="s">
        <v>124</v>
      </c>
      <c r="CL105" s="26" t="s">
        <v>119</v>
      </c>
      <c r="CM105" s="26" t="s">
        <v>111</v>
      </c>
      <c r="CN105" s="27" t="s">
        <v>456</v>
      </c>
      <c r="CO105" t="s">
        <v>786</v>
      </c>
      <c r="CP105">
        <f>IFERROR(VLOOKUP(H105,'Lista Lideres'!$A$1:$B$350,2,0),0)</f>
        <v>0</v>
      </c>
    </row>
    <row r="106" spans="1:94" ht="13.8" hidden="1" x14ac:dyDescent="0.3">
      <c r="A106" s="29">
        <v>45574.032093761576</v>
      </c>
      <c r="B106" s="30" t="s">
        <v>169</v>
      </c>
      <c r="C106" s="30" t="s">
        <v>782</v>
      </c>
      <c r="D106" s="30" t="s">
        <v>93</v>
      </c>
      <c r="E106" s="30" t="s">
        <v>236</v>
      </c>
      <c r="F106" s="30" t="s">
        <v>96</v>
      </c>
      <c r="G106" s="30" t="s">
        <v>457</v>
      </c>
      <c r="H106" s="30" t="s">
        <v>458</v>
      </c>
      <c r="I106" s="30" t="s">
        <v>100</v>
      </c>
      <c r="J106" s="30" t="s">
        <v>183</v>
      </c>
      <c r="K106" s="30" t="s">
        <v>174</v>
      </c>
      <c r="L106" s="79" t="s">
        <v>135</v>
      </c>
      <c r="M106" s="8" t="s">
        <v>104</v>
      </c>
      <c r="N106" s="79" t="s">
        <v>352</v>
      </c>
      <c r="O106" s="79" t="s">
        <v>282</v>
      </c>
      <c r="P106" s="79" t="s">
        <v>264</v>
      </c>
      <c r="Q106" s="110" t="s">
        <v>163</v>
      </c>
      <c r="R106" s="30" t="s">
        <v>164</v>
      </c>
      <c r="S106" s="30" t="s">
        <v>119</v>
      </c>
      <c r="T106" s="30" t="s">
        <v>119</v>
      </c>
      <c r="U106" s="30" t="s">
        <v>129</v>
      </c>
      <c r="V106" s="79" t="s">
        <v>126</v>
      </c>
      <c r="W106" s="79" t="s">
        <v>152</v>
      </c>
      <c r="X106" s="110" t="s">
        <v>235</v>
      </c>
      <c r="Y106" s="30" t="s">
        <v>110</v>
      </c>
      <c r="Z106" s="30" t="s">
        <v>119</v>
      </c>
      <c r="AA106" s="30" t="s">
        <v>119</v>
      </c>
      <c r="AB106" s="30" t="s">
        <v>110</v>
      </c>
      <c r="AC106" s="79" t="s">
        <v>110</v>
      </c>
      <c r="AD106" s="79" t="s">
        <v>166</v>
      </c>
      <c r="AE106" s="79" t="s">
        <v>118</v>
      </c>
      <c r="AF106" s="91" t="s">
        <v>119</v>
      </c>
      <c r="AG106" s="79" t="s">
        <v>120</v>
      </c>
      <c r="AH106" s="30" t="s">
        <v>177</v>
      </c>
      <c r="AI106" s="79" t="s">
        <v>110</v>
      </c>
      <c r="AJ106" s="79" t="s">
        <v>110</v>
      </c>
      <c r="AK106" s="79" t="s">
        <v>110</v>
      </c>
      <c r="AL106" s="30" t="s">
        <v>177</v>
      </c>
      <c r="AM106" s="30" t="s">
        <v>123</v>
      </c>
      <c r="AN106" s="30" t="s">
        <v>177</v>
      </c>
      <c r="AO106" s="79" t="s">
        <v>123</v>
      </c>
      <c r="AP106" s="30" t="s">
        <v>123</v>
      </c>
      <c r="AQ106" s="79" t="s">
        <v>124</v>
      </c>
      <c r="AR106" s="79" t="s">
        <v>111</v>
      </c>
      <c r="AS106" s="30" t="s">
        <v>110</v>
      </c>
      <c r="AT106" s="16" t="s">
        <v>111</v>
      </c>
      <c r="AU106" s="17" t="s">
        <v>110</v>
      </c>
      <c r="AV106" s="30" t="s">
        <v>111</v>
      </c>
      <c r="AW106" s="30" t="s">
        <v>111</v>
      </c>
      <c r="AX106" s="30" t="s">
        <v>110</v>
      </c>
      <c r="AY106" s="30" t="s">
        <v>110</v>
      </c>
      <c r="AZ106" s="79" t="s">
        <v>126</v>
      </c>
      <c r="BA106" s="79" t="s">
        <v>119</v>
      </c>
      <c r="BB106" s="79" t="s">
        <v>126</v>
      </c>
      <c r="BC106" s="79" t="s">
        <v>129</v>
      </c>
      <c r="BD106" s="91" t="s">
        <v>124</v>
      </c>
      <c r="BE106" s="79" t="s">
        <v>126</v>
      </c>
      <c r="BF106" s="79" t="s">
        <v>110</v>
      </c>
      <c r="BG106" s="30" t="s">
        <v>129</v>
      </c>
      <c r="BH106" s="79" t="s">
        <v>126</v>
      </c>
      <c r="BI106" s="30" t="s">
        <v>110</v>
      </c>
      <c r="BJ106" s="79" t="s">
        <v>120</v>
      </c>
      <c r="BK106" s="30" t="s">
        <v>177</v>
      </c>
      <c r="BL106" s="30" t="s">
        <v>126</v>
      </c>
      <c r="BM106" s="30" t="s">
        <v>110</v>
      </c>
      <c r="BN106" s="18" t="s">
        <v>119</v>
      </c>
      <c r="BO106" s="30" t="s">
        <v>119</v>
      </c>
      <c r="BP106" s="30" t="s">
        <v>110</v>
      </c>
      <c r="BQ106" s="30" t="s">
        <v>119</v>
      </c>
      <c r="BR106" s="30" t="s">
        <v>119</v>
      </c>
      <c r="BS106" s="79" t="s">
        <v>110</v>
      </c>
      <c r="BT106" s="30" t="s">
        <v>110</v>
      </c>
      <c r="BU106" s="30" t="s">
        <v>119</v>
      </c>
      <c r="BV106" s="30" t="s">
        <v>119</v>
      </c>
      <c r="BW106" s="30" t="s">
        <v>110</v>
      </c>
      <c r="BX106" s="30" t="s">
        <v>126</v>
      </c>
      <c r="BY106" s="79" t="s">
        <v>110</v>
      </c>
      <c r="BZ106" s="30" t="s">
        <v>119</v>
      </c>
      <c r="CA106" s="30" t="s">
        <v>119</v>
      </c>
      <c r="CB106" s="30" t="s">
        <v>111</v>
      </c>
      <c r="CC106" s="30" t="s">
        <v>119</v>
      </c>
      <c r="CD106" s="30" t="s">
        <v>110</v>
      </c>
      <c r="CE106" s="30" t="s">
        <v>209</v>
      </c>
      <c r="CF106" s="30" t="s">
        <v>129</v>
      </c>
      <c r="CG106" s="30" t="s">
        <v>129</v>
      </c>
      <c r="CH106" s="79" t="s">
        <v>129</v>
      </c>
      <c r="CI106" s="30" t="s">
        <v>119</v>
      </c>
      <c r="CJ106" s="30" t="s">
        <v>111</v>
      </c>
      <c r="CK106" s="30" t="s">
        <v>124</v>
      </c>
      <c r="CL106" s="30" t="s">
        <v>129</v>
      </c>
      <c r="CM106" s="30" t="s">
        <v>119</v>
      </c>
      <c r="CN106" s="34" t="s">
        <v>459</v>
      </c>
      <c r="CO106" t="s">
        <v>786</v>
      </c>
      <c r="CP106">
        <f>IFERROR(VLOOKUP(H106,'Lista Lideres'!$A$1:$B$350,2,0),0)</f>
        <v>1</v>
      </c>
    </row>
    <row r="107" spans="1:94" ht="13.8" hidden="1" x14ac:dyDescent="0.3">
      <c r="A107" s="25">
        <v>45574.252080729166</v>
      </c>
      <c r="B107" s="30" t="s">
        <v>169</v>
      </c>
      <c r="C107" s="26" t="s">
        <v>782</v>
      </c>
      <c r="D107" s="26" t="s">
        <v>93</v>
      </c>
      <c r="E107" s="26" t="s">
        <v>187</v>
      </c>
      <c r="F107" s="26" t="s">
        <v>171</v>
      </c>
      <c r="G107" s="26" t="s">
        <v>460</v>
      </c>
      <c r="H107" s="26" t="s">
        <v>461</v>
      </c>
      <c r="I107" s="26" t="s">
        <v>195</v>
      </c>
      <c r="J107" s="26" t="s">
        <v>196</v>
      </c>
      <c r="K107" s="26" t="s">
        <v>191</v>
      </c>
      <c r="L107" s="80" t="s">
        <v>150</v>
      </c>
      <c r="M107" s="8" t="s">
        <v>104</v>
      </c>
      <c r="N107" s="80" t="s">
        <v>352</v>
      </c>
      <c r="O107" s="80" t="s">
        <v>282</v>
      </c>
      <c r="P107" s="80" t="s">
        <v>175</v>
      </c>
      <c r="Q107" s="111" t="s">
        <v>163</v>
      </c>
      <c r="R107" s="26" t="s">
        <v>109</v>
      </c>
      <c r="S107" s="26" t="s">
        <v>119</v>
      </c>
      <c r="T107" s="26" t="s">
        <v>119</v>
      </c>
      <c r="U107" s="26" t="s">
        <v>119</v>
      </c>
      <c r="V107" s="80" t="s">
        <v>112</v>
      </c>
      <c r="W107" s="80" t="s">
        <v>152</v>
      </c>
      <c r="X107" s="111" t="s">
        <v>114</v>
      </c>
      <c r="Y107" s="26" t="s">
        <v>111</v>
      </c>
      <c r="Z107" s="26" t="s">
        <v>111</v>
      </c>
      <c r="AA107" s="26" t="s">
        <v>111</v>
      </c>
      <c r="AB107" s="26" t="s">
        <v>110</v>
      </c>
      <c r="AC107" s="80" t="s">
        <v>110</v>
      </c>
      <c r="AD107" s="80" t="s">
        <v>166</v>
      </c>
      <c r="AE107" s="80" t="s">
        <v>118</v>
      </c>
      <c r="AF107" s="92" t="s">
        <v>119</v>
      </c>
      <c r="AG107" s="80" t="s">
        <v>110</v>
      </c>
      <c r="AH107" s="26" t="s">
        <v>110</v>
      </c>
      <c r="AI107" s="80" t="s">
        <v>154</v>
      </c>
      <c r="AJ107" s="80" t="s">
        <v>197</v>
      </c>
      <c r="AK107" s="80" t="s">
        <v>225</v>
      </c>
      <c r="AL107" s="26" t="s">
        <v>168</v>
      </c>
      <c r="AM107" s="26" t="s">
        <v>110</v>
      </c>
      <c r="AN107" s="26" t="s">
        <v>123</v>
      </c>
      <c r="AO107" s="80" t="s">
        <v>123</v>
      </c>
      <c r="AP107" s="26" t="s">
        <v>110</v>
      </c>
      <c r="AQ107" s="80" t="s">
        <v>124</v>
      </c>
      <c r="AR107" s="80" t="s">
        <v>111</v>
      </c>
      <c r="AS107" s="26" t="s">
        <v>110</v>
      </c>
      <c r="AT107" s="9" t="s">
        <v>119</v>
      </c>
      <c r="AU107" s="10" t="s">
        <v>111</v>
      </c>
      <c r="AV107" s="26" t="s">
        <v>119</v>
      </c>
      <c r="AW107" s="26" t="s">
        <v>119</v>
      </c>
      <c r="AX107" s="26" t="s">
        <v>110</v>
      </c>
      <c r="AY107" s="26" t="s">
        <v>111</v>
      </c>
      <c r="AZ107" s="80" t="s">
        <v>124</v>
      </c>
      <c r="BA107" s="80" t="s">
        <v>119</v>
      </c>
      <c r="BB107" s="80" t="s">
        <v>139</v>
      </c>
      <c r="BC107" s="80" t="s">
        <v>111</v>
      </c>
      <c r="BD107" s="92" t="s">
        <v>168</v>
      </c>
      <c r="BE107" s="80" t="s">
        <v>140</v>
      </c>
      <c r="BF107" s="80" t="s">
        <v>141</v>
      </c>
      <c r="BG107" s="26" t="s">
        <v>110</v>
      </c>
      <c r="BH107" s="80" t="s">
        <v>124</v>
      </c>
      <c r="BI107" s="26" t="s">
        <v>111</v>
      </c>
      <c r="BJ107" s="80" t="s">
        <v>168</v>
      </c>
      <c r="BK107" s="26" t="s">
        <v>168</v>
      </c>
      <c r="BL107" s="26" t="s">
        <v>126</v>
      </c>
      <c r="BM107" s="26" t="s">
        <v>110</v>
      </c>
      <c r="BN107" s="11" t="s">
        <v>111</v>
      </c>
      <c r="BO107" s="26" t="s">
        <v>111</v>
      </c>
      <c r="BP107" s="26" t="s">
        <v>111</v>
      </c>
      <c r="BQ107" s="26" t="s">
        <v>111</v>
      </c>
      <c r="BR107" s="26" t="s">
        <v>111</v>
      </c>
      <c r="BS107" s="80" t="s">
        <v>111</v>
      </c>
      <c r="BT107" s="26" t="s">
        <v>111</v>
      </c>
      <c r="BU107" s="26" t="s">
        <v>119</v>
      </c>
      <c r="BV107" s="26" t="s">
        <v>110</v>
      </c>
      <c r="BW107" s="26" t="s">
        <v>110</v>
      </c>
      <c r="BX107" s="26" t="s">
        <v>125</v>
      </c>
      <c r="BY107" s="80" t="s">
        <v>110</v>
      </c>
      <c r="BZ107" s="26" t="s">
        <v>115</v>
      </c>
      <c r="CA107" s="26" t="s">
        <v>111</v>
      </c>
      <c r="CB107" s="26" t="s">
        <v>119</v>
      </c>
      <c r="CC107" s="26" t="s">
        <v>110</v>
      </c>
      <c r="CD107" s="26" t="s">
        <v>119</v>
      </c>
      <c r="CE107" s="26" t="s">
        <v>127</v>
      </c>
      <c r="CF107" s="26" t="s">
        <v>110</v>
      </c>
      <c r="CG107" s="26" t="s">
        <v>119</v>
      </c>
      <c r="CH107" s="80" t="s">
        <v>119</v>
      </c>
      <c r="CI107" s="26" t="s">
        <v>111</v>
      </c>
      <c r="CJ107" s="26" t="s">
        <v>119</v>
      </c>
      <c r="CK107" s="26" t="s">
        <v>126</v>
      </c>
      <c r="CL107" s="26" t="s">
        <v>119</v>
      </c>
      <c r="CM107" s="26" t="s">
        <v>111</v>
      </c>
      <c r="CN107" s="32" t="s">
        <v>462</v>
      </c>
      <c r="CO107" t="s">
        <v>786</v>
      </c>
      <c r="CP107">
        <f>IFERROR(VLOOKUP(H107,'Lista Lideres'!$A$1:$B$350,2,0),0)</f>
        <v>0</v>
      </c>
    </row>
    <row r="108" spans="1:94" ht="13.8" hidden="1" x14ac:dyDescent="0.3">
      <c r="A108" s="29">
        <v>45574.120635937499</v>
      </c>
      <c r="B108" s="30" t="s">
        <v>169</v>
      </c>
      <c r="C108" s="30" t="s">
        <v>782</v>
      </c>
      <c r="D108" s="30" t="s">
        <v>93</v>
      </c>
      <c r="E108" s="30" t="s">
        <v>463</v>
      </c>
      <c r="F108" s="30" t="s">
        <v>171</v>
      </c>
      <c r="G108" s="30" t="s">
        <v>464</v>
      </c>
      <c r="H108" s="30" t="s">
        <v>464</v>
      </c>
      <c r="I108" s="30" t="s">
        <v>190</v>
      </c>
      <c r="J108" s="30" t="s">
        <v>101</v>
      </c>
      <c r="K108" s="30" t="s">
        <v>191</v>
      </c>
      <c r="L108" s="79" t="s">
        <v>150</v>
      </c>
      <c r="M108" s="8" t="s">
        <v>104</v>
      </c>
      <c r="N108" s="79" t="s">
        <v>352</v>
      </c>
      <c r="O108" s="79" t="s">
        <v>282</v>
      </c>
      <c r="P108" s="79" t="s">
        <v>175</v>
      </c>
      <c r="Q108" s="110" t="s">
        <v>108</v>
      </c>
      <c r="R108" s="30" t="s">
        <v>109</v>
      </c>
      <c r="S108" s="30" t="s">
        <v>129</v>
      </c>
      <c r="T108" s="30" t="s">
        <v>119</v>
      </c>
      <c r="U108" s="30" t="s">
        <v>110</v>
      </c>
      <c r="V108" s="79" t="s">
        <v>126</v>
      </c>
      <c r="W108" s="79" t="s">
        <v>152</v>
      </c>
      <c r="X108" s="110" t="s">
        <v>235</v>
      </c>
      <c r="Y108" s="30" t="s">
        <v>110</v>
      </c>
      <c r="Z108" s="30" t="s">
        <v>119</v>
      </c>
      <c r="AA108" s="30" t="s">
        <v>119</v>
      </c>
      <c r="AB108" s="30" t="s">
        <v>111</v>
      </c>
      <c r="AC108" s="79" t="s">
        <v>116</v>
      </c>
      <c r="AD108" s="79" t="s">
        <v>137</v>
      </c>
      <c r="AE108" s="79" t="s">
        <v>185</v>
      </c>
      <c r="AF108" s="91" t="s">
        <v>119</v>
      </c>
      <c r="AG108" s="79" t="s">
        <v>111</v>
      </c>
      <c r="AH108" s="30" t="s">
        <v>177</v>
      </c>
      <c r="AI108" s="79" t="s">
        <v>110</v>
      </c>
      <c r="AJ108" s="79" t="s">
        <v>110</v>
      </c>
      <c r="AK108" s="79" t="s">
        <v>110</v>
      </c>
      <c r="AL108" s="30" t="s">
        <v>177</v>
      </c>
      <c r="AM108" s="30" t="s">
        <v>123</v>
      </c>
      <c r="AN108" s="30" t="s">
        <v>123</v>
      </c>
      <c r="AO108" s="79" t="s">
        <v>123</v>
      </c>
      <c r="AP108" s="30" t="s">
        <v>123</v>
      </c>
      <c r="AQ108" s="79" t="s">
        <v>125</v>
      </c>
      <c r="AR108" s="79" t="s">
        <v>110</v>
      </c>
      <c r="AS108" s="30" t="s">
        <v>119</v>
      </c>
      <c r="AT108" s="16" t="s">
        <v>110</v>
      </c>
      <c r="AU108" s="17" t="s">
        <v>110</v>
      </c>
      <c r="AV108" s="30" t="s">
        <v>110</v>
      </c>
      <c r="AW108" s="30" t="s">
        <v>111</v>
      </c>
      <c r="AX108" s="30" t="s">
        <v>110</v>
      </c>
      <c r="AY108" s="30" t="s">
        <v>111</v>
      </c>
      <c r="AZ108" s="79" t="s">
        <v>126</v>
      </c>
      <c r="BA108" s="79" t="s">
        <v>119</v>
      </c>
      <c r="BB108" s="79" t="s">
        <v>126</v>
      </c>
      <c r="BC108" s="79" t="s">
        <v>111</v>
      </c>
      <c r="BD108" s="91" t="s">
        <v>124</v>
      </c>
      <c r="BE108" s="79" t="s">
        <v>126</v>
      </c>
      <c r="BF108" s="79" t="s">
        <v>110</v>
      </c>
      <c r="BG108" s="30" t="s">
        <v>119</v>
      </c>
      <c r="BH108" s="79" t="s">
        <v>124</v>
      </c>
      <c r="BI108" s="30" t="s">
        <v>110</v>
      </c>
      <c r="BJ108" s="79" t="s">
        <v>129</v>
      </c>
      <c r="BK108" s="30" t="s">
        <v>122</v>
      </c>
      <c r="BL108" s="30" t="s">
        <v>126</v>
      </c>
      <c r="BM108" s="30" t="s">
        <v>110</v>
      </c>
      <c r="BN108" s="18" t="s">
        <v>110</v>
      </c>
      <c r="BO108" s="30" t="s">
        <v>111</v>
      </c>
      <c r="BP108" s="30" t="s">
        <v>120</v>
      </c>
      <c r="BQ108" s="30" t="s">
        <v>110</v>
      </c>
      <c r="BR108" s="30" t="s">
        <v>110</v>
      </c>
      <c r="BS108" s="79" t="s">
        <v>110</v>
      </c>
      <c r="BT108" s="30" t="s">
        <v>110</v>
      </c>
      <c r="BU108" s="30" t="s">
        <v>110</v>
      </c>
      <c r="BV108" s="30" t="s">
        <v>119</v>
      </c>
      <c r="BW108" s="30" t="s">
        <v>110</v>
      </c>
      <c r="BX108" s="30" t="s">
        <v>125</v>
      </c>
      <c r="BY108" s="79" t="s">
        <v>110</v>
      </c>
      <c r="BZ108" s="30" t="s">
        <v>119</v>
      </c>
      <c r="CA108" s="30" t="s">
        <v>110</v>
      </c>
      <c r="CB108" s="30" t="s">
        <v>110</v>
      </c>
      <c r="CC108" s="30" t="s">
        <v>119</v>
      </c>
      <c r="CD108" s="30" t="s">
        <v>110</v>
      </c>
      <c r="CE108" s="30" t="s">
        <v>209</v>
      </c>
      <c r="CF108" s="30" t="s">
        <v>111</v>
      </c>
      <c r="CG108" s="30" t="s">
        <v>119</v>
      </c>
      <c r="CH108" s="79" t="s">
        <v>119</v>
      </c>
      <c r="CI108" s="30" t="s">
        <v>110</v>
      </c>
      <c r="CJ108" s="30" t="s">
        <v>110</v>
      </c>
      <c r="CK108" s="30" t="s">
        <v>124</v>
      </c>
      <c r="CL108" s="30" t="s">
        <v>110</v>
      </c>
      <c r="CM108" s="30" t="s">
        <v>110</v>
      </c>
      <c r="CN108" s="27" t="s">
        <v>465</v>
      </c>
      <c r="CO108" t="s">
        <v>785</v>
      </c>
      <c r="CP108">
        <f>IFERROR(VLOOKUP(H108,'Lista Lideres'!$A$1:$B$350,2,0),0)</f>
        <v>0</v>
      </c>
    </row>
    <row r="109" spans="1:94" ht="14.4" hidden="1" x14ac:dyDescent="0.3">
      <c r="A109" s="25">
        <v>45564.334492511574</v>
      </c>
      <c r="B109" s="30" t="s">
        <v>169</v>
      </c>
      <c r="C109" s="26" t="s">
        <v>782</v>
      </c>
      <c r="D109" s="26" t="s">
        <v>93</v>
      </c>
      <c r="E109" s="26" t="s">
        <v>211</v>
      </c>
      <c r="F109" s="26" t="s">
        <v>96</v>
      </c>
      <c r="G109" s="26" t="s">
        <v>466</v>
      </c>
      <c r="H109" s="26" t="s">
        <v>467</v>
      </c>
      <c r="I109" s="26" t="s">
        <v>100</v>
      </c>
      <c r="J109" s="26" t="s">
        <v>101</v>
      </c>
      <c r="K109" s="26" t="s">
        <v>102</v>
      </c>
      <c r="L109" s="80" t="s">
        <v>103</v>
      </c>
      <c r="M109" s="8" t="s">
        <v>104</v>
      </c>
      <c r="N109" s="80" t="s">
        <v>352</v>
      </c>
      <c r="O109" s="80" t="s">
        <v>352</v>
      </c>
      <c r="P109" s="80" t="s">
        <v>107</v>
      </c>
      <c r="Q109" s="111" t="s">
        <v>163</v>
      </c>
      <c r="R109" s="26" t="s">
        <v>176</v>
      </c>
      <c r="S109" s="26" t="s">
        <v>110</v>
      </c>
      <c r="T109" s="26" t="s">
        <v>110</v>
      </c>
      <c r="U109" s="26" t="s">
        <v>110</v>
      </c>
      <c r="V109" s="80" t="s">
        <v>126</v>
      </c>
      <c r="W109" s="80" t="s">
        <v>113</v>
      </c>
      <c r="X109" s="111" t="s">
        <v>153</v>
      </c>
      <c r="Y109" s="26" t="s">
        <v>115</v>
      </c>
      <c r="Z109" s="26" t="s">
        <v>111</v>
      </c>
      <c r="AA109" s="26" t="s">
        <v>111</v>
      </c>
      <c r="AB109" s="26" t="s">
        <v>115</v>
      </c>
      <c r="AC109" s="80" t="s">
        <v>110</v>
      </c>
      <c r="AD109" s="80" t="s">
        <v>137</v>
      </c>
      <c r="AE109" s="80" t="s">
        <v>167</v>
      </c>
      <c r="AF109" s="92" t="s">
        <v>110</v>
      </c>
      <c r="AG109" s="80" t="s">
        <v>119</v>
      </c>
      <c r="AH109" s="26" t="s">
        <v>110</v>
      </c>
      <c r="AI109" s="80" t="s">
        <v>177</v>
      </c>
      <c r="AJ109" s="80" t="s">
        <v>121</v>
      </c>
      <c r="AK109" s="80" t="s">
        <v>121</v>
      </c>
      <c r="AL109" s="26" t="s">
        <v>110</v>
      </c>
      <c r="AM109" s="26" t="s">
        <v>110</v>
      </c>
      <c r="AN109" s="26" t="s">
        <v>110</v>
      </c>
      <c r="AO109" s="80" t="s">
        <v>110</v>
      </c>
      <c r="AP109" s="26" t="s">
        <v>121</v>
      </c>
      <c r="AQ109" s="80" t="s">
        <v>124</v>
      </c>
      <c r="AR109" s="80" t="s">
        <v>111</v>
      </c>
      <c r="AS109" s="26" t="s">
        <v>115</v>
      </c>
      <c r="AT109" s="9" t="s">
        <v>129</v>
      </c>
      <c r="AU109" s="10" t="s">
        <v>115</v>
      </c>
      <c r="AV109" s="26" t="s">
        <v>129</v>
      </c>
      <c r="AW109" s="26" t="s">
        <v>129</v>
      </c>
      <c r="AX109" s="26" t="s">
        <v>129</v>
      </c>
      <c r="AY109" s="26" t="s">
        <v>120</v>
      </c>
      <c r="AZ109" s="80" t="s">
        <v>126</v>
      </c>
      <c r="BA109" s="80" t="s">
        <v>120</v>
      </c>
      <c r="BB109" s="80" t="s">
        <v>142</v>
      </c>
      <c r="BC109" s="80" t="s">
        <v>120</v>
      </c>
      <c r="BD109" s="92" t="s">
        <v>142</v>
      </c>
      <c r="BE109" s="80" t="s">
        <v>142</v>
      </c>
      <c r="BF109" s="80" t="s">
        <v>121</v>
      </c>
      <c r="BG109" s="26" t="s">
        <v>120</v>
      </c>
      <c r="BH109" s="80" t="s">
        <v>125</v>
      </c>
      <c r="BI109" s="26" t="s">
        <v>120</v>
      </c>
      <c r="BJ109" s="80" t="s">
        <v>110</v>
      </c>
      <c r="BK109" s="26" t="s">
        <v>121</v>
      </c>
      <c r="BL109" s="26" t="s">
        <v>142</v>
      </c>
      <c r="BM109" s="26" t="s">
        <v>186</v>
      </c>
      <c r="BN109" s="11" t="s">
        <v>115</v>
      </c>
      <c r="BO109" s="26" t="s">
        <v>115</v>
      </c>
      <c r="BP109" s="26" t="s">
        <v>120</v>
      </c>
      <c r="BQ109" s="26" t="s">
        <v>115</v>
      </c>
      <c r="BR109" s="26" t="s">
        <v>115</v>
      </c>
      <c r="BS109" s="80" t="s">
        <v>115</v>
      </c>
      <c r="BT109" s="26" t="s">
        <v>115</v>
      </c>
      <c r="BU109" s="26" t="s">
        <v>119</v>
      </c>
      <c r="BV109" s="26" t="s">
        <v>119</v>
      </c>
      <c r="BW109" s="26" t="s">
        <v>178</v>
      </c>
      <c r="BX109" s="26" t="s">
        <v>203</v>
      </c>
      <c r="BY109" s="80" t="s">
        <v>111</v>
      </c>
      <c r="BZ109" s="26" t="s">
        <v>115</v>
      </c>
      <c r="CA109" s="26" t="s">
        <v>110</v>
      </c>
      <c r="CB109" s="26" t="s">
        <v>129</v>
      </c>
      <c r="CC109" s="26" t="s">
        <v>115</v>
      </c>
      <c r="CD109" s="26" t="s">
        <v>111</v>
      </c>
      <c r="CE109" s="26" t="s">
        <v>116</v>
      </c>
      <c r="CF109" s="26" t="s">
        <v>115</v>
      </c>
      <c r="CG109" s="26" t="s">
        <v>115</v>
      </c>
      <c r="CH109" s="80" t="s">
        <v>115</v>
      </c>
      <c r="CI109" s="26" t="s">
        <v>115</v>
      </c>
      <c r="CJ109" s="26" t="s">
        <v>129</v>
      </c>
      <c r="CK109" s="26" t="s">
        <v>142</v>
      </c>
      <c r="CL109" s="26" t="s">
        <v>115</v>
      </c>
      <c r="CM109" s="26" t="s">
        <v>120</v>
      </c>
      <c r="CN109" s="28"/>
      <c r="CO109" t="s">
        <v>786</v>
      </c>
      <c r="CP109">
        <f>IFERROR(VLOOKUP(H109,'Lista Lideres'!$A$1:$B$350,2,0),0)</f>
        <v>0</v>
      </c>
    </row>
    <row r="110" spans="1:94" ht="14.4" hidden="1" x14ac:dyDescent="0.3">
      <c r="A110" s="29">
        <v>45561.707998541664</v>
      </c>
      <c r="B110" s="30" t="s">
        <v>169</v>
      </c>
      <c r="C110" s="30" t="s">
        <v>782</v>
      </c>
      <c r="D110" s="30" t="s">
        <v>93</v>
      </c>
      <c r="E110" s="30" t="s">
        <v>365</v>
      </c>
      <c r="F110" s="30" t="s">
        <v>171</v>
      </c>
      <c r="G110" s="30" t="s">
        <v>468</v>
      </c>
      <c r="H110" s="30" t="s">
        <v>469</v>
      </c>
      <c r="I110" s="30" t="s">
        <v>100</v>
      </c>
      <c r="J110" s="30" t="s">
        <v>101</v>
      </c>
      <c r="K110" s="30" t="s">
        <v>102</v>
      </c>
      <c r="L110" s="79" t="s">
        <v>103</v>
      </c>
      <c r="M110" s="8" t="s">
        <v>104</v>
      </c>
      <c r="N110" s="79" t="s">
        <v>352</v>
      </c>
      <c r="O110" s="79" t="s">
        <v>282</v>
      </c>
      <c r="P110" s="79" t="s">
        <v>175</v>
      </c>
      <c r="Q110" s="110" t="s">
        <v>108</v>
      </c>
      <c r="R110" s="79" t="s">
        <v>184</v>
      </c>
      <c r="S110" s="30" t="s">
        <v>119</v>
      </c>
      <c r="T110" s="30" t="s">
        <v>119</v>
      </c>
      <c r="U110" s="30" t="s">
        <v>111</v>
      </c>
      <c r="V110" s="79" t="s">
        <v>126</v>
      </c>
      <c r="W110" s="79" t="s">
        <v>152</v>
      </c>
      <c r="X110" s="110" t="s">
        <v>165</v>
      </c>
      <c r="Y110" s="30" t="s">
        <v>111</v>
      </c>
      <c r="Z110" s="30" t="s">
        <v>119</v>
      </c>
      <c r="AA110" s="30" t="s">
        <v>110</v>
      </c>
      <c r="AB110" s="30" t="s">
        <v>110</v>
      </c>
      <c r="AC110" s="79" t="s">
        <v>116</v>
      </c>
      <c r="AD110" s="79" t="s">
        <v>137</v>
      </c>
      <c r="AE110" s="79" t="s">
        <v>118</v>
      </c>
      <c r="AF110" s="91" t="s">
        <v>119</v>
      </c>
      <c r="AG110" s="79" t="s">
        <v>110</v>
      </c>
      <c r="AH110" s="30" t="s">
        <v>128</v>
      </c>
      <c r="AI110" s="79" t="s">
        <v>110</v>
      </c>
      <c r="AJ110" s="79" t="s">
        <v>110</v>
      </c>
      <c r="AK110" s="79" t="s">
        <v>110</v>
      </c>
      <c r="AL110" s="30" t="s">
        <v>110</v>
      </c>
      <c r="AM110" s="30" t="s">
        <v>123</v>
      </c>
      <c r="AN110" s="30" t="s">
        <v>123</v>
      </c>
      <c r="AO110" s="79" t="s">
        <v>123</v>
      </c>
      <c r="AP110" s="30" t="s">
        <v>110</v>
      </c>
      <c r="AQ110" s="79" t="s">
        <v>126</v>
      </c>
      <c r="AR110" s="79" t="s">
        <v>111</v>
      </c>
      <c r="AS110" s="30" t="s">
        <v>110</v>
      </c>
      <c r="AT110" s="16" t="s">
        <v>119</v>
      </c>
      <c r="AU110" s="17" t="s">
        <v>110</v>
      </c>
      <c r="AV110" s="30" t="s">
        <v>119</v>
      </c>
      <c r="AW110" s="30" t="s">
        <v>110</v>
      </c>
      <c r="AX110" s="30" t="s">
        <v>119</v>
      </c>
      <c r="AY110" s="30" t="s">
        <v>120</v>
      </c>
      <c r="AZ110" s="79" t="s">
        <v>126</v>
      </c>
      <c r="BA110" s="79" t="s">
        <v>110</v>
      </c>
      <c r="BB110" s="79" t="s">
        <v>126</v>
      </c>
      <c r="BC110" s="79" t="s">
        <v>119</v>
      </c>
      <c r="BD110" s="91" t="s">
        <v>124</v>
      </c>
      <c r="BE110" s="79" t="s">
        <v>126</v>
      </c>
      <c r="BF110" s="79" t="s">
        <v>110</v>
      </c>
      <c r="BG110" s="30" t="s">
        <v>119</v>
      </c>
      <c r="BH110" s="79" t="s">
        <v>125</v>
      </c>
      <c r="BI110" s="30" t="s">
        <v>110</v>
      </c>
      <c r="BJ110" s="79" t="s">
        <v>119</v>
      </c>
      <c r="BK110" s="30" t="s">
        <v>110</v>
      </c>
      <c r="BL110" s="30" t="s">
        <v>126</v>
      </c>
      <c r="BM110" s="30" t="s">
        <v>209</v>
      </c>
      <c r="BN110" s="18" t="s">
        <v>110</v>
      </c>
      <c r="BO110" s="30" t="s">
        <v>111</v>
      </c>
      <c r="BP110" s="30" t="s">
        <v>120</v>
      </c>
      <c r="BQ110" s="30" t="s">
        <v>110</v>
      </c>
      <c r="BR110" s="30" t="s">
        <v>110</v>
      </c>
      <c r="BS110" s="79" t="s">
        <v>110</v>
      </c>
      <c r="BT110" s="30" t="s">
        <v>115</v>
      </c>
      <c r="BU110" s="30" t="s">
        <v>110</v>
      </c>
      <c r="BV110" s="30" t="s">
        <v>111</v>
      </c>
      <c r="BW110" s="30" t="s">
        <v>110</v>
      </c>
      <c r="BX110" s="30" t="s">
        <v>125</v>
      </c>
      <c r="BY110" s="79" t="s">
        <v>119</v>
      </c>
      <c r="BZ110" s="30" t="s">
        <v>111</v>
      </c>
      <c r="CA110" s="30" t="s">
        <v>110</v>
      </c>
      <c r="CB110" s="30" t="s">
        <v>110</v>
      </c>
      <c r="CC110" s="30" t="s">
        <v>119</v>
      </c>
      <c r="CD110" s="30" t="s">
        <v>110</v>
      </c>
      <c r="CE110" s="30" t="s">
        <v>110</v>
      </c>
      <c r="CF110" s="30" t="s">
        <v>111</v>
      </c>
      <c r="CG110" s="30" t="s">
        <v>119</v>
      </c>
      <c r="CH110" s="79" t="s">
        <v>119</v>
      </c>
      <c r="CI110" s="30" t="s">
        <v>111</v>
      </c>
      <c r="CJ110" s="30" t="s">
        <v>110</v>
      </c>
      <c r="CK110" s="30" t="s">
        <v>124</v>
      </c>
      <c r="CL110" s="30" t="s">
        <v>110</v>
      </c>
      <c r="CM110" s="30" t="s">
        <v>110</v>
      </c>
      <c r="CN110" s="31"/>
      <c r="CO110" t="s">
        <v>786</v>
      </c>
      <c r="CP110">
        <f>IFERROR(VLOOKUP(H110,'Lista Lideres'!$A$1:$B$350,2,0),0)</f>
        <v>1</v>
      </c>
    </row>
    <row r="111" spans="1:94" ht="14.4" hidden="1" x14ac:dyDescent="0.3">
      <c r="A111" s="35">
        <v>45581.431670474536</v>
      </c>
      <c r="B111" s="36" t="s">
        <v>252</v>
      </c>
      <c r="C111" s="37" t="s">
        <v>782</v>
      </c>
      <c r="D111" s="37" t="s">
        <v>131</v>
      </c>
      <c r="E111" s="37" t="s">
        <v>470</v>
      </c>
      <c r="F111" s="37" t="s">
        <v>417</v>
      </c>
      <c r="G111" s="37" t="s">
        <v>471</v>
      </c>
      <c r="H111" s="37" t="s">
        <v>471</v>
      </c>
      <c r="I111" s="37" t="s">
        <v>100</v>
      </c>
      <c r="J111" s="37" t="s">
        <v>173</v>
      </c>
      <c r="K111" s="37" t="s">
        <v>174</v>
      </c>
      <c r="L111" s="81" t="s">
        <v>150</v>
      </c>
      <c r="M111" s="8" t="s">
        <v>104</v>
      </c>
      <c r="N111" s="81" t="s">
        <v>352</v>
      </c>
      <c r="O111" s="81" t="s">
        <v>388</v>
      </c>
      <c r="P111" s="81" t="s">
        <v>264</v>
      </c>
      <c r="Q111" s="112" t="s">
        <v>108</v>
      </c>
      <c r="R111" s="37" t="s">
        <v>109</v>
      </c>
      <c r="S111" s="37" t="s">
        <v>110</v>
      </c>
      <c r="T111" s="37" t="s">
        <v>110</v>
      </c>
      <c r="U111" s="37" t="s">
        <v>110</v>
      </c>
      <c r="V111" s="81" t="s">
        <v>112</v>
      </c>
      <c r="W111" s="81" t="s">
        <v>113</v>
      </c>
      <c r="X111" s="112" t="s">
        <v>153</v>
      </c>
      <c r="Y111" s="37" t="s">
        <v>110</v>
      </c>
      <c r="Z111" s="37" t="s">
        <v>110</v>
      </c>
      <c r="AA111" s="37" t="s">
        <v>110</v>
      </c>
      <c r="AB111" s="37" t="s">
        <v>111</v>
      </c>
      <c r="AC111" s="81" t="s">
        <v>119</v>
      </c>
      <c r="AD111" s="81" t="s">
        <v>166</v>
      </c>
      <c r="AE111" s="81" t="s">
        <v>118</v>
      </c>
      <c r="AF111" s="93" t="s">
        <v>110</v>
      </c>
      <c r="AG111" s="81" t="s">
        <v>110</v>
      </c>
      <c r="AH111" s="37" t="s">
        <v>110</v>
      </c>
      <c r="AI111" s="81" t="s">
        <v>110</v>
      </c>
      <c r="AJ111" s="81" t="s">
        <v>110</v>
      </c>
      <c r="AK111" s="81" t="s">
        <v>110</v>
      </c>
      <c r="AL111" s="37" t="s">
        <v>110</v>
      </c>
      <c r="AM111" s="37" t="s">
        <v>110</v>
      </c>
      <c r="AN111" s="37" t="s">
        <v>110</v>
      </c>
      <c r="AO111" s="81" t="s">
        <v>110</v>
      </c>
      <c r="AP111" s="37" t="s">
        <v>110</v>
      </c>
      <c r="AQ111" s="81" t="s">
        <v>126</v>
      </c>
      <c r="AR111" s="81" t="s">
        <v>110</v>
      </c>
      <c r="AS111" s="37" t="s">
        <v>110</v>
      </c>
      <c r="AT111" s="9" t="s">
        <v>129</v>
      </c>
      <c r="AU111" s="10" t="s">
        <v>110</v>
      </c>
      <c r="AV111" s="37" t="s">
        <v>129</v>
      </c>
      <c r="AW111" s="37" t="s">
        <v>119</v>
      </c>
      <c r="AX111" s="37" t="s">
        <v>110</v>
      </c>
      <c r="AY111" s="37" t="s">
        <v>120</v>
      </c>
      <c r="AZ111" s="81" t="s">
        <v>126</v>
      </c>
      <c r="BA111" s="81" t="s">
        <v>110</v>
      </c>
      <c r="BB111" s="81" t="s">
        <v>126</v>
      </c>
      <c r="BC111" s="81" t="s">
        <v>110</v>
      </c>
      <c r="BD111" s="93" t="s">
        <v>126</v>
      </c>
      <c r="BE111" s="81" t="s">
        <v>126</v>
      </c>
      <c r="BF111" s="81" t="s">
        <v>110</v>
      </c>
      <c r="BG111" s="37" t="s">
        <v>110</v>
      </c>
      <c r="BH111" s="81" t="s">
        <v>125</v>
      </c>
      <c r="BI111" s="37" t="s">
        <v>111</v>
      </c>
      <c r="BJ111" s="81" t="s">
        <v>110</v>
      </c>
      <c r="BK111" s="37" t="s">
        <v>110</v>
      </c>
      <c r="BL111" s="37" t="s">
        <v>126</v>
      </c>
      <c r="BM111" s="37" t="s">
        <v>110</v>
      </c>
      <c r="BN111" s="11" t="s">
        <v>111</v>
      </c>
      <c r="BO111" s="37" t="s">
        <v>111</v>
      </c>
      <c r="BP111" s="37" t="s">
        <v>120</v>
      </c>
      <c r="BQ111" s="37" t="s">
        <v>110</v>
      </c>
      <c r="BR111" s="37" t="s">
        <v>110</v>
      </c>
      <c r="BS111" s="81" t="s">
        <v>110</v>
      </c>
      <c r="BT111" s="37" t="s">
        <v>111</v>
      </c>
      <c r="BU111" s="37" t="s">
        <v>110</v>
      </c>
      <c r="BV111" s="37" t="s">
        <v>110</v>
      </c>
      <c r="BW111" s="37" t="s">
        <v>110</v>
      </c>
      <c r="BX111" s="37" t="s">
        <v>126</v>
      </c>
      <c r="BY111" s="81" t="s">
        <v>110</v>
      </c>
      <c r="BZ111" s="37" t="s">
        <v>115</v>
      </c>
      <c r="CA111" s="37" t="s">
        <v>110</v>
      </c>
      <c r="CB111" s="37" t="s">
        <v>110</v>
      </c>
      <c r="CC111" s="37" t="s">
        <v>110</v>
      </c>
      <c r="CD111" s="37" t="s">
        <v>110</v>
      </c>
      <c r="CE111" s="37" t="s">
        <v>110</v>
      </c>
      <c r="CF111" s="37" t="s">
        <v>110</v>
      </c>
      <c r="CG111" s="37" t="s">
        <v>110</v>
      </c>
      <c r="CH111" s="81" t="s">
        <v>110</v>
      </c>
      <c r="CI111" s="37" t="s">
        <v>110</v>
      </c>
      <c r="CJ111" s="37" t="s">
        <v>110</v>
      </c>
      <c r="CK111" s="37" t="s">
        <v>126</v>
      </c>
      <c r="CL111" s="37" t="s">
        <v>110</v>
      </c>
      <c r="CM111" s="37" t="s">
        <v>110</v>
      </c>
      <c r="CN111" s="41"/>
      <c r="CO111" t="s">
        <v>786</v>
      </c>
      <c r="CP111">
        <f>IFERROR(VLOOKUP(H111,'Lista Lideres'!$A$1:$B$350,2,0),0)</f>
        <v>0</v>
      </c>
    </row>
    <row r="112" spans="1:94" ht="14.4" hidden="1" x14ac:dyDescent="0.3">
      <c r="A112" s="39">
        <v>45560.58528219907</v>
      </c>
      <c r="B112" s="36" t="s">
        <v>252</v>
      </c>
      <c r="C112" s="36" t="s">
        <v>782</v>
      </c>
      <c r="D112" s="36" t="s">
        <v>93</v>
      </c>
      <c r="E112" s="36" t="s">
        <v>132</v>
      </c>
      <c r="F112" s="36" t="s">
        <v>97</v>
      </c>
      <c r="G112" s="36" t="s">
        <v>472</v>
      </c>
      <c r="H112" s="36" t="s">
        <v>472</v>
      </c>
      <c r="I112" s="36" t="s">
        <v>100</v>
      </c>
      <c r="J112" s="36" t="s">
        <v>196</v>
      </c>
      <c r="K112" s="36" t="s">
        <v>102</v>
      </c>
      <c r="L112" s="82" t="s">
        <v>213</v>
      </c>
      <c r="M112" s="8" t="s">
        <v>104</v>
      </c>
      <c r="N112" s="82" t="s">
        <v>352</v>
      </c>
      <c r="O112" s="82" t="s">
        <v>282</v>
      </c>
      <c r="P112" s="82" t="s">
        <v>175</v>
      </c>
      <c r="Q112" s="113" t="s">
        <v>108</v>
      </c>
      <c r="R112" s="36" t="s">
        <v>164</v>
      </c>
      <c r="S112" s="36" t="s">
        <v>119</v>
      </c>
      <c r="T112" s="36" t="s">
        <v>119</v>
      </c>
      <c r="U112" s="36" t="s">
        <v>119</v>
      </c>
      <c r="V112" s="82" t="s">
        <v>126</v>
      </c>
      <c r="W112" s="82" t="s">
        <v>152</v>
      </c>
      <c r="X112" s="113" t="s">
        <v>114</v>
      </c>
      <c r="Y112" s="36" t="s">
        <v>110</v>
      </c>
      <c r="Z112" s="36" t="s">
        <v>119</v>
      </c>
      <c r="AA112" s="36" t="s">
        <v>119</v>
      </c>
      <c r="AB112" s="36" t="s">
        <v>119</v>
      </c>
      <c r="AC112" s="82" t="s">
        <v>110</v>
      </c>
      <c r="AD112" s="82" t="s">
        <v>117</v>
      </c>
      <c r="AE112" s="82" t="s">
        <v>118</v>
      </c>
      <c r="AF112" s="94" t="s">
        <v>110</v>
      </c>
      <c r="AG112" s="82" t="s">
        <v>119</v>
      </c>
      <c r="AH112" s="36" t="s">
        <v>110</v>
      </c>
      <c r="AI112" s="82" t="s">
        <v>110</v>
      </c>
      <c r="AJ112" s="82" t="s">
        <v>110</v>
      </c>
      <c r="AK112" s="82" t="s">
        <v>122</v>
      </c>
      <c r="AL112" s="36" t="s">
        <v>122</v>
      </c>
      <c r="AM112" s="36" t="s">
        <v>123</v>
      </c>
      <c r="AN112" s="36" t="s">
        <v>123</v>
      </c>
      <c r="AO112" s="82" t="s">
        <v>123</v>
      </c>
      <c r="AP112" s="36" t="s">
        <v>110</v>
      </c>
      <c r="AQ112" s="82" t="s">
        <v>126</v>
      </c>
      <c r="AR112" s="82" t="s">
        <v>110</v>
      </c>
      <c r="AS112" s="36" t="s">
        <v>110</v>
      </c>
      <c r="AT112" s="16" t="s">
        <v>119</v>
      </c>
      <c r="AU112" s="17" t="s">
        <v>110</v>
      </c>
      <c r="AV112" s="36" t="s">
        <v>110</v>
      </c>
      <c r="AW112" s="36" t="s">
        <v>110</v>
      </c>
      <c r="AX112" s="36" t="s">
        <v>110</v>
      </c>
      <c r="AY112" s="36" t="s">
        <v>110</v>
      </c>
      <c r="AZ112" s="82" t="s">
        <v>125</v>
      </c>
      <c r="BA112" s="82" t="s">
        <v>111</v>
      </c>
      <c r="BB112" s="82" t="s">
        <v>126</v>
      </c>
      <c r="BC112" s="82" t="s">
        <v>110</v>
      </c>
      <c r="BD112" s="94" t="s">
        <v>124</v>
      </c>
      <c r="BE112" s="82" t="s">
        <v>124</v>
      </c>
      <c r="BF112" s="82" t="s">
        <v>122</v>
      </c>
      <c r="BG112" s="36" t="s">
        <v>110</v>
      </c>
      <c r="BH112" s="82" t="s">
        <v>214</v>
      </c>
      <c r="BI112" s="36" t="s">
        <v>119</v>
      </c>
      <c r="BJ112" s="82" t="s">
        <v>110</v>
      </c>
      <c r="BK112" s="36" t="s">
        <v>110</v>
      </c>
      <c r="BL112" s="36" t="s">
        <v>126</v>
      </c>
      <c r="BM112" s="36" t="s">
        <v>110</v>
      </c>
      <c r="BN112" s="18" t="s">
        <v>110</v>
      </c>
      <c r="BO112" s="36" t="s">
        <v>119</v>
      </c>
      <c r="BP112" s="36" t="s">
        <v>111</v>
      </c>
      <c r="BQ112" s="36" t="s">
        <v>111</v>
      </c>
      <c r="BR112" s="36" t="s">
        <v>111</v>
      </c>
      <c r="BS112" s="82" t="s">
        <v>111</v>
      </c>
      <c r="BT112" s="36" t="s">
        <v>110</v>
      </c>
      <c r="BU112" s="36" t="s">
        <v>110</v>
      </c>
      <c r="BV112" s="36" t="s">
        <v>111</v>
      </c>
      <c r="BW112" s="36" t="s">
        <v>110</v>
      </c>
      <c r="BX112" s="36" t="s">
        <v>126</v>
      </c>
      <c r="BY112" s="82" t="s">
        <v>110</v>
      </c>
      <c r="BZ112" s="36" t="s">
        <v>111</v>
      </c>
      <c r="CA112" s="36" t="s">
        <v>110</v>
      </c>
      <c r="CB112" s="36" t="s">
        <v>110</v>
      </c>
      <c r="CC112" s="36" t="s">
        <v>110</v>
      </c>
      <c r="CD112" s="36" t="s">
        <v>111</v>
      </c>
      <c r="CE112" s="36" t="s">
        <v>110</v>
      </c>
      <c r="CF112" s="36" t="s">
        <v>110</v>
      </c>
      <c r="CG112" s="36" t="s">
        <v>119</v>
      </c>
      <c r="CH112" s="82" t="s">
        <v>119</v>
      </c>
      <c r="CI112" s="36" t="s">
        <v>111</v>
      </c>
      <c r="CJ112" s="36" t="s">
        <v>119</v>
      </c>
      <c r="CK112" s="36" t="s">
        <v>126</v>
      </c>
      <c r="CL112" s="36" t="s">
        <v>110</v>
      </c>
      <c r="CM112" s="36" t="s">
        <v>110</v>
      </c>
      <c r="CN112" s="41"/>
      <c r="CO112" t="s">
        <v>786</v>
      </c>
      <c r="CP112">
        <f>IFERROR(VLOOKUP(H112,'Lista Lideres'!$A$1:$B$350,2,0),0)</f>
        <v>0</v>
      </c>
    </row>
    <row r="113" spans="1:94" ht="14.4" hidden="1" x14ac:dyDescent="0.3">
      <c r="A113" s="35">
        <v>45567.492021180558</v>
      </c>
      <c r="B113" s="36" t="s">
        <v>252</v>
      </c>
      <c r="C113" s="37" t="s">
        <v>782</v>
      </c>
      <c r="D113" s="37" t="s">
        <v>131</v>
      </c>
      <c r="E113" s="37" t="s">
        <v>473</v>
      </c>
      <c r="F113" s="37" t="s">
        <v>96</v>
      </c>
      <c r="G113" s="37" t="s">
        <v>474</v>
      </c>
      <c r="H113" s="37" t="s">
        <v>474</v>
      </c>
      <c r="I113" s="37" t="s">
        <v>161</v>
      </c>
      <c r="J113" s="37" t="s">
        <v>196</v>
      </c>
      <c r="K113" s="37" t="s">
        <v>174</v>
      </c>
      <c r="L113" s="81" t="s">
        <v>150</v>
      </c>
      <c r="M113" s="8" t="s">
        <v>104</v>
      </c>
      <c r="N113" s="81" t="s">
        <v>352</v>
      </c>
      <c r="O113" s="81" t="s">
        <v>282</v>
      </c>
      <c r="P113" s="81" t="s">
        <v>175</v>
      </c>
      <c r="Q113" s="112" t="s">
        <v>108</v>
      </c>
      <c r="R113" s="37" t="s">
        <v>176</v>
      </c>
      <c r="S113" s="37" t="s">
        <v>110</v>
      </c>
      <c r="T113" s="37" t="s">
        <v>110</v>
      </c>
      <c r="U113" s="37" t="s">
        <v>110</v>
      </c>
      <c r="V113" s="81" t="s">
        <v>126</v>
      </c>
      <c r="W113" s="81" t="s">
        <v>152</v>
      </c>
      <c r="X113" s="112" t="s">
        <v>114</v>
      </c>
      <c r="Y113" s="37" t="s">
        <v>111</v>
      </c>
      <c r="Z113" s="37" t="s">
        <v>110</v>
      </c>
      <c r="AA113" s="37" t="s">
        <v>110</v>
      </c>
      <c r="AB113" s="37" t="s">
        <v>111</v>
      </c>
      <c r="AC113" s="81" t="s">
        <v>111</v>
      </c>
      <c r="AD113" s="81" t="s">
        <v>137</v>
      </c>
      <c r="AE113" s="81" t="s">
        <v>118</v>
      </c>
      <c r="AF113" s="93" t="s">
        <v>110</v>
      </c>
      <c r="AG113" s="81" t="s">
        <v>110</v>
      </c>
      <c r="AH113" s="37" t="s">
        <v>110</v>
      </c>
      <c r="AI113" s="81" t="s">
        <v>154</v>
      </c>
      <c r="AJ113" s="81" t="s">
        <v>197</v>
      </c>
      <c r="AK113" s="81" t="s">
        <v>110</v>
      </c>
      <c r="AL113" s="37" t="s">
        <v>110</v>
      </c>
      <c r="AM113" s="37" t="s">
        <v>110</v>
      </c>
      <c r="AN113" s="37" t="s">
        <v>123</v>
      </c>
      <c r="AO113" s="81" t="s">
        <v>123</v>
      </c>
      <c r="AP113" s="37" t="s">
        <v>110</v>
      </c>
      <c r="AQ113" s="81" t="s">
        <v>126</v>
      </c>
      <c r="AR113" s="81" t="s">
        <v>110</v>
      </c>
      <c r="AS113" s="37" t="s">
        <v>110</v>
      </c>
      <c r="AT113" s="9" t="s">
        <v>110</v>
      </c>
      <c r="AU113" s="10" t="s">
        <v>110</v>
      </c>
      <c r="AV113" s="37" t="s">
        <v>110</v>
      </c>
      <c r="AW113" s="37" t="s">
        <v>110</v>
      </c>
      <c r="AX113" s="37" t="s">
        <v>110</v>
      </c>
      <c r="AY113" s="37" t="s">
        <v>111</v>
      </c>
      <c r="AZ113" s="81" t="s">
        <v>126</v>
      </c>
      <c r="BA113" s="81" t="s">
        <v>111</v>
      </c>
      <c r="BB113" s="81" t="s">
        <v>139</v>
      </c>
      <c r="BC113" s="81" t="s">
        <v>110</v>
      </c>
      <c r="BD113" s="93" t="s">
        <v>126</v>
      </c>
      <c r="BE113" s="81" t="s">
        <v>140</v>
      </c>
      <c r="BF113" s="81" t="s">
        <v>141</v>
      </c>
      <c r="BG113" s="37" t="s">
        <v>110</v>
      </c>
      <c r="BH113" s="81" t="s">
        <v>126</v>
      </c>
      <c r="BI113" s="37" t="s">
        <v>110</v>
      </c>
      <c r="BJ113" s="81" t="s">
        <v>110</v>
      </c>
      <c r="BK113" s="37" t="s">
        <v>110</v>
      </c>
      <c r="BL113" s="37" t="s">
        <v>126</v>
      </c>
      <c r="BM113" s="37" t="s">
        <v>110</v>
      </c>
      <c r="BN113" s="11" t="s">
        <v>110</v>
      </c>
      <c r="BO113" s="37" t="s">
        <v>110</v>
      </c>
      <c r="BP113" s="37" t="s">
        <v>111</v>
      </c>
      <c r="BQ113" s="37" t="s">
        <v>110</v>
      </c>
      <c r="BR113" s="37" t="s">
        <v>110</v>
      </c>
      <c r="BS113" s="81" t="s">
        <v>110</v>
      </c>
      <c r="BT113" s="37" t="s">
        <v>111</v>
      </c>
      <c r="BU113" s="37" t="s">
        <v>110</v>
      </c>
      <c r="BV113" s="37" t="s">
        <v>110</v>
      </c>
      <c r="BW113" s="37" t="s">
        <v>110</v>
      </c>
      <c r="BX113" s="37" t="s">
        <v>126</v>
      </c>
      <c r="BY113" s="81" t="s">
        <v>110</v>
      </c>
      <c r="BZ113" s="37" t="s">
        <v>111</v>
      </c>
      <c r="CA113" s="37" t="s">
        <v>110</v>
      </c>
      <c r="CB113" s="37" t="s">
        <v>110</v>
      </c>
      <c r="CC113" s="37" t="s">
        <v>110</v>
      </c>
      <c r="CD113" s="37" t="s">
        <v>110</v>
      </c>
      <c r="CE113" s="37" t="s">
        <v>110</v>
      </c>
      <c r="CF113" s="37" t="s">
        <v>110</v>
      </c>
      <c r="CG113" s="37" t="s">
        <v>119</v>
      </c>
      <c r="CH113" s="81" t="s">
        <v>110</v>
      </c>
      <c r="CI113" s="37" t="s">
        <v>110</v>
      </c>
      <c r="CJ113" s="37" t="s">
        <v>110</v>
      </c>
      <c r="CK113" s="37" t="s">
        <v>126</v>
      </c>
      <c r="CL113" s="37" t="s">
        <v>119</v>
      </c>
      <c r="CM113" s="37" t="s">
        <v>110</v>
      </c>
      <c r="CN113" s="41"/>
      <c r="CO113" t="s">
        <v>785</v>
      </c>
      <c r="CP113">
        <f>IFERROR(VLOOKUP(H113,'Lista Lideres'!$A$1:$B$350,2,0),0)</f>
        <v>0</v>
      </c>
    </row>
    <row r="114" spans="1:94" ht="13.8" hidden="1" x14ac:dyDescent="0.3">
      <c r="A114" s="39">
        <v>45577.073428634263</v>
      </c>
      <c r="B114" s="36" t="s">
        <v>252</v>
      </c>
      <c r="C114" s="36" t="s">
        <v>782</v>
      </c>
      <c r="D114" s="36" t="s">
        <v>131</v>
      </c>
      <c r="E114" s="36" t="s">
        <v>475</v>
      </c>
      <c r="F114" s="36" t="s">
        <v>146</v>
      </c>
      <c r="G114" s="36" t="s">
        <v>476</v>
      </c>
      <c r="H114" s="36" t="s">
        <v>477</v>
      </c>
      <c r="I114" s="36" t="s">
        <v>100</v>
      </c>
      <c r="J114" s="36" t="s">
        <v>101</v>
      </c>
      <c r="K114" s="36" t="s">
        <v>102</v>
      </c>
      <c r="L114" s="82" t="s">
        <v>103</v>
      </c>
      <c r="M114" s="8" t="s">
        <v>104</v>
      </c>
      <c r="N114" s="82" t="s">
        <v>352</v>
      </c>
      <c r="O114" s="82" t="s">
        <v>352</v>
      </c>
      <c r="P114" s="82" t="s">
        <v>175</v>
      </c>
      <c r="Q114" s="113" t="s">
        <v>108</v>
      </c>
      <c r="R114" s="36" t="s">
        <v>109</v>
      </c>
      <c r="S114" s="36" t="s">
        <v>119</v>
      </c>
      <c r="T114" s="36" t="s">
        <v>119</v>
      </c>
      <c r="U114" s="36" t="s">
        <v>119</v>
      </c>
      <c r="V114" s="82" t="s">
        <v>112</v>
      </c>
      <c r="W114" s="82" t="s">
        <v>152</v>
      </c>
      <c r="X114" s="113" t="s">
        <v>235</v>
      </c>
      <c r="Y114" s="36" t="s">
        <v>111</v>
      </c>
      <c r="Z114" s="36" t="s">
        <v>111</v>
      </c>
      <c r="AA114" s="36" t="s">
        <v>111</v>
      </c>
      <c r="AB114" s="36" t="s">
        <v>111</v>
      </c>
      <c r="AC114" s="82" t="s">
        <v>116</v>
      </c>
      <c r="AD114" s="82" t="s">
        <v>137</v>
      </c>
      <c r="AE114" s="82" t="s">
        <v>118</v>
      </c>
      <c r="AF114" s="94" t="s">
        <v>111</v>
      </c>
      <c r="AG114" s="82" t="s">
        <v>111</v>
      </c>
      <c r="AH114" s="36" t="s">
        <v>128</v>
      </c>
      <c r="AI114" s="82" t="s">
        <v>110</v>
      </c>
      <c r="AJ114" s="82" t="s">
        <v>121</v>
      </c>
      <c r="AK114" s="82" t="s">
        <v>121</v>
      </c>
      <c r="AL114" s="36" t="s">
        <v>122</v>
      </c>
      <c r="AM114" s="36" t="s">
        <v>123</v>
      </c>
      <c r="AN114" s="36" t="s">
        <v>123</v>
      </c>
      <c r="AO114" s="82" t="s">
        <v>110</v>
      </c>
      <c r="AP114" s="36" t="s">
        <v>123</v>
      </c>
      <c r="AQ114" s="82" t="s">
        <v>124</v>
      </c>
      <c r="AR114" s="82" t="s">
        <v>111</v>
      </c>
      <c r="AS114" s="36" t="s">
        <v>110</v>
      </c>
      <c r="AT114" s="16" t="s">
        <v>119</v>
      </c>
      <c r="AU114" s="17" t="s">
        <v>110</v>
      </c>
      <c r="AV114" s="36" t="s">
        <v>110</v>
      </c>
      <c r="AW114" s="36" t="s">
        <v>111</v>
      </c>
      <c r="AX114" s="36" t="s">
        <v>110</v>
      </c>
      <c r="AY114" s="36" t="s">
        <v>120</v>
      </c>
      <c r="AZ114" s="82" t="s">
        <v>126</v>
      </c>
      <c r="BA114" s="82" t="s">
        <v>111</v>
      </c>
      <c r="BB114" s="82" t="s">
        <v>126</v>
      </c>
      <c r="BC114" s="82" t="s">
        <v>120</v>
      </c>
      <c r="BD114" s="94" t="s">
        <v>124</v>
      </c>
      <c r="BE114" s="82" t="s">
        <v>142</v>
      </c>
      <c r="BF114" s="82" t="s">
        <v>121</v>
      </c>
      <c r="BG114" s="36" t="s">
        <v>119</v>
      </c>
      <c r="BH114" s="82" t="s">
        <v>125</v>
      </c>
      <c r="BI114" s="36" t="s">
        <v>111</v>
      </c>
      <c r="BJ114" s="82" t="s">
        <v>111</v>
      </c>
      <c r="BK114" s="36" t="s">
        <v>122</v>
      </c>
      <c r="BL114" s="36" t="s">
        <v>125</v>
      </c>
      <c r="BM114" s="36" t="s">
        <v>127</v>
      </c>
      <c r="BN114" s="18" t="s">
        <v>119</v>
      </c>
      <c r="BO114" s="36" t="s">
        <v>111</v>
      </c>
      <c r="BP114" s="36" t="s">
        <v>111</v>
      </c>
      <c r="BQ114" s="36" t="s">
        <v>110</v>
      </c>
      <c r="BR114" s="36" t="s">
        <v>119</v>
      </c>
      <c r="BS114" s="82" t="s">
        <v>111</v>
      </c>
      <c r="BT114" s="36" t="s">
        <v>111</v>
      </c>
      <c r="BU114" s="36" t="s">
        <v>119</v>
      </c>
      <c r="BV114" s="36" t="s">
        <v>110</v>
      </c>
      <c r="BW114" s="36" t="s">
        <v>110</v>
      </c>
      <c r="BX114" s="36" t="s">
        <v>126</v>
      </c>
      <c r="BY114" s="82" t="s">
        <v>111</v>
      </c>
      <c r="BZ114" s="36" t="s">
        <v>111</v>
      </c>
      <c r="CA114" s="36" t="s">
        <v>129</v>
      </c>
      <c r="CB114" s="36" t="s">
        <v>119</v>
      </c>
      <c r="CC114" s="36" t="s">
        <v>119</v>
      </c>
      <c r="CD114" s="36" t="s">
        <v>110</v>
      </c>
      <c r="CE114" s="36" t="s">
        <v>209</v>
      </c>
      <c r="CF114" s="36" t="s">
        <v>119</v>
      </c>
      <c r="CG114" s="36" t="s">
        <v>129</v>
      </c>
      <c r="CH114" s="82" t="s">
        <v>129</v>
      </c>
      <c r="CI114" s="36" t="s">
        <v>111</v>
      </c>
      <c r="CJ114" s="36" t="s">
        <v>110</v>
      </c>
      <c r="CK114" s="36" t="s">
        <v>124</v>
      </c>
      <c r="CL114" s="36" t="s">
        <v>119</v>
      </c>
      <c r="CM114" s="36" t="s">
        <v>111</v>
      </c>
      <c r="CN114" s="40" t="s">
        <v>478</v>
      </c>
      <c r="CO114" t="s">
        <v>786</v>
      </c>
      <c r="CP114">
        <f>IFERROR(VLOOKUP(H114,'Lista Lideres'!$A$1:$B$350,2,0),0)</f>
        <v>1</v>
      </c>
    </row>
    <row r="115" spans="1:94" ht="13.8" hidden="1" x14ac:dyDescent="0.3">
      <c r="A115" s="35">
        <v>45560.543254236109</v>
      </c>
      <c r="B115" s="36" t="s">
        <v>252</v>
      </c>
      <c r="C115" s="37" t="s">
        <v>782</v>
      </c>
      <c r="D115" s="37" t="s">
        <v>93</v>
      </c>
      <c r="E115" s="37" t="s">
        <v>479</v>
      </c>
      <c r="F115" s="37" t="s">
        <v>96</v>
      </c>
      <c r="G115" s="37" t="s">
        <v>480</v>
      </c>
      <c r="H115" s="37" t="s">
        <v>481</v>
      </c>
      <c r="I115" s="37" t="s">
        <v>100</v>
      </c>
      <c r="J115" s="37" t="s">
        <v>101</v>
      </c>
      <c r="K115" s="37" t="s">
        <v>102</v>
      </c>
      <c r="L115" s="81" t="s">
        <v>103</v>
      </c>
      <c r="M115" s="8" t="s">
        <v>104</v>
      </c>
      <c r="N115" s="81" t="s">
        <v>352</v>
      </c>
      <c r="O115" s="81" t="s">
        <v>282</v>
      </c>
      <c r="P115" s="81" t="s">
        <v>175</v>
      </c>
      <c r="Q115" s="112" t="s">
        <v>108</v>
      </c>
      <c r="R115" s="37" t="s">
        <v>109</v>
      </c>
      <c r="S115" s="37" t="s">
        <v>119</v>
      </c>
      <c r="T115" s="37" t="s">
        <v>119</v>
      </c>
      <c r="U115" s="37" t="s">
        <v>110</v>
      </c>
      <c r="V115" s="81" t="s">
        <v>320</v>
      </c>
      <c r="W115" s="81" t="s">
        <v>152</v>
      </c>
      <c r="X115" s="112" t="s">
        <v>235</v>
      </c>
      <c r="Y115" s="37" t="s">
        <v>110</v>
      </c>
      <c r="Z115" s="37" t="s">
        <v>119</v>
      </c>
      <c r="AA115" s="37" t="s">
        <v>110</v>
      </c>
      <c r="AB115" s="37" t="s">
        <v>110</v>
      </c>
      <c r="AC115" s="81" t="s">
        <v>110</v>
      </c>
      <c r="AD115" s="81" t="s">
        <v>166</v>
      </c>
      <c r="AE115" s="81" t="s">
        <v>138</v>
      </c>
      <c r="AF115" s="93" t="s">
        <v>119</v>
      </c>
      <c r="AG115" s="81" t="s">
        <v>120</v>
      </c>
      <c r="AH115" s="37" t="s">
        <v>122</v>
      </c>
      <c r="AI115" s="81" t="s">
        <v>121</v>
      </c>
      <c r="AJ115" s="81" t="s">
        <v>110</v>
      </c>
      <c r="AK115" s="81" t="s">
        <v>110</v>
      </c>
      <c r="AL115" s="37" t="s">
        <v>122</v>
      </c>
      <c r="AM115" s="37" t="s">
        <v>123</v>
      </c>
      <c r="AN115" s="37" t="s">
        <v>123</v>
      </c>
      <c r="AO115" s="81" t="s">
        <v>123</v>
      </c>
      <c r="AP115" s="37" t="s">
        <v>123</v>
      </c>
      <c r="AQ115" s="81" t="s">
        <v>126</v>
      </c>
      <c r="AR115" s="81" t="s">
        <v>110</v>
      </c>
      <c r="AS115" s="37" t="s">
        <v>110</v>
      </c>
      <c r="AT115" s="9" t="s">
        <v>111</v>
      </c>
      <c r="AU115" s="10" t="s">
        <v>115</v>
      </c>
      <c r="AV115" s="37" t="s">
        <v>111</v>
      </c>
      <c r="AW115" s="37" t="s">
        <v>111</v>
      </c>
      <c r="AX115" s="37" t="s">
        <v>110</v>
      </c>
      <c r="AY115" s="37" t="s">
        <v>111</v>
      </c>
      <c r="AZ115" s="81" t="s">
        <v>126</v>
      </c>
      <c r="BA115" s="81" t="s">
        <v>111</v>
      </c>
      <c r="BB115" s="81" t="s">
        <v>139</v>
      </c>
      <c r="BC115" s="81" t="s">
        <v>111</v>
      </c>
      <c r="BD115" s="93" t="s">
        <v>124</v>
      </c>
      <c r="BE115" s="81" t="s">
        <v>125</v>
      </c>
      <c r="BF115" s="81" t="s">
        <v>110</v>
      </c>
      <c r="BG115" s="37" t="s">
        <v>119</v>
      </c>
      <c r="BH115" s="81" t="s">
        <v>126</v>
      </c>
      <c r="BI115" s="37" t="s">
        <v>119</v>
      </c>
      <c r="BJ115" s="81" t="s">
        <v>111</v>
      </c>
      <c r="BK115" s="37" t="s">
        <v>110</v>
      </c>
      <c r="BL115" s="37" t="s">
        <v>126</v>
      </c>
      <c r="BM115" s="37" t="s">
        <v>110</v>
      </c>
      <c r="BN115" s="11" t="s">
        <v>110</v>
      </c>
      <c r="BO115" s="37" t="s">
        <v>119</v>
      </c>
      <c r="BP115" s="37" t="s">
        <v>111</v>
      </c>
      <c r="BQ115" s="37" t="s">
        <v>110</v>
      </c>
      <c r="BR115" s="37" t="s">
        <v>110</v>
      </c>
      <c r="BS115" s="81" t="s">
        <v>110</v>
      </c>
      <c r="BT115" s="37" t="s">
        <v>119</v>
      </c>
      <c r="BU115" s="37" t="s">
        <v>110</v>
      </c>
      <c r="BV115" s="37" t="s">
        <v>111</v>
      </c>
      <c r="BW115" s="37" t="s">
        <v>128</v>
      </c>
      <c r="BX115" s="37" t="s">
        <v>125</v>
      </c>
      <c r="BY115" s="81" t="s">
        <v>110</v>
      </c>
      <c r="BZ115" s="37" t="s">
        <v>110</v>
      </c>
      <c r="CA115" s="37" t="s">
        <v>119</v>
      </c>
      <c r="CB115" s="37" t="s">
        <v>119</v>
      </c>
      <c r="CC115" s="37" t="s">
        <v>119</v>
      </c>
      <c r="CD115" s="37" t="s">
        <v>110</v>
      </c>
      <c r="CE115" s="37" t="s">
        <v>209</v>
      </c>
      <c r="CF115" s="37" t="s">
        <v>110</v>
      </c>
      <c r="CG115" s="37" t="s">
        <v>129</v>
      </c>
      <c r="CH115" s="81" t="s">
        <v>119</v>
      </c>
      <c r="CI115" s="37" t="s">
        <v>111</v>
      </c>
      <c r="CJ115" s="37" t="s">
        <v>110</v>
      </c>
      <c r="CK115" s="37" t="s">
        <v>124</v>
      </c>
      <c r="CL115" s="37" t="s">
        <v>129</v>
      </c>
      <c r="CM115" s="37" t="s">
        <v>110</v>
      </c>
      <c r="CN115" s="40" t="s">
        <v>482</v>
      </c>
      <c r="CO115" t="s">
        <v>786</v>
      </c>
      <c r="CP115">
        <f>IFERROR(VLOOKUP(H115,'Lista Lideres'!$A$1:$B$350,2,0),0)</f>
        <v>0</v>
      </c>
    </row>
    <row r="116" spans="1:94" ht="14.4" hidden="1" x14ac:dyDescent="0.3">
      <c r="A116" s="39">
        <v>45569.444181863422</v>
      </c>
      <c r="B116" s="36" t="s">
        <v>252</v>
      </c>
      <c r="C116" s="36" t="s">
        <v>782</v>
      </c>
      <c r="D116" s="36" t="s">
        <v>93</v>
      </c>
      <c r="E116" s="36" t="s">
        <v>483</v>
      </c>
      <c r="F116" s="36" t="s">
        <v>171</v>
      </c>
      <c r="G116" s="36" t="s">
        <v>484</v>
      </c>
      <c r="H116" s="36" t="s">
        <v>485</v>
      </c>
      <c r="I116" s="36" t="s">
        <v>161</v>
      </c>
      <c r="J116" s="36" t="s">
        <v>101</v>
      </c>
      <c r="K116" s="36" t="s">
        <v>174</v>
      </c>
      <c r="L116" s="82" t="s">
        <v>150</v>
      </c>
      <c r="M116" s="8" t="s">
        <v>104</v>
      </c>
      <c r="N116" s="82" t="s">
        <v>352</v>
      </c>
      <c r="O116" s="82" t="s">
        <v>282</v>
      </c>
      <c r="P116" s="82" t="s">
        <v>175</v>
      </c>
      <c r="Q116" s="113" t="s">
        <v>151</v>
      </c>
      <c r="R116" s="36" t="s">
        <v>164</v>
      </c>
      <c r="S116" s="36" t="s">
        <v>119</v>
      </c>
      <c r="T116" s="36" t="s">
        <v>119</v>
      </c>
      <c r="U116" s="36" t="s">
        <v>119</v>
      </c>
      <c r="V116" s="82" t="s">
        <v>112</v>
      </c>
      <c r="W116" s="82" t="s">
        <v>113</v>
      </c>
      <c r="X116" s="113" t="s">
        <v>165</v>
      </c>
      <c r="Y116" s="36" t="s">
        <v>110</v>
      </c>
      <c r="Z116" s="36" t="s">
        <v>119</v>
      </c>
      <c r="AA116" s="36" t="s">
        <v>119</v>
      </c>
      <c r="AB116" s="36" t="s">
        <v>110</v>
      </c>
      <c r="AC116" s="82" t="s">
        <v>110</v>
      </c>
      <c r="AD116" s="82" t="s">
        <v>166</v>
      </c>
      <c r="AE116" s="82" t="s">
        <v>138</v>
      </c>
      <c r="AF116" s="94" t="s">
        <v>119</v>
      </c>
      <c r="AG116" s="82" t="s">
        <v>111</v>
      </c>
      <c r="AH116" s="36" t="s">
        <v>122</v>
      </c>
      <c r="AI116" s="82" t="s">
        <v>154</v>
      </c>
      <c r="AJ116" s="82" t="s">
        <v>122</v>
      </c>
      <c r="AK116" s="82" t="s">
        <v>122</v>
      </c>
      <c r="AL116" s="36" t="s">
        <v>122</v>
      </c>
      <c r="AM116" s="36" t="s">
        <v>123</v>
      </c>
      <c r="AN116" s="36" t="s">
        <v>123</v>
      </c>
      <c r="AO116" s="82" t="s">
        <v>123</v>
      </c>
      <c r="AP116" s="36" t="s">
        <v>123</v>
      </c>
      <c r="AQ116" s="82" t="s">
        <v>125</v>
      </c>
      <c r="AR116" s="82" t="s">
        <v>119</v>
      </c>
      <c r="AS116" s="36" t="s">
        <v>111</v>
      </c>
      <c r="AT116" s="16" t="s">
        <v>119</v>
      </c>
      <c r="AU116" s="17" t="s">
        <v>111</v>
      </c>
      <c r="AV116" s="36" t="s">
        <v>119</v>
      </c>
      <c r="AW116" s="36" t="s">
        <v>119</v>
      </c>
      <c r="AX116" s="36" t="s">
        <v>119</v>
      </c>
      <c r="AY116" s="36" t="s">
        <v>120</v>
      </c>
      <c r="AZ116" s="82" t="s">
        <v>126</v>
      </c>
      <c r="BA116" s="82" t="s">
        <v>119</v>
      </c>
      <c r="BB116" s="82" t="s">
        <v>139</v>
      </c>
      <c r="BC116" s="82" t="s">
        <v>110</v>
      </c>
      <c r="BD116" s="94" t="s">
        <v>124</v>
      </c>
      <c r="BE116" s="82" t="s">
        <v>140</v>
      </c>
      <c r="BF116" s="82" t="s">
        <v>128</v>
      </c>
      <c r="BG116" s="36" t="s">
        <v>119</v>
      </c>
      <c r="BH116" s="82" t="s">
        <v>124</v>
      </c>
      <c r="BI116" s="36" t="s">
        <v>110</v>
      </c>
      <c r="BJ116" s="82" t="s">
        <v>111</v>
      </c>
      <c r="BK116" s="36" t="s">
        <v>110</v>
      </c>
      <c r="BL116" s="36" t="s">
        <v>126</v>
      </c>
      <c r="BM116" s="36" t="s">
        <v>110</v>
      </c>
      <c r="BN116" s="18" t="s">
        <v>110</v>
      </c>
      <c r="BO116" s="36" t="s">
        <v>110</v>
      </c>
      <c r="BP116" s="36" t="s">
        <v>120</v>
      </c>
      <c r="BQ116" s="36" t="s">
        <v>110</v>
      </c>
      <c r="BR116" s="36" t="s">
        <v>110</v>
      </c>
      <c r="BS116" s="82" t="s">
        <v>110</v>
      </c>
      <c r="BT116" s="36" t="s">
        <v>110</v>
      </c>
      <c r="BU116" s="36" t="s">
        <v>110</v>
      </c>
      <c r="BV116" s="36" t="s">
        <v>110</v>
      </c>
      <c r="BW116" s="36" t="s">
        <v>110</v>
      </c>
      <c r="BX116" s="36" t="s">
        <v>125</v>
      </c>
      <c r="BY116" s="82" t="s">
        <v>110</v>
      </c>
      <c r="BZ116" s="36" t="s">
        <v>115</v>
      </c>
      <c r="CA116" s="36" t="s">
        <v>119</v>
      </c>
      <c r="CB116" s="36" t="s">
        <v>110</v>
      </c>
      <c r="CC116" s="36" t="s">
        <v>119</v>
      </c>
      <c r="CD116" s="36" t="s">
        <v>110</v>
      </c>
      <c r="CE116" s="36" t="s">
        <v>209</v>
      </c>
      <c r="CF116" s="36" t="s">
        <v>110</v>
      </c>
      <c r="CG116" s="36" t="s">
        <v>119</v>
      </c>
      <c r="CH116" s="82" t="s">
        <v>119</v>
      </c>
      <c r="CI116" s="36" t="s">
        <v>111</v>
      </c>
      <c r="CJ116" s="36" t="s">
        <v>110</v>
      </c>
      <c r="CK116" s="36" t="s">
        <v>126</v>
      </c>
      <c r="CL116" s="36" t="s">
        <v>119</v>
      </c>
      <c r="CM116" s="36" t="s">
        <v>111</v>
      </c>
      <c r="CN116" s="45"/>
      <c r="CO116" t="s">
        <v>785</v>
      </c>
      <c r="CP116">
        <f>IFERROR(VLOOKUP(H116,'Lista Lideres'!$A$1:$B$350,2,0),0)</f>
        <v>1</v>
      </c>
    </row>
    <row r="117" spans="1:94" ht="14.4" hidden="1" x14ac:dyDescent="0.3">
      <c r="A117" s="35">
        <v>45572.77153972222</v>
      </c>
      <c r="B117" s="36" t="s">
        <v>252</v>
      </c>
      <c r="C117" s="37" t="s">
        <v>782</v>
      </c>
      <c r="D117" s="37" t="s">
        <v>93</v>
      </c>
      <c r="E117" s="37" t="s">
        <v>486</v>
      </c>
      <c r="F117" s="37" t="s">
        <v>97</v>
      </c>
      <c r="G117" s="37" t="s">
        <v>487</v>
      </c>
      <c r="H117" s="37" t="s">
        <v>488</v>
      </c>
      <c r="I117" s="37" t="s">
        <v>100</v>
      </c>
      <c r="J117" s="37" t="s">
        <v>101</v>
      </c>
      <c r="K117" s="37" t="s">
        <v>102</v>
      </c>
      <c r="L117" s="81" t="s">
        <v>135</v>
      </c>
      <c r="M117" s="8" t="s">
        <v>104</v>
      </c>
      <c r="N117" s="81" t="s">
        <v>352</v>
      </c>
      <c r="O117" s="81" t="s">
        <v>282</v>
      </c>
      <c r="P117" s="81" t="s">
        <v>175</v>
      </c>
      <c r="Q117" s="112" t="s">
        <v>108</v>
      </c>
      <c r="R117" s="37" t="s">
        <v>164</v>
      </c>
      <c r="S117" s="37" t="s">
        <v>110</v>
      </c>
      <c r="T117" s="37" t="s">
        <v>110</v>
      </c>
      <c r="U117" s="37" t="s">
        <v>119</v>
      </c>
      <c r="V117" s="81" t="s">
        <v>126</v>
      </c>
      <c r="W117" s="81" t="s">
        <v>152</v>
      </c>
      <c r="X117" s="112" t="s">
        <v>114</v>
      </c>
      <c r="Y117" s="37" t="s">
        <v>111</v>
      </c>
      <c r="Z117" s="37" t="s">
        <v>111</v>
      </c>
      <c r="AA117" s="37" t="s">
        <v>110</v>
      </c>
      <c r="AB117" s="37" t="s">
        <v>119</v>
      </c>
      <c r="AC117" s="81" t="s">
        <v>119</v>
      </c>
      <c r="AD117" s="81" t="s">
        <v>166</v>
      </c>
      <c r="AE117" s="81" t="s">
        <v>138</v>
      </c>
      <c r="AF117" s="93" t="s">
        <v>111</v>
      </c>
      <c r="AG117" s="81" t="s">
        <v>111</v>
      </c>
      <c r="AH117" s="37" t="s">
        <v>122</v>
      </c>
      <c r="AI117" s="81" t="s">
        <v>110</v>
      </c>
      <c r="AJ117" s="81" t="s">
        <v>122</v>
      </c>
      <c r="AK117" s="81" t="s">
        <v>122</v>
      </c>
      <c r="AL117" s="37" t="s">
        <v>122</v>
      </c>
      <c r="AM117" s="37" t="s">
        <v>123</v>
      </c>
      <c r="AN117" s="37" t="s">
        <v>177</v>
      </c>
      <c r="AO117" s="81" t="s">
        <v>123</v>
      </c>
      <c r="AP117" s="37" t="s">
        <v>123</v>
      </c>
      <c r="AQ117" s="81" t="s">
        <v>124</v>
      </c>
      <c r="AR117" s="81" t="s">
        <v>111</v>
      </c>
      <c r="AS117" s="37" t="s">
        <v>111</v>
      </c>
      <c r="AT117" s="9" t="s">
        <v>110</v>
      </c>
      <c r="AU117" s="10" t="s">
        <v>111</v>
      </c>
      <c r="AV117" s="37" t="s">
        <v>110</v>
      </c>
      <c r="AW117" s="37" t="s">
        <v>110</v>
      </c>
      <c r="AX117" s="37" t="s">
        <v>111</v>
      </c>
      <c r="AY117" s="37" t="s">
        <v>120</v>
      </c>
      <c r="AZ117" s="81" t="s">
        <v>124</v>
      </c>
      <c r="BA117" s="81" t="s">
        <v>111</v>
      </c>
      <c r="BB117" s="81" t="s">
        <v>126</v>
      </c>
      <c r="BC117" s="81" t="s">
        <v>111</v>
      </c>
      <c r="BD117" s="93" t="s">
        <v>124</v>
      </c>
      <c r="BE117" s="81" t="s">
        <v>126</v>
      </c>
      <c r="BF117" s="81" t="s">
        <v>110</v>
      </c>
      <c r="BG117" s="37" t="s">
        <v>119</v>
      </c>
      <c r="BH117" s="81" t="s">
        <v>124</v>
      </c>
      <c r="BI117" s="37" t="s">
        <v>120</v>
      </c>
      <c r="BJ117" s="81" t="s">
        <v>120</v>
      </c>
      <c r="BK117" s="37" t="s">
        <v>122</v>
      </c>
      <c r="BL117" s="37" t="s">
        <v>124</v>
      </c>
      <c r="BM117" s="37" t="s">
        <v>110</v>
      </c>
      <c r="BN117" s="11" t="s">
        <v>110</v>
      </c>
      <c r="BO117" s="37" t="s">
        <v>110</v>
      </c>
      <c r="BP117" s="37" t="s">
        <v>111</v>
      </c>
      <c r="BQ117" s="37" t="s">
        <v>111</v>
      </c>
      <c r="BR117" s="37" t="s">
        <v>111</v>
      </c>
      <c r="BS117" s="81" t="s">
        <v>111</v>
      </c>
      <c r="BT117" s="37" t="s">
        <v>111</v>
      </c>
      <c r="BU117" s="37" t="s">
        <v>111</v>
      </c>
      <c r="BV117" s="37" t="s">
        <v>110</v>
      </c>
      <c r="BW117" s="37" t="s">
        <v>110</v>
      </c>
      <c r="BX117" s="37" t="s">
        <v>124</v>
      </c>
      <c r="BY117" s="81" t="s">
        <v>110</v>
      </c>
      <c r="BZ117" s="37" t="s">
        <v>115</v>
      </c>
      <c r="CA117" s="37" t="s">
        <v>111</v>
      </c>
      <c r="CB117" s="37" t="s">
        <v>111</v>
      </c>
      <c r="CC117" s="37" t="s">
        <v>110</v>
      </c>
      <c r="CD117" s="37" t="s">
        <v>110</v>
      </c>
      <c r="CE117" s="37" t="s">
        <v>127</v>
      </c>
      <c r="CF117" s="37" t="s">
        <v>110</v>
      </c>
      <c r="CG117" s="37" t="s">
        <v>129</v>
      </c>
      <c r="CH117" s="81" t="s">
        <v>110</v>
      </c>
      <c r="CI117" s="37" t="s">
        <v>111</v>
      </c>
      <c r="CJ117" s="37" t="s">
        <v>119</v>
      </c>
      <c r="CK117" s="37" t="s">
        <v>126</v>
      </c>
      <c r="CL117" s="37" t="s">
        <v>110</v>
      </c>
      <c r="CM117" s="37" t="s">
        <v>110</v>
      </c>
      <c r="CN117" s="41"/>
      <c r="CO117" t="s">
        <v>786</v>
      </c>
      <c r="CP117">
        <f>IFERROR(VLOOKUP(H117,'Lista Lideres'!$A$1:$B$350,2,0),0)</f>
        <v>0</v>
      </c>
    </row>
    <row r="118" spans="1:94" ht="14.4" hidden="1" x14ac:dyDescent="0.3">
      <c r="A118" s="46">
        <v>45564.420254305558</v>
      </c>
      <c r="B118" s="47" t="s">
        <v>181</v>
      </c>
      <c r="C118" s="47" t="s">
        <v>782</v>
      </c>
      <c r="D118" s="47" t="s">
        <v>131</v>
      </c>
      <c r="E118" s="47" t="s">
        <v>489</v>
      </c>
      <c r="F118" s="47" t="s">
        <v>97</v>
      </c>
      <c r="G118" s="47" t="s">
        <v>490</v>
      </c>
      <c r="H118" s="47" t="s">
        <v>491</v>
      </c>
      <c r="I118" s="47" t="s">
        <v>100</v>
      </c>
      <c r="J118" s="47" t="s">
        <v>196</v>
      </c>
      <c r="K118" s="47" t="s">
        <v>102</v>
      </c>
      <c r="L118" s="83" t="s">
        <v>103</v>
      </c>
      <c r="M118" s="8" t="s">
        <v>104</v>
      </c>
      <c r="N118" s="83" t="s">
        <v>352</v>
      </c>
      <c r="O118" s="83" t="s">
        <v>282</v>
      </c>
      <c r="P118" s="83" t="s">
        <v>107</v>
      </c>
      <c r="Q118" s="114" t="s">
        <v>163</v>
      </c>
      <c r="R118" s="47" t="s">
        <v>109</v>
      </c>
      <c r="S118" s="47" t="s">
        <v>119</v>
      </c>
      <c r="T118" s="47" t="s">
        <v>119</v>
      </c>
      <c r="U118" s="47" t="s">
        <v>110</v>
      </c>
      <c r="V118" s="83" t="s">
        <v>112</v>
      </c>
      <c r="W118" s="83" t="s">
        <v>113</v>
      </c>
      <c r="X118" s="114" t="s">
        <v>153</v>
      </c>
      <c r="Y118" s="47" t="s">
        <v>110</v>
      </c>
      <c r="Z118" s="47" t="s">
        <v>110</v>
      </c>
      <c r="AA118" s="47" t="s">
        <v>111</v>
      </c>
      <c r="AB118" s="47" t="s">
        <v>119</v>
      </c>
      <c r="AC118" s="83" t="s">
        <v>110</v>
      </c>
      <c r="AD118" s="83" t="s">
        <v>166</v>
      </c>
      <c r="AE118" s="83" t="s">
        <v>138</v>
      </c>
      <c r="AF118" s="95" t="s">
        <v>119</v>
      </c>
      <c r="AG118" s="83" t="s">
        <v>129</v>
      </c>
      <c r="AH118" s="47" t="s">
        <v>110</v>
      </c>
      <c r="AI118" s="83" t="s">
        <v>128</v>
      </c>
      <c r="AJ118" s="83" t="s">
        <v>121</v>
      </c>
      <c r="AK118" s="83" t="s">
        <v>128</v>
      </c>
      <c r="AL118" s="47" t="s">
        <v>121</v>
      </c>
      <c r="AM118" s="47" t="s">
        <v>110</v>
      </c>
      <c r="AN118" s="47" t="s">
        <v>110</v>
      </c>
      <c r="AO118" s="83" t="s">
        <v>110</v>
      </c>
      <c r="AP118" s="47" t="s">
        <v>110</v>
      </c>
      <c r="AQ118" s="83" t="s">
        <v>126</v>
      </c>
      <c r="AR118" s="83" t="s">
        <v>111</v>
      </c>
      <c r="AS118" s="47" t="s">
        <v>115</v>
      </c>
      <c r="AT118" s="16" t="s">
        <v>129</v>
      </c>
      <c r="AU118" s="17" t="s">
        <v>110</v>
      </c>
      <c r="AV118" s="47" t="s">
        <v>129</v>
      </c>
      <c r="AW118" s="47" t="s">
        <v>119</v>
      </c>
      <c r="AX118" s="47" t="s">
        <v>110</v>
      </c>
      <c r="AY118" s="47" t="s">
        <v>120</v>
      </c>
      <c r="AZ118" s="83" t="s">
        <v>142</v>
      </c>
      <c r="BA118" s="83" t="s">
        <v>120</v>
      </c>
      <c r="BB118" s="83" t="s">
        <v>125</v>
      </c>
      <c r="BC118" s="83" t="s">
        <v>111</v>
      </c>
      <c r="BD118" s="95" t="s">
        <v>125</v>
      </c>
      <c r="BE118" s="83" t="s">
        <v>126</v>
      </c>
      <c r="BF118" s="83" t="s">
        <v>128</v>
      </c>
      <c r="BG118" s="47" t="s">
        <v>119</v>
      </c>
      <c r="BH118" s="83" t="s">
        <v>126</v>
      </c>
      <c r="BI118" s="47" t="s">
        <v>119</v>
      </c>
      <c r="BJ118" s="83" t="s">
        <v>111</v>
      </c>
      <c r="BK118" s="47" t="s">
        <v>168</v>
      </c>
      <c r="BL118" s="47" t="s">
        <v>125</v>
      </c>
      <c r="BM118" s="47" t="s">
        <v>110</v>
      </c>
      <c r="BN118" s="18" t="s">
        <v>111</v>
      </c>
      <c r="BO118" s="47" t="s">
        <v>110</v>
      </c>
      <c r="BP118" s="47" t="s">
        <v>120</v>
      </c>
      <c r="BQ118" s="47" t="s">
        <v>119</v>
      </c>
      <c r="BR118" s="47" t="s">
        <v>110</v>
      </c>
      <c r="BS118" s="83" t="s">
        <v>119</v>
      </c>
      <c r="BT118" s="47" t="s">
        <v>111</v>
      </c>
      <c r="BU118" s="47" t="s">
        <v>110</v>
      </c>
      <c r="BV118" s="47" t="s">
        <v>110</v>
      </c>
      <c r="BW118" s="47" t="s">
        <v>123</v>
      </c>
      <c r="BX118" s="47" t="s">
        <v>124</v>
      </c>
      <c r="BY118" s="83" t="s">
        <v>111</v>
      </c>
      <c r="BZ118" s="47" t="s">
        <v>115</v>
      </c>
      <c r="CA118" s="47" t="s">
        <v>110</v>
      </c>
      <c r="CB118" s="47" t="s">
        <v>119</v>
      </c>
      <c r="CC118" s="47" t="s">
        <v>110</v>
      </c>
      <c r="CD118" s="47" t="s">
        <v>111</v>
      </c>
      <c r="CE118" s="47" t="s">
        <v>127</v>
      </c>
      <c r="CF118" s="47" t="s">
        <v>110</v>
      </c>
      <c r="CG118" s="47" t="s">
        <v>119</v>
      </c>
      <c r="CH118" s="83" t="s">
        <v>110</v>
      </c>
      <c r="CI118" s="47" t="s">
        <v>111</v>
      </c>
      <c r="CJ118" s="47" t="s">
        <v>119</v>
      </c>
      <c r="CK118" s="47" t="s">
        <v>125</v>
      </c>
      <c r="CL118" s="47" t="s">
        <v>115</v>
      </c>
      <c r="CM118" s="47" t="s">
        <v>110</v>
      </c>
      <c r="CN118" s="51"/>
      <c r="CO118" t="s">
        <v>786</v>
      </c>
      <c r="CP118">
        <f>IFERROR(VLOOKUP(H118,'Lista Lideres'!$A$1:$B$350,2,0),0)</f>
        <v>0</v>
      </c>
    </row>
    <row r="119" spans="1:94" ht="14.4" hidden="1" x14ac:dyDescent="0.3">
      <c r="A119" s="52">
        <v>45569.969510509254</v>
      </c>
      <c r="B119" s="47" t="s">
        <v>181</v>
      </c>
      <c r="C119" s="53" t="s">
        <v>782</v>
      </c>
      <c r="D119" s="53" t="s">
        <v>93</v>
      </c>
      <c r="E119" s="53" t="s">
        <v>492</v>
      </c>
      <c r="F119" s="53" t="s">
        <v>97</v>
      </c>
      <c r="G119" s="53" t="s">
        <v>493</v>
      </c>
      <c r="H119" s="53" t="s">
        <v>494</v>
      </c>
      <c r="I119" s="53" t="s">
        <v>149</v>
      </c>
      <c r="J119" s="53" t="s">
        <v>101</v>
      </c>
      <c r="K119" s="53" t="s">
        <v>191</v>
      </c>
      <c r="L119" s="84" t="s">
        <v>213</v>
      </c>
      <c r="M119" s="8" t="s">
        <v>104</v>
      </c>
      <c r="N119" s="84" t="s">
        <v>352</v>
      </c>
      <c r="O119" s="84" t="s">
        <v>282</v>
      </c>
      <c r="P119" s="84" t="s">
        <v>175</v>
      </c>
      <c r="Q119" s="115" t="s">
        <v>163</v>
      </c>
      <c r="R119" s="53" t="s">
        <v>164</v>
      </c>
      <c r="S119" s="53" t="s">
        <v>110</v>
      </c>
      <c r="T119" s="53" t="s">
        <v>119</v>
      </c>
      <c r="U119" s="53" t="s">
        <v>119</v>
      </c>
      <c r="V119" s="84" t="s">
        <v>126</v>
      </c>
      <c r="W119" s="84" t="s">
        <v>152</v>
      </c>
      <c r="X119" s="115" t="s">
        <v>114</v>
      </c>
      <c r="Y119" s="53" t="s">
        <v>111</v>
      </c>
      <c r="Z119" s="53" t="s">
        <v>111</v>
      </c>
      <c r="AA119" s="53" t="s">
        <v>111</v>
      </c>
      <c r="AB119" s="53" t="s">
        <v>115</v>
      </c>
      <c r="AC119" s="84" t="s">
        <v>119</v>
      </c>
      <c r="AD119" s="84" t="s">
        <v>221</v>
      </c>
      <c r="AE119" s="84" t="s">
        <v>138</v>
      </c>
      <c r="AF119" s="96" t="s">
        <v>119</v>
      </c>
      <c r="AG119" s="84" t="s">
        <v>110</v>
      </c>
      <c r="AH119" s="53" t="s">
        <v>110</v>
      </c>
      <c r="AI119" s="84" t="s">
        <v>154</v>
      </c>
      <c r="AJ119" s="84" t="s">
        <v>177</v>
      </c>
      <c r="AK119" s="84" t="s">
        <v>225</v>
      </c>
      <c r="AL119" s="53" t="s">
        <v>177</v>
      </c>
      <c r="AM119" s="53" t="s">
        <v>177</v>
      </c>
      <c r="AN119" s="53" t="s">
        <v>177</v>
      </c>
      <c r="AO119" s="84" t="s">
        <v>178</v>
      </c>
      <c r="AP119" s="53" t="s">
        <v>178</v>
      </c>
      <c r="AQ119" s="84" t="s">
        <v>124</v>
      </c>
      <c r="AR119" s="84" t="s">
        <v>119</v>
      </c>
      <c r="AS119" s="53" t="s">
        <v>115</v>
      </c>
      <c r="AT119" s="9" t="s">
        <v>115</v>
      </c>
      <c r="AU119" s="10" t="s">
        <v>119</v>
      </c>
      <c r="AV119" s="53" t="s">
        <v>111</v>
      </c>
      <c r="AW119" s="53" t="s">
        <v>110</v>
      </c>
      <c r="AX119" s="53" t="s">
        <v>120</v>
      </c>
      <c r="AY119" s="53" t="s">
        <v>120</v>
      </c>
      <c r="AZ119" s="84" t="s">
        <v>126</v>
      </c>
      <c r="BA119" s="84" t="s">
        <v>110</v>
      </c>
      <c r="BB119" s="84" t="s">
        <v>139</v>
      </c>
      <c r="BC119" s="84" t="s">
        <v>110</v>
      </c>
      <c r="BD119" s="96" t="s">
        <v>124</v>
      </c>
      <c r="BE119" s="84" t="s">
        <v>140</v>
      </c>
      <c r="BF119" s="84" t="s">
        <v>177</v>
      </c>
      <c r="BG119" s="53" t="s">
        <v>111</v>
      </c>
      <c r="BH119" s="84" t="s">
        <v>125</v>
      </c>
      <c r="BI119" s="53" t="s">
        <v>110</v>
      </c>
      <c r="BJ119" s="84" t="s">
        <v>110</v>
      </c>
      <c r="BK119" s="53" t="s">
        <v>177</v>
      </c>
      <c r="BL119" s="53" t="s">
        <v>126</v>
      </c>
      <c r="BM119" s="53" t="s">
        <v>110</v>
      </c>
      <c r="BN119" s="11" t="s">
        <v>110</v>
      </c>
      <c r="BO119" s="53" t="s">
        <v>115</v>
      </c>
      <c r="BP119" s="53" t="s">
        <v>120</v>
      </c>
      <c r="BQ119" s="53" t="s">
        <v>110</v>
      </c>
      <c r="BR119" s="53" t="s">
        <v>110</v>
      </c>
      <c r="BS119" s="84" t="s">
        <v>110</v>
      </c>
      <c r="BT119" s="53" t="s">
        <v>115</v>
      </c>
      <c r="BU119" s="53" t="s">
        <v>115</v>
      </c>
      <c r="BV119" s="53" t="s">
        <v>110</v>
      </c>
      <c r="BW119" s="53" t="s">
        <v>110</v>
      </c>
      <c r="BX119" s="53" t="s">
        <v>126</v>
      </c>
      <c r="BY119" s="84" t="s">
        <v>110</v>
      </c>
      <c r="BZ119" s="53" t="s">
        <v>110</v>
      </c>
      <c r="CA119" s="53" t="s">
        <v>110</v>
      </c>
      <c r="CB119" s="53" t="s">
        <v>129</v>
      </c>
      <c r="CC119" s="53" t="s">
        <v>129</v>
      </c>
      <c r="CD119" s="53" t="s">
        <v>129</v>
      </c>
      <c r="CE119" s="53" t="s">
        <v>110</v>
      </c>
      <c r="CF119" s="53" t="s">
        <v>111</v>
      </c>
      <c r="CG119" s="53" t="s">
        <v>110</v>
      </c>
      <c r="CH119" s="84" t="s">
        <v>110</v>
      </c>
      <c r="CI119" s="53" t="s">
        <v>110</v>
      </c>
      <c r="CJ119" s="53" t="s">
        <v>110</v>
      </c>
      <c r="CK119" s="53" t="s">
        <v>126</v>
      </c>
      <c r="CL119" s="53" t="s">
        <v>110</v>
      </c>
      <c r="CM119" s="53" t="s">
        <v>110</v>
      </c>
      <c r="CN119" s="56"/>
      <c r="CO119" t="s">
        <v>785</v>
      </c>
      <c r="CP119">
        <f>IFERROR(VLOOKUP(H119,'Lista Lideres'!$A$1:$B$350,2,0),0)</f>
        <v>0</v>
      </c>
    </row>
    <row r="120" spans="1:94" ht="13.8" hidden="1" x14ac:dyDescent="0.3">
      <c r="A120" s="46">
        <v>45563.903644537037</v>
      </c>
      <c r="B120" s="47" t="s">
        <v>181</v>
      </c>
      <c r="C120" s="47" t="s">
        <v>782</v>
      </c>
      <c r="D120" s="47" t="s">
        <v>93</v>
      </c>
      <c r="E120" s="47" t="s">
        <v>304</v>
      </c>
      <c r="F120" s="47" t="s">
        <v>97</v>
      </c>
      <c r="G120" s="47" t="s">
        <v>495</v>
      </c>
      <c r="H120" s="47" t="s">
        <v>496</v>
      </c>
      <c r="I120" s="47" t="s">
        <v>100</v>
      </c>
      <c r="J120" s="47" t="s">
        <v>196</v>
      </c>
      <c r="K120" s="47" t="s">
        <v>102</v>
      </c>
      <c r="L120" s="83" t="s">
        <v>103</v>
      </c>
      <c r="M120" s="8" t="s">
        <v>104</v>
      </c>
      <c r="N120" s="83" t="s">
        <v>352</v>
      </c>
      <c r="O120" s="83" t="s">
        <v>282</v>
      </c>
      <c r="P120" s="83" t="s">
        <v>175</v>
      </c>
      <c r="Q120" s="114" t="s">
        <v>163</v>
      </c>
      <c r="R120" s="47" t="s">
        <v>176</v>
      </c>
      <c r="S120" s="47" t="s">
        <v>110</v>
      </c>
      <c r="T120" s="47" t="s">
        <v>110</v>
      </c>
      <c r="U120" s="47" t="s">
        <v>110</v>
      </c>
      <c r="V120" s="83" t="s">
        <v>136</v>
      </c>
      <c r="W120" s="83" t="s">
        <v>113</v>
      </c>
      <c r="X120" s="114" t="s">
        <v>165</v>
      </c>
      <c r="Y120" s="47" t="s">
        <v>111</v>
      </c>
      <c r="Z120" s="47" t="s">
        <v>168</v>
      </c>
      <c r="AA120" s="47" t="s">
        <v>168</v>
      </c>
      <c r="AB120" s="47" t="s">
        <v>110</v>
      </c>
      <c r="AC120" s="83" t="s">
        <v>110</v>
      </c>
      <c r="AD120" s="83" t="s">
        <v>137</v>
      </c>
      <c r="AE120" s="83" t="s">
        <v>167</v>
      </c>
      <c r="AF120" s="95" t="s">
        <v>111</v>
      </c>
      <c r="AG120" s="83" t="s">
        <v>168</v>
      </c>
      <c r="AH120" s="47" t="s">
        <v>168</v>
      </c>
      <c r="AI120" s="83" t="s">
        <v>110</v>
      </c>
      <c r="AJ120" s="83" t="s">
        <v>121</v>
      </c>
      <c r="AK120" s="83" t="s">
        <v>121</v>
      </c>
      <c r="AL120" s="47" t="s">
        <v>110</v>
      </c>
      <c r="AM120" s="47" t="s">
        <v>110</v>
      </c>
      <c r="AN120" s="47" t="s">
        <v>110</v>
      </c>
      <c r="AO120" s="83" t="s">
        <v>110</v>
      </c>
      <c r="AP120" s="47" t="s">
        <v>110</v>
      </c>
      <c r="AQ120" s="83" t="s">
        <v>126</v>
      </c>
      <c r="AR120" s="83" t="s">
        <v>110</v>
      </c>
      <c r="AS120" s="47" t="s">
        <v>110</v>
      </c>
      <c r="AT120" s="16" t="s">
        <v>129</v>
      </c>
      <c r="AU120" s="17" t="s">
        <v>110</v>
      </c>
      <c r="AV120" s="47" t="s">
        <v>119</v>
      </c>
      <c r="AW120" s="47" t="s">
        <v>129</v>
      </c>
      <c r="AX120" s="47" t="s">
        <v>110</v>
      </c>
      <c r="AY120" s="47" t="s">
        <v>120</v>
      </c>
      <c r="AZ120" s="83" t="s">
        <v>126</v>
      </c>
      <c r="BA120" s="83" t="s">
        <v>110</v>
      </c>
      <c r="BB120" s="83" t="s">
        <v>126</v>
      </c>
      <c r="BC120" s="83" t="s">
        <v>110</v>
      </c>
      <c r="BD120" s="95" t="s">
        <v>126</v>
      </c>
      <c r="BE120" s="83" t="s">
        <v>126</v>
      </c>
      <c r="BF120" s="83" t="s">
        <v>121</v>
      </c>
      <c r="BG120" s="47" t="s">
        <v>110</v>
      </c>
      <c r="BH120" s="83" t="s">
        <v>214</v>
      </c>
      <c r="BI120" s="47" t="s">
        <v>110</v>
      </c>
      <c r="BJ120" s="83" t="s">
        <v>168</v>
      </c>
      <c r="BK120" s="47" t="s">
        <v>110</v>
      </c>
      <c r="BL120" s="47" t="s">
        <v>126</v>
      </c>
      <c r="BM120" s="47" t="s">
        <v>110</v>
      </c>
      <c r="BN120" s="18" t="s">
        <v>111</v>
      </c>
      <c r="BO120" s="47" t="s">
        <v>119</v>
      </c>
      <c r="BP120" s="47" t="s">
        <v>120</v>
      </c>
      <c r="BQ120" s="47" t="s">
        <v>110</v>
      </c>
      <c r="BR120" s="47" t="s">
        <v>110</v>
      </c>
      <c r="BS120" s="83" t="s">
        <v>110</v>
      </c>
      <c r="BT120" s="47" t="s">
        <v>115</v>
      </c>
      <c r="BU120" s="47" t="s">
        <v>111</v>
      </c>
      <c r="BV120" s="47" t="s">
        <v>110</v>
      </c>
      <c r="BW120" s="47" t="s">
        <v>178</v>
      </c>
      <c r="BX120" s="47" t="s">
        <v>203</v>
      </c>
      <c r="BY120" s="83" t="s">
        <v>110</v>
      </c>
      <c r="BZ120" s="47" t="s">
        <v>115</v>
      </c>
      <c r="CA120" s="47" t="s">
        <v>111</v>
      </c>
      <c r="CB120" s="47" t="s">
        <v>129</v>
      </c>
      <c r="CC120" s="47" t="s">
        <v>110</v>
      </c>
      <c r="CD120" s="47" t="s">
        <v>111</v>
      </c>
      <c r="CE120" s="47" t="s">
        <v>116</v>
      </c>
      <c r="CF120" s="47" t="s">
        <v>110</v>
      </c>
      <c r="CG120" s="47" t="s">
        <v>110</v>
      </c>
      <c r="CH120" s="83" t="s">
        <v>110</v>
      </c>
      <c r="CI120" s="47" t="s">
        <v>110</v>
      </c>
      <c r="CJ120" s="47" t="s">
        <v>110</v>
      </c>
      <c r="CK120" s="47" t="s">
        <v>126</v>
      </c>
      <c r="CL120" s="47" t="s">
        <v>110</v>
      </c>
      <c r="CM120" s="47" t="s">
        <v>111</v>
      </c>
      <c r="CN120" s="50" t="s">
        <v>497</v>
      </c>
      <c r="CO120" t="s">
        <v>786</v>
      </c>
      <c r="CP120">
        <f>IFERROR(VLOOKUP(H120,'Lista Lideres'!$A$1:$B$350,2,0),0)</f>
        <v>0</v>
      </c>
    </row>
    <row r="121" spans="1:94" ht="14.4" hidden="1" x14ac:dyDescent="0.3">
      <c r="A121" s="52">
        <v>45564.40773663194</v>
      </c>
      <c r="B121" s="47" t="s">
        <v>181</v>
      </c>
      <c r="C121" s="53" t="s">
        <v>782</v>
      </c>
      <c r="D121" s="53" t="s">
        <v>93</v>
      </c>
      <c r="E121" s="53" t="s">
        <v>498</v>
      </c>
      <c r="F121" s="53" t="s">
        <v>97</v>
      </c>
      <c r="G121" s="53" t="s">
        <v>499</v>
      </c>
      <c r="H121" s="53" t="s">
        <v>499</v>
      </c>
      <c r="I121" s="53" t="s">
        <v>100</v>
      </c>
      <c r="J121" s="53" t="s">
        <v>101</v>
      </c>
      <c r="K121" s="53" t="s">
        <v>102</v>
      </c>
      <c r="L121" s="84" t="s">
        <v>103</v>
      </c>
      <c r="M121" s="8" t="s">
        <v>104</v>
      </c>
      <c r="N121" s="84" t="s">
        <v>352</v>
      </c>
      <c r="O121" s="84" t="s">
        <v>282</v>
      </c>
      <c r="P121" s="84" t="s">
        <v>107</v>
      </c>
      <c r="Q121" s="115" t="s">
        <v>163</v>
      </c>
      <c r="R121" s="53" t="s">
        <v>164</v>
      </c>
      <c r="S121" s="53" t="s">
        <v>110</v>
      </c>
      <c r="T121" s="53" t="s">
        <v>110</v>
      </c>
      <c r="U121" s="53" t="s">
        <v>110</v>
      </c>
      <c r="V121" s="84" t="s">
        <v>126</v>
      </c>
      <c r="W121" s="84" t="s">
        <v>152</v>
      </c>
      <c r="X121" s="115" t="s">
        <v>114</v>
      </c>
      <c r="Y121" s="53" t="s">
        <v>110</v>
      </c>
      <c r="Z121" s="53" t="s">
        <v>110</v>
      </c>
      <c r="AA121" s="53" t="s">
        <v>110</v>
      </c>
      <c r="AB121" s="53" t="s">
        <v>110</v>
      </c>
      <c r="AC121" s="84" t="s">
        <v>110</v>
      </c>
      <c r="AD121" s="84" t="s">
        <v>166</v>
      </c>
      <c r="AE121" s="84" t="s">
        <v>138</v>
      </c>
      <c r="AF121" s="96" t="s">
        <v>110</v>
      </c>
      <c r="AG121" s="84" t="s">
        <v>110</v>
      </c>
      <c r="AH121" s="53" t="s">
        <v>110</v>
      </c>
      <c r="AI121" s="84" t="s">
        <v>110</v>
      </c>
      <c r="AJ121" s="84" t="s">
        <v>110</v>
      </c>
      <c r="AK121" s="84" t="s">
        <v>110</v>
      </c>
      <c r="AL121" s="53" t="s">
        <v>110</v>
      </c>
      <c r="AM121" s="53" t="s">
        <v>110</v>
      </c>
      <c r="AN121" s="53" t="s">
        <v>110</v>
      </c>
      <c r="AO121" s="84" t="s">
        <v>110</v>
      </c>
      <c r="AP121" s="53" t="s">
        <v>110</v>
      </c>
      <c r="AQ121" s="84" t="s">
        <v>126</v>
      </c>
      <c r="AR121" s="84" t="s">
        <v>110</v>
      </c>
      <c r="AS121" s="53" t="s">
        <v>110</v>
      </c>
      <c r="AT121" s="9" t="s">
        <v>129</v>
      </c>
      <c r="AU121" s="10" t="s">
        <v>110</v>
      </c>
      <c r="AV121" s="53" t="s">
        <v>119</v>
      </c>
      <c r="AW121" s="53" t="s">
        <v>119</v>
      </c>
      <c r="AX121" s="53" t="s">
        <v>110</v>
      </c>
      <c r="AY121" s="53" t="s">
        <v>111</v>
      </c>
      <c r="AZ121" s="84" t="s">
        <v>126</v>
      </c>
      <c r="BA121" s="84" t="s">
        <v>110</v>
      </c>
      <c r="BB121" s="84" t="s">
        <v>126</v>
      </c>
      <c r="BC121" s="84" t="s">
        <v>110</v>
      </c>
      <c r="BD121" s="96" t="s">
        <v>126</v>
      </c>
      <c r="BE121" s="84" t="s">
        <v>126</v>
      </c>
      <c r="BF121" s="84" t="s">
        <v>110</v>
      </c>
      <c r="BG121" s="53" t="s">
        <v>110</v>
      </c>
      <c r="BH121" s="84" t="s">
        <v>126</v>
      </c>
      <c r="BI121" s="53" t="s">
        <v>110</v>
      </c>
      <c r="BJ121" s="84" t="s">
        <v>110</v>
      </c>
      <c r="BK121" s="53" t="s">
        <v>110</v>
      </c>
      <c r="BL121" s="53" t="s">
        <v>126</v>
      </c>
      <c r="BM121" s="53" t="s">
        <v>110</v>
      </c>
      <c r="BN121" s="11" t="s">
        <v>110</v>
      </c>
      <c r="BO121" s="53" t="s">
        <v>110</v>
      </c>
      <c r="BP121" s="53" t="s">
        <v>111</v>
      </c>
      <c r="BQ121" s="53" t="s">
        <v>110</v>
      </c>
      <c r="BR121" s="53" t="s">
        <v>110</v>
      </c>
      <c r="BS121" s="84" t="s">
        <v>110</v>
      </c>
      <c r="BT121" s="53" t="s">
        <v>111</v>
      </c>
      <c r="BU121" s="53" t="s">
        <v>111</v>
      </c>
      <c r="BV121" s="53" t="s">
        <v>110</v>
      </c>
      <c r="BW121" s="53" t="s">
        <v>110</v>
      </c>
      <c r="BX121" s="53" t="s">
        <v>126</v>
      </c>
      <c r="BY121" s="84" t="s">
        <v>110</v>
      </c>
      <c r="BZ121" s="53" t="s">
        <v>110</v>
      </c>
      <c r="CA121" s="53" t="s">
        <v>110</v>
      </c>
      <c r="CB121" s="53" t="s">
        <v>110</v>
      </c>
      <c r="CC121" s="53" t="s">
        <v>110</v>
      </c>
      <c r="CD121" s="53" t="s">
        <v>110</v>
      </c>
      <c r="CE121" s="53" t="s">
        <v>110</v>
      </c>
      <c r="CF121" s="53" t="s">
        <v>110</v>
      </c>
      <c r="CG121" s="53" t="s">
        <v>110</v>
      </c>
      <c r="CH121" s="84" t="s">
        <v>110</v>
      </c>
      <c r="CI121" s="53" t="s">
        <v>110</v>
      </c>
      <c r="CJ121" s="53" t="s">
        <v>110</v>
      </c>
      <c r="CK121" s="53" t="s">
        <v>126</v>
      </c>
      <c r="CL121" s="53" t="s">
        <v>110</v>
      </c>
      <c r="CM121" s="53" t="s">
        <v>110</v>
      </c>
      <c r="CN121" s="56"/>
      <c r="CO121" t="s">
        <v>786</v>
      </c>
      <c r="CP121">
        <f>IFERROR(VLOOKUP(H121,'Lista Lideres'!$A$1:$B$350,2,0),0)</f>
        <v>0</v>
      </c>
    </row>
    <row r="122" spans="1:94" ht="14.4" hidden="1" x14ac:dyDescent="0.3">
      <c r="A122" s="46">
        <v>45561.719735324077</v>
      </c>
      <c r="B122" s="47" t="s">
        <v>181</v>
      </c>
      <c r="C122" s="47" t="s">
        <v>782</v>
      </c>
      <c r="D122" s="47" t="s">
        <v>131</v>
      </c>
      <c r="E122" s="47" t="s">
        <v>304</v>
      </c>
      <c r="F122" s="47" t="s">
        <v>96</v>
      </c>
      <c r="G122" s="47" t="s">
        <v>500</v>
      </c>
      <c r="H122" s="47" t="s">
        <v>500</v>
      </c>
      <c r="I122" s="47" t="s">
        <v>100</v>
      </c>
      <c r="J122" s="47" t="s">
        <v>173</v>
      </c>
      <c r="K122" s="47" t="s">
        <v>102</v>
      </c>
      <c r="L122" s="83" t="s">
        <v>162</v>
      </c>
      <c r="M122" s="8" t="s">
        <v>104</v>
      </c>
      <c r="N122" s="83" t="s">
        <v>352</v>
      </c>
      <c r="O122" s="83" t="s">
        <v>282</v>
      </c>
      <c r="P122" s="83" t="s">
        <v>175</v>
      </c>
      <c r="Q122" s="114" t="s">
        <v>108</v>
      </c>
      <c r="R122" s="47" t="s">
        <v>109</v>
      </c>
      <c r="S122" s="47" t="s">
        <v>110</v>
      </c>
      <c r="T122" s="47" t="s">
        <v>110</v>
      </c>
      <c r="U122" s="47" t="s">
        <v>110</v>
      </c>
      <c r="V122" s="83" t="s">
        <v>112</v>
      </c>
      <c r="W122" s="83" t="s">
        <v>363</v>
      </c>
      <c r="X122" s="114" t="s">
        <v>153</v>
      </c>
      <c r="Y122" s="47" t="s">
        <v>110</v>
      </c>
      <c r="Z122" s="47" t="s">
        <v>111</v>
      </c>
      <c r="AA122" s="47" t="s">
        <v>110</v>
      </c>
      <c r="AB122" s="47" t="s">
        <v>111</v>
      </c>
      <c r="AC122" s="83" t="s">
        <v>110</v>
      </c>
      <c r="AD122" s="83" t="s">
        <v>221</v>
      </c>
      <c r="AE122" s="83" t="s">
        <v>118</v>
      </c>
      <c r="AF122" s="95" t="s">
        <v>110</v>
      </c>
      <c r="AG122" s="83" t="s">
        <v>111</v>
      </c>
      <c r="AH122" s="47" t="s">
        <v>122</v>
      </c>
      <c r="AI122" s="83" t="s">
        <v>128</v>
      </c>
      <c r="AJ122" s="83" t="s">
        <v>122</v>
      </c>
      <c r="AK122" s="83" t="s">
        <v>128</v>
      </c>
      <c r="AL122" s="47" t="s">
        <v>122</v>
      </c>
      <c r="AM122" s="47" t="s">
        <v>110</v>
      </c>
      <c r="AN122" s="47" t="s">
        <v>123</v>
      </c>
      <c r="AO122" s="83" t="s">
        <v>123</v>
      </c>
      <c r="AP122" s="47" t="s">
        <v>123</v>
      </c>
      <c r="AQ122" s="83" t="s">
        <v>126</v>
      </c>
      <c r="AR122" s="83" t="s">
        <v>110</v>
      </c>
      <c r="AS122" s="47" t="s">
        <v>110</v>
      </c>
      <c r="AT122" s="16" t="s">
        <v>119</v>
      </c>
      <c r="AU122" s="17" t="s">
        <v>110</v>
      </c>
      <c r="AV122" s="47" t="s">
        <v>119</v>
      </c>
      <c r="AW122" s="47" t="s">
        <v>110</v>
      </c>
      <c r="AX122" s="47" t="s">
        <v>110</v>
      </c>
      <c r="AY122" s="47" t="s">
        <v>111</v>
      </c>
      <c r="AZ122" s="83" t="s">
        <v>126</v>
      </c>
      <c r="BA122" s="83" t="s">
        <v>110</v>
      </c>
      <c r="BB122" s="83" t="s">
        <v>125</v>
      </c>
      <c r="BC122" s="83" t="s">
        <v>110</v>
      </c>
      <c r="BD122" s="95" t="s">
        <v>126</v>
      </c>
      <c r="BE122" s="83" t="s">
        <v>126</v>
      </c>
      <c r="BF122" s="83" t="s">
        <v>128</v>
      </c>
      <c r="BG122" s="47" t="s">
        <v>119</v>
      </c>
      <c r="BH122" s="83" t="s">
        <v>126</v>
      </c>
      <c r="BI122" s="47" t="s">
        <v>111</v>
      </c>
      <c r="BJ122" s="83" t="s">
        <v>111</v>
      </c>
      <c r="BK122" s="47" t="s">
        <v>122</v>
      </c>
      <c r="BL122" s="47" t="s">
        <v>126</v>
      </c>
      <c r="BM122" s="47" t="s">
        <v>127</v>
      </c>
      <c r="BN122" s="18" t="s">
        <v>119</v>
      </c>
      <c r="BO122" s="47" t="s">
        <v>110</v>
      </c>
      <c r="BP122" s="47" t="s">
        <v>111</v>
      </c>
      <c r="BQ122" s="47" t="s">
        <v>111</v>
      </c>
      <c r="BR122" s="47" t="s">
        <v>111</v>
      </c>
      <c r="BS122" s="83" t="s">
        <v>111</v>
      </c>
      <c r="BT122" s="47" t="s">
        <v>111</v>
      </c>
      <c r="BU122" s="47" t="s">
        <v>110</v>
      </c>
      <c r="BV122" s="47" t="s">
        <v>110</v>
      </c>
      <c r="BW122" s="47" t="s">
        <v>110</v>
      </c>
      <c r="BX122" s="47" t="s">
        <v>125</v>
      </c>
      <c r="BY122" s="83" t="s">
        <v>110</v>
      </c>
      <c r="BZ122" s="47" t="s">
        <v>111</v>
      </c>
      <c r="CA122" s="47" t="s">
        <v>110</v>
      </c>
      <c r="CB122" s="47" t="s">
        <v>110</v>
      </c>
      <c r="CC122" s="47" t="s">
        <v>110</v>
      </c>
      <c r="CD122" s="47" t="s">
        <v>110</v>
      </c>
      <c r="CE122" s="47" t="s">
        <v>110</v>
      </c>
      <c r="CF122" s="47" t="s">
        <v>110</v>
      </c>
      <c r="CG122" s="47" t="s">
        <v>119</v>
      </c>
      <c r="CH122" s="83" t="s">
        <v>110</v>
      </c>
      <c r="CI122" s="47" t="s">
        <v>111</v>
      </c>
      <c r="CJ122" s="47" t="s">
        <v>119</v>
      </c>
      <c r="CK122" s="47" t="s">
        <v>126</v>
      </c>
      <c r="CL122" s="47" t="s">
        <v>119</v>
      </c>
      <c r="CM122" s="47" t="s">
        <v>110</v>
      </c>
      <c r="CN122" s="51"/>
      <c r="CO122" t="s">
        <v>786</v>
      </c>
      <c r="CP122">
        <f>IFERROR(VLOOKUP(H122,'Lista Lideres'!$A$1:$B$350,2,0),0)</f>
        <v>0</v>
      </c>
    </row>
    <row r="123" spans="1:94" ht="14.4" hidden="1" x14ac:dyDescent="0.3">
      <c r="A123" s="46">
        <v>45563.794811770829</v>
      </c>
      <c r="B123" s="47" t="s">
        <v>181</v>
      </c>
      <c r="C123" s="47" t="s">
        <v>782</v>
      </c>
      <c r="D123" s="47" t="s">
        <v>93</v>
      </c>
      <c r="E123" s="47" t="s">
        <v>304</v>
      </c>
      <c r="F123" s="47" t="s">
        <v>96</v>
      </c>
      <c r="G123" s="47" t="s">
        <v>361</v>
      </c>
      <c r="H123" s="47" t="s">
        <v>361</v>
      </c>
      <c r="I123" s="47" t="s">
        <v>149</v>
      </c>
      <c r="J123" s="47" t="s">
        <v>101</v>
      </c>
      <c r="K123" s="47" t="s">
        <v>191</v>
      </c>
      <c r="L123" s="83" t="s">
        <v>213</v>
      </c>
      <c r="M123" s="8" t="s">
        <v>104</v>
      </c>
      <c r="N123" s="83" t="s">
        <v>352</v>
      </c>
      <c r="O123" s="83" t="s">
        <v>106</v>
      </c>
      <c r="P123" s="83" t="s">
        <v>501</v>
      </c>
      <c r="Q123" s="114" t="s">
        <v>151</v>
      </c>
      <c r="R123" s="47" t="s">
        <v>109</v>
      </c>
      <c r="S123" s="47" t="s">
        <v>119</v>
      </c>
      <c r="T123" s="47" t="s">
        <v>119</v>
      </c>
      <c r="U123" s="47" t="s">
        <v>119</v>
      </c>
      <c r="V123" s="83" t="s">
        <v>112</v>
      </c>
      <c r="W123" s="83" t="s">
        <v>113</v>
      </c>
      <c r="X123" s="114" t="s">
        <v>153</v>
      </c>
      <c r="Y123" s="47" t="s">
        <v>111</v>
      </c>
      <c r="Z123" s="47" t="s">
        <v>110</v>
      </c>
      <c r="AA123" s="47" t="s">
        <v>111</v>
      </c>
      <c r="AB123" s="47" t="s">
        <v>119</v>
      </c>
      <c r="AC123" s="83" t="s">
        <v>111</v>
      </c>
      <c r="AD123" s="83" t="s">
        <v>166</v>
      </c>
      <c r="AE123" s="83" t="s">
        <v>138</v>
      </c>
      <c r="AF123" s="95" t="s">
        <v>119</v>
      </c>
      <c r="AG123" s="83" t="s">
        <v>110</v>
      </c>
      <c r="AH123" s="47" t="s">
        <v>122</v>
      </c>
      <c r="AI123" s="83" t="s">
        <v>110</v>
      </c>
      <c r="AJ123" s="83" t="s">
        <v>122</v>
      </c>
      <c r="AK123" s="83" t="s">
        <v>110</v>
      </c>
      <c r="AL123" s="47" t="s">
        <v>122</v>
      </c>
      <c r="AM123" s="47" t="s">
        <v>123</v>
      </c>
      <c r="AN123" s="47" t="s">
        <v>177</v>
      </c>
      <c r="AO123" s="83" t="s">
        <v>123</v>
      </c>
      <c r="AP123" s="47" t="s">
        <v>110</v>
      </c>
      <c r="AQ123" s="83" t="s">
        <v>125</v>
      </c>
      <c r="AR123" s="83" t="s">
        <v>119</v>
      </c>
      <c r="AS123" s="47" t="s">
        <v>110</v>
      </c>
      <c r="AT123" s="16" t="s">
        <v>129</v>
      </c>
      <c r="AU123" s="17" t="s">
        <v>110</v>
      </c>
      <c r="AV123" s="47" t="s">
        <v>110</v>
      </c>
      <c r="AW123" s="47" t="s">
        <v>119</v>
      </c>
      <c r="AX123" s="47" t="s">
        <v>129</v>
      </c>
      <c r="AY123" s="47" t="s">
        <v>119</v>
      </c>
      <c r="AZ123" s="83" t="s">
        <v>125</v>
      </c>
      <c r="BA123" s="83" t="s">
        <v>119</v>
      </c>
      <c r="BB123" s="83" t="s">
        <v>126</v>
      </c>
      <c r="BC123" s="83" t="s">
        <v>110</v>
      </c>
      <c r="BD123" s="95" t="s">
        <v>124</v>
      </c>
      <c r="BE123" s="83" t="s">
        <v>125</v>
      </c>
      <c r="BF123" s="83" t="s">
        <v>128</v>
      </c>
      <c r="BG123" s="47" t="s">
        <v>119</v>
      </c>
      <c r="BH123" s="83" t="s">
        <v>124</v>
      </c>
      <c r="BI123" s="47" t="s">
        <v>119</v>
      </c>
      <c r="BJ123" s="83" t="s">
        <v>111</v>
      </c>
      <c r="BK123" s="47" t="s">
        <v>110</v>
      </c>
      <c r="BL123" s="47" t="s">
        <v>126</v>
      </c>
      <c r="BM123" s="47" t="s">
        <v>127</v>
      </c>
      <c r="BN123" s="18" t="s">
        <v>111</v>
      </c>
      <c r="BO123" s="47" t="s">
        <v>119</v>
      </c>
      <c r="BP123" s="47" t="s">
        <v>120</v>
      </c>
      <c r="BQ123" s="47" t="s">
        <v>111</v>
      </c>
      <c r="BR123" s="47" t="s">
        <v>110</v>
      </c>
      <c r="BS123" s="83" t="s">
        <v>111</v>
      </c>
      <c r="BT123" s="47" t="s">
        <v>115</v>
      </c>
      <c r="BU123" s="47" t="s">
        <v>119</v>
      </c>
      <c r="BV123" s="47" t="s">
        <v>110</v>
      </c>
      <c r="BW123" s="47" t="s">
        <v>110</v>
      </c>
      <c r="BX123" s="47" t="s">
        <v>126</v>
      </c>
      <c r="BY123" s="83" t="s">
        <v>111</v>
      </c>
      <c r="BZ123" s="47" t="s">
        <v>111</v>
      </c>
      <c r="CA123" s="47" t="s">
        <v>110</v>
      </c>
      <c r="CB123" s="47" t="s">
        <v>129</v>
      </c>
      <c r="CC123" s="47" t="s">
        <v>119</v>
      </c>
      <c r="CD123" s="47" t="s">
        <v>110</v>
      </c>
      <c r="CE123" s="47" t="s">
        <v>110</v>
      </c>
      <c r="CF123" s="47" t="s">
        <v>110</v>
      </c>
      <c r="CG123" s="47" t="s">
        <v>119</v>
      </c>
      <c r="CH123" s="83" t="s">
        <v>110</v>
      </c>
      <c r="CI123" s="47" t="s">
        <v>111</v>
      </c>
      <c r="CJ123" s="47" t="s">
        <v>119</v>
      </c>
      <c r="CK123" s="47" t="s">
        <v>126</v>
      </c>
      <c r="CL123" s="47" t="s">
        <v>110</v>
      </c>
      <c r="CM123" s="47" t="s">
        <v>111</v>
      </c>
      <c r="CN123" s="49"/>
      <c r="CO123" t="s">
        <v>785</v>
      </c>
      <c r="CP123">
        <f>IFERROR(VLOOKUP(H123,'Lista Lideres'!$A$1:$B$350,2,0),0)</f>
        <v>0</v>
      </c>
    </row>
    <row r="124" spans="1:94" ht="13.8" hidden="1" x14ac:dyDescent="0.3">
      <c r="A124" s="52">
        <v>45565.722678541671</v>
      </c>
      <c r="B124" s="47" t="s">
        <v>181</v>
      </c>
      <c r="C124" s="53" t="s">
        <v>782</v>
      </c>
      <c r="D124" s="53" t="s">
        <v>131</v>
      </c>
      <c r="E124" s="53" t="s">
        <v>502</v>
      </c>
      <c r="F124" s="53" t="s">
        <v>97</v>
      </c>
      <c r="G124" s="53" t="s">
        <v>318</v>
      </c>
      <c r="H124" s="53" t="s">
        <v>503</v>
      </c>
      <c r="I124" s="53" t="s">
        <v>149</v>
      </c>
      <c r="J124" s="53" t="s">
        <v>101</v>
      </c>
      <c r="K124" s="53" t="s">
        <v>191</v>
      </c>
      <c r="L124" s="84" t="s">
        <v>135</v>
      </c>
      <c r="M124" s="8" t="s">
        <v>104</v>
      </c>
      <c r="N124" s="84" t="s">
        <v>352</v>
      </c>
      <c r="O124" s="84" t="s">
        <v>352</v>
      </c>
      <c r="P124" s="84" t="s">
        <v>501</v>
      </c>
      <c r="Q124" s="115" t="s">
        <v>163</v>
      </c>
      <c r="R124" s="53" t="s">
        <v>176</v>
      </c>
      <c r="S124" s="53" t="s">
        <v>129</v>
      </c>
      <c r="T124" s="53" t="s">
        <v>119</v>
      </c>
      <c r="U124" s="53" t="s">
        <v>119</v>
      </c>
      <c r="V124" s="84" t="s">
        <v>126</v>
      </c>
      <c r="W124" s="84" t="s">
        <v>363</v>
      </c>
      <c r="X124" s="115" t="s">
        <v>165</v>
      </c>
      <c r="Y124" s="53" t="s">
        <v>111</v>
      </c>
      <c r="Z124" s="53" t="s">
        <v>111</v>
      </c>
      <c r="AA124" s="53" t="s">
        <v>111</v>
      </c>
      <c r="AB124" s="53" t="s">
        <v>110</v>
      </c>
      <c r="AC124" s="84" t="s">
        <v>116</v>
      </c>
      <c r="AD124" s="84" t="s">
        <v>137</v>
      </c>
      <c r="AE124" s="84" t="s">
        <v>138</v>
      </c>
      <c r="AF124" s="96" t="s">
        <v>119</v>
      </c>
      <c r="AG124" s="84" t="s">
        <v>110</v>
      </c>
      <c r="AH124" s="53" t="s">
        <v>122</v>
      </c>
      <c r="AI124" s="84" t="s">
        <v>110</v>
      </c>
      <c r="AJ124" s="84" t="s">
        <v>122</v>
      </c>
      <c r="AK124" s="84" t="s">
        <v>110</v>
      </c>
      <c r="AL124" s="53" t="s">
        <v>122</v>
      </c>
      <c r="AM124" s="53" t="s">
        <v>123</v>
      </c>
      <c r="AN124" s="53" t="s">
        <v>110</v>
      </c>
      <c r="AO124" s="84" t="s">
        <v>110</v>
      </c>
      <c r="AP124" s="53" t="s">
        <v>110</v>
      </c>
      <c r="AQ124" s="84" t="s">
        <v>126</v>
      </c>
      <c r="AR124" s="84" t="s">
        <v>111</v>
      </c>
      <c r="AS124" s="53" t="s">
        <v>115</v>
      </c>
      <c r="AT124" s="9" t="s">
        <v>129</v>
      </c>
      <c r="AU124" s="10" t="s">
        <v>115</v>
      </c>
      <c r="AV124" s="53" t="s">
        <v>119</v>
      </c>
      <c r="AW124" s="53" t="s">
        <v>110</v>
      </c>
      <c r="AX124" s="53" t="s">
        <v>110</v>
      </c>
      <c r="AY124" s="53" t="s">
        <v>120</v>
      </c>
      <c r="AZ124" s="84" t="s">
        <v>125</v>
      </c>
      <c r="BA124" s="84" t="s">
        <v>110</v>
      </c>
      <c r="BB124" s="84" t="s">
        <v>139</v>
      </c>
      <c r="BC124" s="84" t="s">
        <v>110</v>
      </c>
      <c r="BD124" s="96" t="s">
        <v>125</v>
      </c>
      <c r="BE124" s="84" t="s">
        <v>140</v>
      </c>
      <c r="BF124" s="84" t="s">
        <v>141</v>
      </c>
      <c r="BG124" s="53" t="s">
        <v>110</v>
      </c>
      <c r="BH124" s="84" t="s">
        <v>125</v>
      </c>
      <c r="BI124" s="53" t="s">
        <v>111</v>
      </c>
      <c r="BJ124" s="84" t="s">
        <v>120</v>
      </c>
      <c r="BK124" s="53" t="s">
        <v>128</v>
      </c>
      <c r="BL124" s="53" t="s">
        <v>124</v>
      </c>
      <c r="BM124" s="53" t="s">
        <v>127</v>
      </c>
      <c r="BN124" s="11" t="s">
        <v>110</v>
      </c>
      <c r="BO124" s="53" t="s">
        <v>111</v>
      </c>
      <c r="BP124" s="53" t="s">
        <v>120</v>
      </c>
      <c r="BQ124" s="53" t="s">
        <v>110</v>
      </c>
      <c r="BR124" s="53" t="s">
        <v>110</v>
      </c>
      <c r="BS124" s="84" t="s">
        <v>111</v>
      </c>
      <c r="BT124" s="53" t="s">
        <v>115</v>
      </c>
      <c r="BU124" s="53" t="s">
        <v>110</v>
      </c>
      <c r="BV124" s="53" t="s">
        <v>110</v>
      </c>
      <c r="BW124" s="53" t="s">
        <v>110</v>
      </c>
      <c r="BX124" s="53" t="s">
        <v>126</v>
      </c>
      <c r="BY124" s="84" t="s">
        <v>110</v>
      </c>
      <c r="BZ124" s="53" t="s">
        <v>115</v>
      </c>
      <c r="CA124" s="53" t="s">
        <v>119</v>
      </c>
      <c r="CB124" s="53" t="s">
        <v>110</v>
      </c>
      <c r="CC124" s="53" t="s">
        <v>110</v>
      </c>
      <c r="CD124" s="53" t="s">
        <v>119</v>
      </c>
      <c r="CE124" s="53" t="s">
        <v>110</v>
      </c>
      <c r="CF124" s="53" t="s">
        <v>110</v>
      </c>
      <c r="CG124" s="53" t="s">
        <v>119</v>
      </c>
      <c r="CH124" s="84" t="s">
        <v>110</v>
      </c>
      <c r="CI124" s="53" t="s">
        <v>110</v>
      </c>
      <c r="CJ124" s="53" t="s">
        <v>119</v>
      </c>
      <c r="CK124" s="53" t="s">
        <v>126</v>
      </c>
      <c r="CL124" s="53" t="s">
        <v>110</v>
      </c>
      <c r="CM124" s="53" t="s">
        <v>110</v>
      </c>
      <c r="CN124" s="57" t="s">
        <v>504</v>
      </c>
      <c r="CO124" t="s">
        <v>785</v>
      </c>
      <c r="CP124">
        <f>IFERROR(VLOOKUP(H124,'Lista Lideres'!$A$1:$B$350,2,0),0)</f>
        <v>0</v>
      </c>
    </row>
    <row r="125" spans="1:94" ht="14.4" hidden="1" x14ac:dyDescent="0.3">
      <c r="A125" s="52">
        <v>45562.123053784722</v>
      </c>
      <c r="B125" s="47" t="s">
        <v>181</v>
      </c>
      <c r="C125" s="53" t="s">
        <v>782</v>
      </c>
      <c r="D125" s="53" t="s">
        <v>93</v>
      </c>
      <c r="E125" s="53" t="s">
        <v>505</v>
      </c>
      <c r="F125" s="53" t="s">
        <v>96</v>
      </c>
      <c r="G125" s="53" t="s">
        <v>506</v>
      </c>
      <c r="H125" s="53" t="s">
        <v>507</v>
      </c>
      <c r="I125" s="53" t="s">
        <v>149</v>
      </c>
      <c r="J125" s="53" t="s">
        <v>101</v>
      </c>
      <c r="K125" s="53" t="s">
        <v>174</v>
      </c>
      <c r="L125" s="84" t="s">
        <v>150</v>
      </c>
      <c r="M125" s="8" t="s">
        <v>104</v>
      </c>
      <c r="N125" s="84" t="s">
        <v>352</v>
      </c>
      <c r="O125" s="84" t="s">
        <v>282</v>
      </c>
      <c r="P125" s="84" t="s">
        <v>175</v>
      </c>
      <c r="Q125" s="115" t="s">
        <v>163</v>
      </c>
      <c r="R125" s="53" t="s">
        <v>109</v>
      </c>
      <c r="S125" s="53" t="s">
        <v>119</v>
      </c>
      <c r="T125" s="53" t="s">
        <v>110</v>
      </c>
      <c r="U125" s="53" t="s">
        <v>119</v>
      </c>
      <c r="V125" s="84" t="s">
        <v>136</v>
      </c>
      <c r="W125" s="84" t="s">
        <v>152</v>
      </c>
      <c r="X125" s="115" t="s">
        <v>114</v>
      </c>
      <c r="Y125" s="53" t="s">
        <v>111</v>
      </c>
      <c r="Z125" s="53" t="s">
        <v>110</v>
      </c>
      <c r="AA125" s="53" t="s">
        <v>110</v>
      </c>
      <c r="AB125" s="53" t="s">
        <v>111</v>
      </c>
      <c r="AC125" s="84" t="s">
        <v>111</v>
      </c>
      <c r="AD125" s="84" t="s">
        <v>137</v>
      </c>
      <c r="AE125" s="84" t="s">
        <v>138</v>
      </c>
      <c r="AF125" s="96" t="s">
        <v>110</v>
      </c>
      <c r="AG125" s="84" t="s">
        <v>119</v>
      </c>
      <c r="AH125" s="53" t="s">
        <v>110</v>
      </c>
      <c r="AI125" s="84" t="s">
        <v>154</v>
      </c>
      <c r="AJ125" s="84" t="s">
        <v>128</v>
      </c>
      <c r="AK125" s="84" t="s">
        <v>225</v>
      </c>
      <c r="AL125" s="53" t="s">
        <v>110</v>
      </c>
      <c r="AM125" s="53" t="s">
        <v>123</v>
      </c>
      <c r="AN125" s="53" t="s">
        <v>110</v>
      </c>
      <c r="AO125" s="84" t="s">
        <v>123</v>
      </c>
      <c r="AP125" s="53" t="s">
        <v>128</v>
      </c>
      <c r="AQ125" s="84" t="s">
        <v>124</v>
      </c>
      <c r="AR125" s="84" t="s">
        <v>111</v>
      </c>
      <c r="AS125" s="53" t="s">
        <v>110</v>
      </c>
      <c r="AT125" s="9" t="s">
        <v>119</v>
      </c>
      <c r="AU125" s="10" t="s">
        <v>110</v>
      </c>
      <c r="AV125" s="53" t="s">
        <v>119</v>
      </c>
      <c r="AW125" s="53" t="s">
        <v>119</v>
      </c>
      <c r="AX125" s="53" t="s">
        <v>110</v>
      </c>
      <c r="AY125" s="53" t="s">
        <v>120</v>
      </c>
      <c r="AZ125" s="84" t="s">
        <v>126</v>
      </c>
      <c r="BA125" s="84" t="s">
        <v>111</v>
      </c>
      <c r="BB125" s="84" t="s">
        <v>139</v>
      </c>
      <c r="BC125" s="84" t="s">
        <v>111</v>
      </c>
      <c r="BD125" s="96" t="s">
        <v>126</v>
      </c>
      <c r="BE125" s="84" t="s">
        <v>140</v>
      </c>
      <c r="BF125" s="84" t="s">
        <v>141</v>
      </c>
      <c r="BG125" s="53" t="s">
        <v>110</v>
      </c>
      <c r="BH125" s="84" t="s">
        <v>124</v>
      </c>
      <c r="BI125" s="53" t="s">
        <v>120</v>
      </c>
      <c r="BJ125" s="84" t="s">
        <v>110</v>
      </c>
      <c r="BK125" s="53" t="s">
        <v>110</v>
      </c>
      <c r="BL125" s="53" t="s">
        <v>126</v>
      </c>
      <c r="BM125" s="53" t="s">
        <v>110</v>
      </c>
      <c r="BN125" s="11" t="s">
        <v>111</v>
      </c>
      <c r="BO125" s="53" t="s">
        <v>111</v>
      </c>
      <c r="BP125" s="53" t="s">
        <v>120</v>
      </c>
      <c r="BQ125" s="53" t="s">
        <v>110</v>
      </c>
      <c r="BR125" s="53" t="s">
        <v>119</v>
      </c>
      <c r="BS125" s="84" t="s">
        <v>111</v>
      </c>
      <c r="BT125" s="53" t="s">
        <v>115</v>
      </c>
      <c r="BU125" s="53" t="s">
        <v>110</v>
      </c>
      <c r="BV125" s="53" t="s">
        <v>111</v>
      </c>
      <c r="BW125" s="53" t="s">
        <v>110</v>
      </c>
      <c r="BX125" s="53" t="s">
        <v>125</v>
      </c>
      <c r="BY125" s="84" t="s">
        <v>111</v>
      </c>
      <c r="BZ125" s="53" t="s">
        <v>115</v>
      </c>
      <c r="CA125" s="53" t="s">
        <v>110</v>
      </c>
      <c r="CB125" s="53" t="s">
        <v>119</v>
      </c>
      <c r="CC125" s="53" t="s">
        <v>119</v>
      </c>
      <c r="CD125" s="53" t="s">
        <v>110</v>
      </c>
      <c r="CE125" s="53" t="s">
        <v>209</v>
      </c>
      <c r="CF125" s="53" t="s">
        <v>110</v>
      </c>
      <c r="CG125" s="53" t="s">
        <v>119</v>
      </c>
      <c r="CH125" s="84" t="s">
        <v>110</v>
      </c>
      <c r="CI125" s="53" t="s">
        <v>115</v>
      </c>
      <c r="CJ125" s="53" t="s">
        <v>119</v>
      </c>
      <c r="CK125" s="53" t="s">
        <v>126</v>
      </c>
      <c r="CL125" s="53" t="s">
        <v>111</v>
      </c>
      <c r="CM125" s="53" t="s">
        <v>111</v>
      </c>
      <c r="CN125" s="56"/>
      <c r="CO125" t="s">
        <v>785</v>
      </c>
      <c r="CP125">
        <f>IFERROR(VLOOKUP(H125,'Lista Lideres'!$A$1:$B$350,2,0),0)</f>
        <v>1</v>
      </c>
    </row>
    <row r="126" spans="1:94" ht="13.8" hidden="1" x14ac:dyDescent="0.3">
      <c r="A126" s="46">
        <v>45567.851407465278</v>
      </c>
      <c r="B126" s="47" t="s">
        <v>181</v>
      </c>
      <c r="C126" s="47" t="s">
        <v>782</v>
      </c>
      <c r="D126" s="47" t="s">
        <v>131</v>
      </c>
      <c r="E126" s="47" t="s">
        <v>304</v>
      </c>
      <c r="F126" s="47" t="s">
        <v>96</v>
      </c>
      <c r="G126" s="47" t="s">
        <v>208</v>
      </c>
      <c r="H126" s="47" t="s">
        <v>208</v>
      </c>
      <c r="I126" s="47" t="s">
        <v>100</v>
      </c>
      <c r="J126" s="47" t="s">
        <v>173</v>
      </c>
      <c r="K126" s="47" t="s">
        <v>174</v>
      </c>
      <c r="L126" s="83" t="s">
        <v>135</v>
      </c>
      <c r="M126" s="8" t="s">
        <v>104</v>
      </c>
      <c r="N126" s="83" t="s">
        <v>352</v>
      </c>
      <c r="O126" s="83" t="s">
        <v>282</v>
      </c>
      <c r="P126" s="83" t="s">
        <v>175</v>
      </c>
      <c r="Q126" s="114" t="s">
        <v>108</v>
      </c>
      <c r="R126" s="47" t="s">
        <v>109</v>
      </c>
      <c r="S126" s="47" t="s">
        <v>119</v>
      </c>
      <c r="T126" s="47" t="s">
        <v>119</v>
      </c>
      <c r="U126" s="47" t="s">
        <v>119</v>
      </c>
      <c r="V126" s="83" t="s">
        <v>112</v>
      </c>
      <c r="W126" s="83" t="s">
        <v>152</v>
      </c>
      <c r="X126" s="114" t="s">
        <v>153</v>
      </c>
      <c r="Y126" s="47" t="s">
        <v>111</v>
      </c>
      <c r="Z126" s="47" t="s">
        <v>110</v>
      </c>
      <c r="AA126" s="47" t="s">
        <v>110</v>
      </c>
      <c r="AB126" s="47" t="s">
        <v>115</v>
      </c>
      <c r="AC126" s="83" t="s">
        <v>110</v>
      </c>
      <c r="AD126" s="83" t="s">
        <v>137</v>
      </c>
      <c r="AE126" s="83" t="s">
        <v>118</v>
      </c>
      <c r="AF126" s="95" t="s">
        <v>110</v>
      </c>
      <c r="AG126" s="83" t="s">
        <v>168</v>
      </c>
      <c r="AH126" s="47" t="s">
        <v>110</v>
      </c>
      <c r="AI126" s="83" t="s">
        <v>128</v>
      </c>
      <c r="AJ126" s="83" t="s">
        <v>128</v>
      </c>
      <c r="AK126" s="83" t="s">
        <v>110</v>
      </c>
      <c r="AL126" s="47" t="s">
        <v>122</v>
      </c>
      <c r="AM126" s="47" t="s">
        <v>110</v>
      </c>
      <c r="AN126" s="47" t="s">
        <v>110</v>
      </c>
      <c r="AO126" s="83" t="s">
        <v>123</v>
      </c>
      <c r="AP126" s="47" t="s">
        <v>110</v>
      </c>
      <c r="AQ126" s="83" t="s">
        <v>126</v>
      </c>
      <c r="AR126" s="83" t="s">
        <v>110</v>
      </c>
      <c r="AS126" s="47" t="s">
        <v>110</v>
      </c>
      <c r="AT126" s="16" t="s">
        <v>119</v>
      </c>
      <c r="AU126" s="17" t="s">
        <v>110</v>
      </c>
      <c r="AV126" s="47" t="s">
        <v>110</v>
      </c>
      <c r="AW126" s="47" t="s">
        <v>119</v>
      </c>
      <c r="AX126" s="47" t="s">
        <v>111</v>
      </c>
      <c r="AY126" s="47" t="s">
        <v>120</v>
      </c>
      <c r="AZ126" s="83" t="s">
        <v>126</v>
      </c>
      <c r="BA126" s="83" t="s">
        <v>111</v>
      </c>
      <c r="BB126" s="83" t="s">
        <v>125</v>
      </c>
      <c r="BC126" s="83" t="s">
        <v>110</v>
      </c>
      <c r="BD126" s="95" t="s">
        <v>126</v>
      </c>
      <c r="BE126" s="83" t="s">
        <v>126</v>
      </c>
      <c r="BF126" s="83" t="s">
        <v>110</v>
      </c>
      <c r="BG126" s="47" t="s">
        <v>111</v>
      </c>
      <c r="BH126" s="83" t="s">
        <v>142</v>
      </c>
      <c r="BI126" s="47" t="s">
        <v>120</v>
      </c>
      <c r="BJ126" s="83" t="s">
        <v>129</v>
      </c>
      <c r="BK126" s="47" t="s">
        <v>110</v>
      </c>
      <c r="BL126" s="47" t="s">
        <v>126</v>
      </c>
      <c r="BM126" s="47" t="s">
        <v>127</v>
      </c>
      <c r="BN126" s="18" t="s">
        <v>111</v>
      </c>
      <c r="BO126" s="47" t="s">
        <v>115</v>
      </c>
      <c r="BP126" s="47" t="s">
        <v>120</v>
      </c>
      <c r="BQ126" s="47" t="s">
        <v>110</v>
      </c>
      <c r="BR126" s="47" t="s">
        <v>110</v>
      </c>
      <c r="BS126" s="83" t="s">
        <v>110</v>
      </c>
      <c r="BT126" s="47" t="s">
        <v>111</v>
      </c>
      <c r="BU126" s="47" t="s">
        <v>110</v>
      </c>
      <c r="BV126" s="47" t="s">
        <v>119</v>
      </c>
      <c r="BW126" s="47" t="s">
        <v>110</v>
      </c>
      <c r="BX126" s="47" t="s">
        <v>126</v>
      </c>
      <c r="BY126" s="83" t="s">
        <v>110</v>
      </c>
      <c r="BZ126" s="47" t="s">
        <v>115</v>
      </c>
      <c r="CA126" s="47" t="s">
        <v>110</v>
      </c>
      <c r="CB126" s="47" t="s">
        <v>110</v>
      </c>
      <c r="CC126" s="47" t="s">
        <v>110</v>
      </c>
      <c r="CD126" s="47" t="s">
        <v>110</v>
      </c>
      <c r="CE126" s="47" t="s">
        <v>110</v>
      </c>
      <c r="CF126" s="47" t="s">
        <v>110</v>
      </c>
      <c r="CG126" s="47" t="s">
        <v>119</v>
      </c>
      <c r="CH126" s="83" t="s">
        <v>110</v>
      </c>
      <c r="CI126" s="47" t="s">
        <v>111</v>
      </c>
      <c r="CJ126" s="47" t="s">
        <v>110</v>
      </c>
      <c r="CK126" s="47" t="s">
        <v>125</v>
      </c>
      <c r="CL126" s="47" t="s">
        <v>110</v>
      </c>
      <c r="CM126" s="47" t="s">
        <v>111</v>
      </c>
      <c r="CN126" s="50" t="s">
        <v>508</v>
      </c>
      <c r="CO126" t="s">
        <v>786</v>
      </c>
      <c r="CP126">
        <f>IFERROR(VLOOKUP(H126,'Lista Lideres'!$A$1:$B$350,2,0),0)</f>
        <v>0</v>
      </c>
    </row>
    <row r="127" spans="1:94" ht="13.8" hidden="1" x14ac:dyDescent="0.3">
      <c r="A127" s="52">
        <v>45561.749681886577</v>
      </c>
      <c r="B127" s="47" t="s">
        <v>181</v>
      </c>
      <c r="C127" s="53" t="s">
        <v>782</v>
      </c>
      <c r="D127" s="53" t="s">
        <v>93</v>
      </c>
      <c r="E127" s="53" t="s">
        <v>199</v>
      </c>
      <c r="F127" s="53" t="s">
        <v>96</v>
      </c>
      <c r="G127" s="53" t="s">
        <v>509</v>
      </c>
      <c r="H127" s="53" t="s">
        <v>510</v>
      </c>
      <c r="I127" s="53" t="s">
        <v>100</v>
      </c>
      <c r="J127" s="53" t="s">
        <v>101</v>
      </c>
      <c r="K127" s="53" t="s">
        <v>102</v>
      </c>
      <c r="L127" s="84" t="s">
        <v>150</v>
      </c>
      <c r="M127" s="8" t="s">
        <v>104</v>
      </c>
      <c r="N127" s="84" t="s">
        <v>352</v>
      </c>
      <c r="O127" s="84" t="s">
        <v>282</v>
      </c>
      <c r="P127" s="84" t="s">
        <v>175</v>
      </c>
      <c r="Q127" s="115" t="s">
        <v>108</v>
      </c>
      <c r="R127" s="84" t="s">
        <v>184</v>
      </c>
      <c r="S127" s="53" t="s">
        <v>119</v>
      </c>
      <c r="T127" s="53" t="s">
        <v>119</v>
      </c>
      <c r="U127" s="53" t="s">
        <v>119</v>
      </c>
      <c r="V127" s="84" t="s">
        <v>112</v>
      </c>
      <c r="W127" s="84" t="s">
        <v>152</v>
      </c>
      <c r="X127" s="115" t="s">
        <v>235</v>
      </c>
      <c r="Y127" s="53" t="s">
        <v>111</v>
      </c>
      <c r="Z127" s="53" t="s">
        <v>111</v>
      </c>
      <c r="AA127" s="53" t="s">
        <v>119</v>
      </c>
      <c r="AB127" s="53" t="s">
        <v>111</v>
      </c>
      <c r="AC127" s="84" t="s">
        <v>119</v>
      </c>
      <c r="AD127" s="84" t="s">
        <v>221</v>
      </c>
      <c r="AE127" s="84" t="s">
        <v>138</v>
      </c>
      <c r="AF127" s="96" t="s">
        <v>119</v>
      </c>
      <c r="AG127" s="84" t="s">
        <v>111</v>
      </c>
      <c r="AH127" s="53" t="s">
        <v>122</v>
      </c>
      <c r="AI127" s="84" t="s">
        <v>110</v>
      </c>
      <c r="AJ127" s="84" t="s">
        <v>110</v>
      </c>
      <c r="AK127" s="84" t="s">
        <v>110</v>
      </c>
      <c r="AL127" s="53" t="s">
        <v>177</v>
      </c>
      <c r="AM127" s="53" t="s">
        <v>123</v>
      </c>
      <c r="AN127" s="53" t="s">
        <v>177</v>
      </c>
      <c r="AO127" s="84" t="s">
        <v>110</v>
      </c>
      <c r="AP127" s="53" t="s">
        <v>110</v>
      </c>
      <c r="AQ127" s="84" t="s">
        <v>124</v>
      </c>
      <c r="AR127" s="84" t="s">
        <v>111</v>
      </c>
      <c r="AS127" s="53" t="s">
        <v>111</v>
      </c>
      <c r="AT127" s="9" t="s">
        <v>115</v>
      </c>
      <c r="AU127" s="10" t="s">
        <v>110</v>
      </c>
      <c r="AV127" s="53" t="s">
        <v>115</v>
      </c>
      <c r="AW127" s="53" t="s">
        <v>111</v>
      </c>
      <c r="AX127" s="53" t="s">
        <v>120</v>
      </c>
      <c r="AY127" s="53" t="s">
        <v>120</v>
      </c>
      <c r="AZ127" s="84" t="s">
        <v>125</v>
      </c>
      <c r="BA127" s="84" t="s">
        <v>111</v>
      </c>
      <c r="BB127" s="84" t="s">
        <v>126</v>
      </c>
      <c r="BC127" s="84" t="s">
        <v>110</v>
      </c>
      <c r="BD127" s="96" t="s">
        <v>124</v>
      </c>
      <c r="BE127" s="84" t="s">
        <v>126</v>
      </c>
      <c r="BF127" s="84" t="s">
        <v>110</v>
      </c>
      <c r="BG127" s="53" t="s">
        <v>119</v>
      </c>
      <c r="BH127" s="84" t="s">
        <v>125</v>
      </c>
      <c r="BI127" s="53" t="s">
        <v>111</v>
      </c>
      <c r="BJ127" s="84" t="s">
        <v>111</v>
      </c>
      <c r="BK127" s="53" t="s">
        <v>122</v>
      </c>
      <c r="BL127" s="53" t="s">
        <v>124</v>
      </c>
      <c r="BM127" s="53" t="s">
        <v>110</v>
      </c>
      <c r="BN127" s="11" t="s">
        <v>110</v>
      </c>
      <c r="BO127" s="53" t="s">
        <v>111</v>
      </c>
      <c r="BP127" s="53" t="s">
        <v>120</v>
      </c>
      <c r="BQ127" s="53" t="s">
        <v>110</v>
      </c>
      <c r="BR127" s="53" t="s">
        <v>119</v>
      </c>
      <c r="BS127" s="84" t="s">
        <v>110</v>
      </c>
      <c r="BT127" s="53" t="s">
        <v>119</v>
      </c>
      <c r="BU127" s="53" t="s">
        <v>119</v>
      </c>
      <c r="BV127" s="53" t="s">
        <v>111</v>
      </c>
      <c r="BW127" s="53" t="s">
        <v>110</v>
      </c>
      <c r="BX127" s="53" t="s">
        <v>125</v>
      </c>
      <c r="BY127" s="84" t="s">
        <v>111</v>
      </c>
      <c r="BZ127" s="53" t="s">
        <v>129</v>
      </c>
      <c r="CA127" s="53" t="s">
        <v>119</v>
      </c>
      <c r="CB127" s="53" t="s">
        <v>110</v>
      </c>
      <c r="CC127" s="53" t="s">
        <v>110</v>
      </c>
      <c r="CD127" s="53" t="s">
        <v>110</v>
      </c>
      <c r="CE127" s="53" t="s">
        <v>209</v>
      </c>
      <c r="CF127" s="53" t="s">
        <v>119</v>
      </c>
      <c r="CG127" s="53" t="s">
        <v>119</v>
      </c>
      <c r="CH127" s="84" t="s">
        <v>119</v>
      </c>
      <c r="CI127" s="53" t="s">
        <v>111</v>
      </c>
      <c r="CJ127" s="53" t="s">
        <v>110</v>
      </c>
      <c r="CK127" s="53" t="s">
        <v>124</v>
      </c>
      <c r="CL127" s="53" t="s">
        <v>119</v>
      </c>
      <c r="CM127" s="53" t="s">
        <v>110</v>
      </c>
      <c r="CN127" s="57" t="s">
        <v>511</v>
      </c>
      <c r="CO127" t="s">
        <v>786</v>
      </c>
      <c r="CP127">
        <f>IFERROR(VLOOKUP(H127,'Lista Lideres'!$A$1:$B$350,2,0),0)</f>
        <v>1</v>
      </c>
    </row>
    <row r="128" spans="1:94" ht="14.4" hidden="1" x14ac:dyDescent="0.3">
      <c r="A128" s="46">
        <v>45567.76788615741</v>
      </c>
      <c r="B128" s="47" t="s">
        <v>181</v>
      </c>
      <c r="C128" s="47" t="s">
        <v>782</v>
      </c>
      <c r="D128" s="47" t="s">
        <v>131</v>
      </c>
      <c r="E128" s="47" t="s">
        <v>304</v>
      </c>
      <c r="F128" s="47" t="s">
        <v>171</v>
      </c>
      <c r="G128" s="47" t="s">
        <v>512</v>
      </c>
      <c r="H128" s="47" t="s">
        <v>513</v>
      </c>
      <c r="I128" s="47" t="s">
        <v>100</v>
      </c>
      <c r="J128" s="47" t="s">
        <v>183</v>
      </c>
      <c r="K128" s="47" t="s">
        <v>102</v>
      </c>
      <c r="L128" s="83" t="s">
        <v>103</v>
      </c>
      <c r="M128" s="8" t="s">
        <v>104</v>
      </c>
      <c r="N128" s="83" t="s">
        <v>352</v>
      </c>
      <c r="O128" s="83" t="s">
        <v>282</v>
      </c>
      <c r="P128" s="83" t="s">
        <v>175</v>
      </c>
      <c r="Q128" s="114" t="s">
        <v>163</v>
      </c>
      <c r="R128" s="47" t="s">
        <v>164</v>
      </c>
      <c r="S128" s="47" t="s">
        <v>111</v>
      </c>
      <c r="T128" s="47" t="s">
        <v>115</v>
      </c>
      <c r="U128" s="47" t="s">
        <v>115</v>
      </c>
      <c r="V128" s="83" t="s">
        <v>136</v>
      </c>
      <c r="W128" s="83" t="s">
        <v>152</v>
      </c>
      <c r="X128" s="114" t="s">
        <v>114</v>
      </c>
      <c r="Y128" s="47" t="s">
        <v>111</v>
      </c>
      <c r="Z128" s="47" t="s">
        <v>111</v>
      </c>
      <c r="AA128" s="47" t="s">
        <v>110</v>
      </c>
      <c r="AB128" s="47" t="s">
        <v>115</v>
      </c>
      <c r="AC128" s="83" t="s">
        <v>110</v>
      </c>
      <c r="AD128" s="83" t="s">
        <v>137</v>
      </c>
      <c r="AE128" s="83" t="s">
        <v>118</v>
      </c>
      <c r="AF128" s="95" t="s">
        <v>110</v>
      </c>
      <c r="AG128" s="83" t="s">
        <v>111</v>
      </c>
      <c r="AH128" s="47" t="s">
        <v>122</v>
      </c>
      <c r="AI128" s="83" t="s">
        <v>177</v>
      </c>
      <c r="AJ128" s="83" t="s">
        <v>122</v>
      </c>
      <c r="AK128" s="83" t="s">
        <v>110</v>
      </c>
      <c r="AL128" s="47" t="s">
        <v>122</v>
      </c>
      <c r="AM128" s="47" t="s">
        <v>123</v>
      </c>
      <c r="AN128" s="47" t="s">
        <v>123</v>
      </c>
      <c r="AO128" s="83" t="s">
        <v>123</v>
      </c>
      <c r="AP128" s="47" t="s">
        <v>110</v>
      </c>
      <c r="AQ128" s="83" t="s">
        <v>124</v>
      </c>
      <c r="AR128" s="83" t="s">
        <v>111</v>
      </c>
      <c r="AS128" s="47" t="s">
        <v>119</v>
      </c>
      <c r="AT128" s="16" t="s">
        <v>111</v>
      </c>
      <c r="AU128" s="17" t="s">
        <v>111</v>
      </c>
      <c r="AV128" s="47" t="s">
        <v>111</v>
      </c>
      <c r="AW128" s="47" t="s">
        <v>111</v>
      </c>
      <c r="AX128" s="47" t="s">
        <v>120</v>
      </c>
      <c r="AY128" s="47" t="s">
        <v>120</v>
      </c>
      <c r="AZ128" s="83" t="s">
        <v>126</v>
      </c>
      <c r="BA128" s="83" t="s">
        <v>111</v>
      </c>
      <c r="BB128" s="83" t="s">
        <v>214</v>
      </c>
      <c r="BC128" s="83" t="s">
        <v>110</v>
      </c>
      <c r="BD128" s="95" t="s">
        <v>124</v>
      </c>
      <c r="BE128" s="83" t="s">
        <v>126</v>
      </c>
      <c r="BF128" s="83" t="s">
        <v>122</v>
      </c>
      <c r="BG128" s="47" t="s">
        <v>120</v>
      </c>
      <c r="BH128" s="83" t="s">
        <v>124</v>
      </c>
      <c r="BI128" s="47" t="s">
        <v>111</v>
      </c>
      <c r="BJ128" s="83" t="s">
        <v>111</v>
      </c>
      <c r="BK128" s="47" t="s">
        <v>122</v>
      </c>
      <c r="BL128" s="47" t="s">
        <v>126</v>
      </c>
      <c r="BM128" s="47" t="s">
        <v>110</v>
      </c>
      <c r="BN128" s="18" t="s">
        <v>111</v>
      </c>
      <c r="BO128" s="47" t="s">
        <v>111</v>
      </c>
      <c r="BP128" s="47" t="s">
        <v>120</v>
      </c>
      <c r="BQ128" s="47" t="s">
        <v>115</v>
      </c>
      <c r="BR128" s="47" t="s">
        <v>115</v>
      </c>
      <c r="BS128" s="83" t="s">
        <v>115</v>
      </c>
      <c r="BT128" s="47" t="s">
        <v>115</v>
      </c>
      <c r="BU128" s="47" t="s">
        <v>115</v>
      </c>
      <c r="BV128" s="47" t="s">
        <v>111</v>
      </c>
      <c r="BW128" s="47" t="s">
        <v>123</v>
      </c>
      <c r="BX128" s="47" t="s">
        <v>125</v>
      </c>
      <c r="BY128" s="83" t="s">
        <v>110</v>
      </c>
      <c r="BZ128" s="47" t="s">
        <v>115</v>
      </c>
      <c r="CA128" s="47" t="s">
        <v>111</v>
      </c>
      <c r="CB128" s="47" t="s">
        <v>119</v>
      </c>
      <c r="CC128" s="47" t="s">
        <v>115</v>
      </c>
      <c r="CD128" s="47" t="s">
        <v>115</v>
      </c>
      <c r="CE128" s="47" t="s">
        <v>209</v>
      </c>
      <c r="CF128" s="47" t="s">
        <v>115</v>
      </c>
      <c r="CG128" s="47" t="s">
        <v>129</v>
      </c>
      <c r="CH128" s="83" t="s">
        <v>119</v>
      </c>
      <c r="CI128" s="47" t="s">
        <v>110</v>
      </c>
      <c r="CJ128" s="47" t="s">
        <v>111</v>
      </c>
      <c r="CK128" s="47" t="s">
        <v>124</v>
      </c>
      <c r="CL128" s="47" t="s">
        <v>111</v>
      </c>
      <c r="CM128" s="47" t="s">
        <v>111</v>
      </c>
      <c r="CN128" s="49"/>
      <c r="CO128" t="s">
        <v>786</v>
      </c>
      <c r="CP128">
        <f>IFERROR(VLOOKUP(H128,'Lista Lideres'!$A$1:$B$350,2,0),0)</f>
        <v>1</v>
      </c>
    </row>
    <row r="129" spans="1:94" ht="14.4" hidden="1" x14ac:dyDescent="0.3">
      <c r="A129" s="52">
        <v>45562.09970658565</v>
      </c>
      <c r="B129" s="47" t="s">
        <v>181</v>
      </c>
      <c r="C129" s="53" t="s">
        <v>782</v>
      </c>
      <c r="D129" s="53" t="s">
        <v>131</v>
      </c>
      <c r="E129" s="53" t="s">
        <v>304</v>
      </c>
      <c r="F129" s="53" t="s">
        <v>171</v>
      </c>
      <c r="G129" s="53" t="s">
        <v>514</v>
      </c>
      <c r="H129" s="53" t="s">
        <v>515</v>
      </c>
      <c r="I129" s="53" t="s">
        <v>100</v>
      </c>
      <c r="J129" s="53" t="s">
        <v>101</v>
      </c>
      <c r="K129" s="53" t="s">
        <v>102</v>
      </c>
      <c r="L129" s="84" t="s">
        <v>162</v>
      </c>
      <c r="M129" s="8" t="s">
        <v>104</v>
      </c>
      <c r="N129" s="84" t="s">
        <v>352</v>
      </c>
      <c r="O129" s="84" t="s">
        <v>282</v>
      </c>
      <c r="P129" s="84" t="s">
        <v>175</v>
      </c>
      <c r="Q129" s="115" t="s">
        <v>163</v>
      </c>
      <c r="R129" s="53" t="s">
        <v>109</v>
      </c>
      <c r="S129" s="53" t="s">
        <v>110</v>
      </c>
      <c r="T129" s="53" t="s">
        <v>110</v>
      </c>
      <c r="U129" s="53" t="s">
        <v>110</v>
      </c>
      <c r="V129" s="84" t="s">
        <v>126</v>
      </c>
      <c r="W129" s="84" t="s">
        <v>363</v>
      </c>
      <c r="X129" s="115" t="s">
        <v>235</v>
      </c>
      <c r="Y129" s="53" t="s">
        <v>111</v>
      </c>
      <c r="Z129" s="53" t="s">
        <v>111</v>
      </c>
      <c r="AA129" s="53" t="s">
        <v>111</v>
      </c>
      <c r="AB129" s="53" t="s">
        <v>110</v>
      </c>
      <c r="AC129" s="84" t="s">
        <v>111</v>
      </c>
      <c r="AD129" s="84" t="s">
        <v>117</v>
      </c>
      <c r="AE129" s="84" t="s">
        <v>167</v>
      </c>
      <c r="AF129" s="96" t="s">
        <v>110</v>
      </c>
      <c r="AG129" s="84" t="s">
        <v>111</v>
      </c>
      <c r="AH129" s="53" t="s">
        <v>110</v>
      </c>
      <c r="AI129" s="84" t="s">
        <v>110</v>
      </c>
      <c r="AJ129" s="84" t="s">
        <v>110</v>
      </c>
      <c r="AK129" s="84" t="s">
        <v>110</v>
      </c>
      <c r="AL129" s="53" t="s">
        <v>110</v>
      </c>
      <c r="AM129" s="53" t="s">
        <v>110</v>
      </c>
      <c r="AN129" s="53" t="s">
        <v>110</v>
      </c>
      <c r="AO129" s="84" t="s">
        <v>110</v>
      </c>
      <c r="AP129" s="53" t="s">
        <v>123</v>
      </c>
      <c r="AQ129" s="84" t="s">
        <v>124</v>
      </c>
      <c r="AR129" s="84" t="s">
        <v>111</v>
      </c>
      <c r="AS129" s="53" t="s">
        <v>110</v>
      </c>
      <c r="AT129" s="9" t="s">
        <v>111</v>
      </c>
      <c r="AU129" s="10" t="s">
        <v>111</v>
      </c>
      <c r="AV129" s="53" t="s">
        <v>110</v>
      </c>
      <c r="AW129" s="53" t="s">
        <v>111</v>
      </c>
      <c r="AX129" s="53" t="s">
        <v>111</v>
      </c>
      <c r="AY129" s="53" t="s">
        <v>111</v>
      </c>
      <c r="AZ129" s="84" t="s">
        <v>124</v>
      </c>
      <c r="BA129" s="84" t="s">
        <v>110</v>
      </c>
      <c r="BB129" s="84" t="s">
        <v>126</v>
      </c>
      <c r="BC129" s="84" t="s">
        <v>110</v>
      </c>
      <c r="BD129" s="96" t="s">
        <v>126</v>
      </c>
      <c r="BE129" s="84" t="s">
        <v>126</v>
      </c>
      <c r="BF129" s="84" t="s">
        <v>110</v>
      </c>
      <c r="BG129" s="53" t="s">
        <v>110</v>
      </c>
      <c r="BH129" s="84" t="s">
        <v>126</v>
      </c>
      <c r="BI129" s="53" t="s">
        <v>110</v>
      </c>
      <c r="BJ129" s="84" t="s">
        <v>110</v>
      </c>
      <c r="BK129" s="53" t="s">
        <v>122</v>
      </c>
      <c r="BL129" s="53" t="s">
        <v>124</v>
      </c>
      <c r="BM129" s="53" t="s">
        <v>127</v>
      </c>
      <c r="BN129" s="11" t="s">
        <v>111</v>
      </c>
      <c r="BO129" s="53" t="s">
        <v>110</v>
      </c>
      <c r="BP129" s="53" t="s">
        <v>110</v>
      </c>
      <c r="BQ129" s="53" t="s">
        <v>110</v>
      </c>
      <c r="BR129" s="53" t="s">
        <v>110</v>
      </c>
      <c r="BS129" s="84" t="s">
        <v>110</v>
      </c>
      <c r="BT129" s="53" t="s">
        <v>110</v>
      </c>
      <c r="BU129" s="53" t="s">
        <v>110</v>
      </c>
      <c r="BV129" s="53" t="s">
        <v>111</v>
      </c>
      <c r="BW129" s="53" t="s">
        <v>128</v>
      </c>
      <c r="BX129" s="53" t="s">
        <v>125</v>
      </c>
      <c r="BY129" s="84" t="s">
        <v>111</v>
      </c>
      <c r="BZ129" s="53" t="s">
        <v>111</v>
      </c>
      <c r="CA129" s="53" t="s">
        <v>110</v>
      </c>
      <c r="CB129" s="53" t="s">
        <v>119</v>
      </c>
      <c r="CC129" s="53" t="s">
        <v>110</v>
      </c>
      <c r="CD129" s="53" t="s">
        <v>110</v>
      </c>
      <c r="CE129" s="53" t="s">
        <v>110</v>
      </c>
      <c r="CF129" s="53" t="s">
        <v>110</v>
      </c>
      <c r="CG129" s="53" t="s">
        <v>110</v>
      </c>
      <c r="CH129" s="84" t="s">
        <v>110</v>
      </c>
      <c r="CI129" s="53" t="s">
        <v>110</v>
      </c>
      <c r="CJ129" s="53" t="s">
        <v>110</v>
      </c>
      <c r="CK129" s="53" t="s">
        <v>126</v>
      </c>
      <c r="CL129" s="53" t="s">
        <v>110</v>
      </c>
      <c r="CM129" s="53" t="s">
        <v>110</v>
      </c>
      <c r="CN129" s="56"/>
      <c r="CO129" t="s">
        <v>786</v>
      </c>
      <c r="CP129">
        <f>IFERROR(VLOOKUP(H129,'Lista Lideres'!$A$1:$B$350,2,0),0)</f>
        <v>0</v>
      </c>
    </row>
    <row r="130" spans="1:94" ht="13.8" hidden="1" x14ac:dyDescent="0.3">
      <c r="A130" s="46">
        <v>45561.72834666667</v>
      </c>
      <c r="B130" s="47" t="s">
        <v>181</v>
      </c>
      <c r="C130" s="47" t="s">
        <v>782</v>
      </c>
      <c r="D130" s="47" t="s">
        <v>93</v>
      </c>
      <c r="E130" s="47" t="s">
        <v>304</v>
      </c>
      <c r="F130" s="47" t="s">
        <v>97</v>
      </c>
      <c r="G130" s="47" t="s">
        <v>516</v>
      </c>
      <c r="H130" s="47" t="s">
        <v>341</v>
      </c>
      <c r="I130" s="47" t="s">
        <v>195</v>
      </c>
      <c r="J130" s="47" t="s">
        <v>183</v>
      </c>
      <c r="K130" s="47" t="s">
        <v>102</v>
      </c>
      <c r="L130" s="83" t="s">
        <v>213</v>
      </c>
      <c r="M130" s="8" t="s">
        <v>104</v>
      </c>
      <c r="N130" s="83" t="s">
        <v>352</v>
      </c>
      <c r="O130" s="83" t="s">
        <v>282</v>
      </c>
      <c r="P130" s="83" t="s">
        <v>107</v>
      </c>
      <c r="Q130" s="114" t="s">
        <v>163</v>
      </c>
      <c r="R130" s="83" t="s">
        <v>184</v>
      </c>
      <c r="S130" s="47" t="s">
        <v>111</v>
      </c>
      <c r="T130" s="47" t="s">
        <v>111</v>
      </c>
      <c r="U130" s="47" t="s">
        <v>111</v>
      </c>
      <c r="V130" s="83" t="s">
        <v>320</v>
      </c>
      <c r="W130" s="83" t="s">
        <v>363</v>
      </c>
      <c r="X130" s="114" t="s">
        <v>153</v>
      </c>
      <c r="Y130" s="47" t="s">
        <v>111</v>
      </c>
      <c r="Z130" s="47" t="s">
        <v>115</v>
      </c>
      <c r="AA130" s="47" t="s">
        <v>115</v>
      </c>
      <c r="AB130" s="47" t="s">
        <v>115</v>
      </c>
      <c r="AC130" s="83" t="s">
        <v>110</v>
      </c>
      <c r="AD130" s="83" t="s">
        <v>137</v>
      </c>
      <c r="AE130" s="83" t="s">
        <v>167</v>
      </c>
      <c r="AF130" s="95" t="s">
        <v>120</v>
      </c>
      <c r="AG130" s="83" t="s">
        <v>111</v>
      </c>
      <c r="AH130" s="47" t="s">
        <v>121</v>
      </c>
      <c r="AI130" s="83" t="s">
        <v>154</v>
      </c>
      <c r="AJ130" s="83" t="s">
        <v>197</v>
      </c>
      <c r="AK130" s="83" t="s">
        <v>225</v>
      </c>
      <c r="AL130" s="47" t="s">
        <v>110</v>
      </c>
      <c r="AM130" s="47" t="s">
        <v>121</v>
      </c>
      <c r="AN130" s="47" t="s">
        <v>121</v>
      </c>
      <c r="AO130" s="83" t="s">
        <v>121</v>
      </c>
      <c r="AP130" s="47" t="s">
        <v>121</v>
      </c>
      <c r="AQ130" s="83" t="s">
        <v>142</v>
      </c>
      <c r="AR130" s="83" t="s">
        <v>129</v>
      </c>
      <c r="AS130" s="47" t="s">
        <v>111</v>
      </c>
      <c r="AT130" s="16" t="s">
        <v>119</v>
      </c>
      <c r="AU130" s="17" t="s">
        <v>119</v>
      </c>
      <c r="AV130" s="47" t="s">
        <v>119</v>
      </c>
      <c r="AW130" s="47" t="s">
        <v>119</v>
      </c>
      <c r="AX130" s="47" t="s">
        <v>119</v>
      </c>
      <c r="AY130" s="47" t="s">
        <v>119</v>
      </c>
      <c r="AZ130" s="83" t="s">
        <v>125</v>
      </c>
      <c r="BA130" s="83" t="s">
        <v>111</v>
      </c>
      <c r="BB130" s="83" t="s">
        <v>139</v>
      </c>
      <c r="BC130" s="83" t="s">
        <v>111</v>
      </c>
      <c r="BD130" s="95" t="s">
        <v>142</v>
      </c>
      <c r="BE130" s="83" t="s">
        <v>140</v>
      </c>
      <c r="BF130" s="83" t="s">
        <v>141</v>
      </c>
      <c r="BG130" s="47" t="s">
        <v>120</v>
      </c>
      <c r="BH130" s="83" t="s">
        <v>142</v>
      </c>
      <c r="BI130" s="47" t="s">
        <v>120</v>
      </c>
      <c r="BJ130" s="83" t="s">
        <v>110</v>
      </c>
      <c r="BK130" s="47" t="s">
        <v>128</v>
      </c>
      <c r="BL130" s="47" t="s">
        <v>125</v>
      </c>
      <c r="BM130" s="47" t="s">
        <v>110</v>
      </c>
      <c r="BN130" s="18" t="s">
        <v>115</v>
      </c>
      <c r="BO130" s="47" t="s">
        <v>115</v>
      </c>
      <c r="BP130" s="47" t="s">
        <v>120</v>
      </c>
      <c r="BQ130" s="47" t="s">
        <v>111</v>
      </c>
      <c r="BR130" s="47" t="s">
        <v>111</v>
      </c>
      <c r="BS130" s="83" t="s">
        <v>110</v>
      </c>
      <c r="BT130" s="47" t="s">
        <v>110</v>
      </c>
      <c r="BU130" s="47" t="s">
        <v>111</v>
      </c>
      <c r="BV130" s="47" t="s">
        <v>110</v>
      </c>
      <c r="BW130" s="47" t="s">
        <v>110</v>
      </c>
      <c r="BX130" s="47" t="s">
        <v>126</v>
      </c>
      <c r="BY130" s="83" t="s">
        <v>111</v>
      </c>
      <c r="BZ130" s="47" t="s">
        <v>115</v>
      </c>
      <c r="CA130" s="47" t="s">
        <v>110</v>
      </c>
      <c r="CB130" s="47" t="s">
        <v>119</v>
      </c>
      <c r="CC130" s="47" t="s">
        <v>110</v>
      </c>
      <c r="CD130" s="47" t="s">
        <v>110</v>
      </c>
      <c r="CE130" s="47" t="s">
        <v>127</v>
      </c>
      <c r="CF130" s="47" t="s">
        <v>110</v>
      </c>
      <c r="CG130" s="47" t="s">
        <v>110</v>
      </c>
      <c r="CH130" s="83" t="s">
        <v>110</v>
      </c>
      <c r="CI130" s="47" t="s">
        <v>115</v>
      </c>
      <c r="CJ130" s="47" t="s">
        <v>119</v>
      </c>
      <c r="CK130" s="47" t="s">
        <v>126</v>
      </c>
      <c r="CL130" s="47" t="s">
        <v>110</v>
      </c>
      <c r="CM130" s="47" t="s">
        <v>120</v>
      </c>
      <c r="CN130" s="50" t="s">
        <v>517</v>
      </c>
      <c r="CO130" t="s">
        <v>786</v>
      </c>
      <c r="CP130">
        <f>IFERROR(VLOOKUP(H130,'Lista Lideres'!$A$1:$B$350,2,0),0)</f>
        <v>0</v>
      </c>
    </row>
    <row r="131" spans="1:94" ht="14.4" hidden="1" x14ac:dyDescent="0.3">
      <c r="A131" s="46">
        <v>45574.827377743059</v>
      </c>
      <c r="B131" s="47" t="s">
        <v>181</v>
      </c>
      <c r="C131" s="47" t="s">
        <v>782</v>
      </c>
      <c r="D131" s="47" t="s">
        <v>93</v>
      </c>
      <c r="E131" s="47" t="s">
        <v>304</v>
      </c>
      <c r="F131" s="47" t="s">
        <v>171</v>
      </c>
      <c r="G131" s="47" t="s">
        <v>518</v>
      </c>
      <c r="H131" s="47" t="s">
        <v>519</v>
      </c>
      <c r="I131" s="47" t="s">
        <v>100</v>
      </c>
      <c r="J131" s="47" t="s">
        <v>183</v>
      </c>
      <c r="K131" s="47" t="s">
        <v>102</v>
      </c>
      <c r="L131" s="83" t="s">
        <v>103</v>
      </c>
      <c r="M131" s="8" t="s">
        <v>104</v>
      </c>
      <c r="N131" s="83" t="s">
        <v>352</v>
      </c>
      <c r="O131" s="83" t="s">
        <v>282</v>
      </c>
      <c r="P131" s="83" t="s">
        <v>107</v>
      </c>
      <c r="Q131" s="114" t="s">
        <v>163</v>
      </c>
      <c r="R131" s="47" t="s">
        <v>109</v>
      </c>
      <c r="S131" s="47" t="s">
        <v>110</v>
      </c>
      <c r="T131" s="47" t="s">
        <v>111</v>
      </c>
      <c r="U131" s="47" t="s">
        <v>110</v>
      </c>
      <c r="V131" s="83" t="s">
        <v>112</v>
      </c>
      <c r="W131" s="83" t="s">
        <v>113</v>
      </c>
      <c r="X131" s="114" t="s">
        <v>114</v>
      </c>
      <c r="Y131" s="47" t="s">
        <v>111</v>
      </c>
      <c r="Z131" s="47" t="s">
        <v>111</v>
      </c>
      <c r="AA131" s="47" t="s">
        <v>111</v>
      </c>
      <c r="AB131" s="47" t="s">
        <v>110</v>
      </c>
      <c r="AC131" s="83" t="s">
        <v>116</v>
      </c>
      <c r="AD131" s="83" t="s">
        <v>137</v>
      </c>
      <c r="AE131" s="83" t="s">
        <v>138</v>
      </c>
      <c r="AF131" s="95" t="s">
        <v>110</v>
      </c>
      <c r="AG131" s="83" t="s">
        <v>110</v>
      </c>
      <c r="AH131" s="47" t="s">
        <v>110</v>
      </c>
      <c r="AI131" s="83" t="s">
        <v>110</v>
      </c>
      <c r="AJ131" s="83" t="s">
        <v>110</v>
      </c>
      <c r="AK131" s="83" t="s">
        <v>110</v>
      </c>
      <c r="AL131" s="47" t="s">
        <v>110</v>
      </c>
      <c r="AM131" s="47" t="s">
        <v>110</v>
      </c>
      <c r="AN131" s="47" t="s">
        <v>110</v>
      </c>
      <c r="AO131" s="83" t="s">
        <v>110</v>
      </c>
      <c r="AP131" s="47" t="s">
        <v>110</v>
      </c>
      <c r="AQ131" s="83" t="s">
        <v>126</v>
      </c>
      <c r="AR131" s="83" t="s">
        <v>110</v>
      </c>
      <c r="AS131" s="47" t="s">
        <v>110</v>
      </c>
      <c r="AT131" s="16" t="s">
        <v>119</v>
      </c>
      <c r="AU131" s="17" t="s">
        <v>110</v>
      </c>
      <c r="AV131" s="47" t="s">
        <v>110</v>
      </c>
      <c r="AW131" s="47" t="s">
        <v>119</v>
      </c>
      <c r="AX131" s="47" t="s">
        <v>110</v>
      </c>
      <c r="AY131" s="47" t="s">
        <v>111</v>
      </c>
      <c r="AZ131" s="83" t="s">
        <v>125</v>
      </c>
      <c r="BA131" s="83" t="s">
        <v>110</v>
      </c>
      <c r="BB131" s="83" t="s">
        <v>126</v>
      </c>
      <c r="BC131" s="83" t="s">
        <v>110</v>
      </c>
      <c r="BD131" s="95" t="s">
        <v>126</v>
      </c>
      <c r="BE131" s="83" t="s">
        <v>126</v>
      </c>
      <c r="BF131" s="83" t="s">
        <v>110</v>
      </c>
      <c r="BG131" s="47" t="s">
        <v>110</v>
      </c>
      <c r="BH131" s="83" t="s">
        <v>126</v>
      </c>
      <c r="BI131" s="47" t="s">
        <v>110</v>
      </c>
      <c r="BJ131" s="83" t="s">
        <v>110</v>
      </c>
      <c r="BK131" s="47" t="s">
        <v>110</v>
      </c>
      <c r="BL131" s="47" t="s">
        <v>126</v>
      </c>
      <c r="BM131" s="47" t="s">
        <v>110</v>
      </c>
      <c r="BN131" s="18" t="s">
        <v>110</v>
      </c>
      <c r="BO131" s="47" t="s">
        <v>110</v>
      </c>
      <c r="BP131" s="47" t="s">
        <v>120</v>
      </c>
      <c r="BQ131" s="47" t="s">
        <v>110</v>
      </c>
      <c r="BR131" s="47" t="s">
        <v>110</v>
      </c>
      <c r="BS131" s="83" t="s">
        <v>111</v>
      </c>
      <c r="BT131" s="47" t="s">
        <v>111</v>
      </c>
      <c r="BU131" s="47" t="s">
        <v>119</v>
      </c>
      <c r="BV131" s="47" t="s">
        <v>110</v>
      </c>
      <c r="BW131" s="47" t="s">
        <v>110</v>
      </c>
      <c r="BX131" s="47" t="s">
        <v>126</v>
      </c>
      <c r="BY131" s="83" t="s">
        <v>110</v>
      </c>
      <c r="BZ131" s="47" t="s">
        <v>115</v>
      </c>
      <c r="CA131" s="47" t="s">
        <v>110</v>
      </c>
      <c r="CB131" s="47" t="s">
        <v>119</v>
      </c>
      <c r="CC131" s="47" t="s">
        <v>110</v>
      </c>
      <c r="CD131" s="47" t="s">
        <v>110</v>
      </c>
      <c r="CE131" s="47" t="s">
        <v>110</v>
      </c>
      <c r="CF131" s="47" t="s">
        <v>110</v>
      </c>
      <c r="CG131" s="47" t="s">
        <v>119</v>
      </c>
      <c r="CH131" s="83" t="s">
        <v>110</v>
      </c>
      <c r="CI131" s="47" t="s">
        <v>110</v>
      </c>
      <c r="CJ131" s="47" t="s">
        <v>129</v>
      </c>
      <c r="CK131" s="47" t="s">
        <v>126</v>
      </c>
      <c r="CL131" s="47" t="s">
        <v>110</v>
      </c>
      <c r="CM131" s="47" t="s">
        <v>110</v>
      </c>
      <c r="CN131" s="49"/>
      <c r="CO131" t="s">
        <v>786</v>
      </c>
      <c r="CP131">
        <f>IFERROR(VLOOKUP(H131,'Lista Lideres'!$A$1:$B$350,2,0),0)</f>
        <v>1</v>
      </c>
    </row>
    <row r="132" spans="1:94" ht="14.4" hidden="1" x14ac:dyDescent="0.3">
      <c r="A132" s="6">
        <v>45570.995553912042</v>
      </c>
      <c r="B132" s="14" t="s">
        <v>91</v>
      </c>
      <c r="C132" s="7" t="s">
        <v>783</v>
      </c>
      <c r="D132" s="7" t="s">
        <v>93</v>
      </c>
      <c r="E132" s="7" t="s">
        <v>527</v>
      </c>
      <c r="F132" s="7" t="s">
        <v>96</v>
      </c>
      <c r="G132" s="7" t="s">
        <v>528</v>
      </c>
      <c r="H132" s="7" t="s">
        <v>528</v>
      </c>
      <c r="I132" s="7" t="s">
        <v>149</v>
      </c>
      <c r="J132" s="7" t="s">
        <v>196</v>
      </c>
      <c r="K132" s="7" t="s">
        <v>191</v>
      </c>
      <c r="L132" s="75" t="s">
        <v>150</v>
      </c>
      <c r="M132" s="8" t="s">
        <v>104</v>
      </c>
      <c r="N132" s="75" t="s">
        <v>388</v>
      </c>
      <c r="O132" s="75" t="s">
        <v>282</v>
      </c>
      <c r="P132" s="75" t="s">
        <v>175</v>
      </c>
      <c r="Q132" s="106" t="s">
        <v>108</v>
      </c>
      <c r="R132" s="7" t="s">
        <v>109</v>
      </c>
      <c r="S132" s="7" t="s">
        <v>111</v>
      </c>
      <c r="T132" s="7" t="s">
        <v>110</v>
      </c>
      <c r="U132" s="7" t="s">
        <v>119</v>
      </c>
      <c r="V132" s="75" t="s">
        <v>112</v>
      </c>
      <c r="W132" s="75" t="s">
        <v>152</v>
      </c>
      <c r="X132" s="106" t="s">
        <v>153</v>
      </c>
      <c r="Y132" s="71" t="s">
        <v>111</v>
      </c>
      <c r="Z132" s="7" t="s">
        <v>111</v>
      </c>
      <c r="AA132" s="7" t="s">
        <v>111</v>
      </c>
      <c r="AB132" s="7" t="s">
        <v>110</v>
      </c>
      <c r="AC132" s="75" t="s">
        <v>111</v>
      </c>
      <c r="AD132" s="75" t="s">
        <v>137</v>
      </c>
      <c r="AE132" s="75" t="s">
        <v>118</v>
      </c>
      <c r="AF132" s="87" t="s">
        <v>111</v>
      </c>
      <c r="AG132" s="75" t="s">
        <v>110</v>
      </c>
      <c r="AH132" s="7" t="s">
        <v>128</v>
      </c>
      <c r="AI132" s="75" t="s">
        <v>154</v>
      </c>
      <c r="AJ132" s="75" t="s">
        <v>197</v>
      </c>
      <c r="AK132" s="75" t="s">
        <v>225</v>
      </c>
      <c r="AL132" s="7" t="s">
        <v>110</v>
      </c>
      <c r="AM132" s="7" t="s">
        <v>128</v>
      </c>
      <c r="AN132" s="7" t="s">
        <v>123</v>
      </c>
      <c r="AO132" s="75" t="s">
        <v>110</v>
      </c>
      <c r="AP132" s="7" t="s">
        <v>110</v>
      </c>
      <c r="AQ132" s="75" t="s">
        <v>126</v>
      </c>
      <c r="AR132" s="75" t="s">
        <v>110</v>
      </c>
      <c r="AS132" s="7" t="s">
        <v>110</v>
      </c>
      <c r="AT132" s="9" t="s">
        <v>110</v>
      </c>
      <c r="AU132" s="10" t="s">
        <v>110</v>
      </c>
      <c r="AV132" s="7" t="s">
        <v>119</v>
      </c>
      <c r="AW132" s="7" t="s">
        <v>119</v>
      </c>
      <c r="AX132" s="7" t="s">
        <v>119</v>
      </c>
      <c r="AY132" s="7" t="s">
        <v>111</v>
      </c>
      <c r="AZ132" s="75" t="s">
        <v>126</v>
      </c>
      <c r="BA132" s="75" t="s">
        <v>111</v>
      </c>
      <c r="BB132" s="75" t="s">
        <v>139</v>
      </c>
      <c r="BC132" s="75" t="s">
        <v>111</v>
      </c>
      <c r="BD132" s="87" t="s">
        <v>125</v>
      </c>
      <c r="BE132" s="75" t="s">
        <v>140</v>
      </c>
      <c r="BF132" s="75" t="s">
        <v>141</v>
      </c>
      <c r="BG132" s="7" t="s">
        <v>110</v>
      </c>
      <c r="BH132" s="75" t="s">
        <v>125</v>
      </c>
      <c r="BI132" s="7" t="s">
        <v>111</v>
      </c>
      <c r="BJ132" s="75" t="s">
        <v>168</v>
      </c>
      <c r="BK132" s="7" t="s">
        <v>128</v>
      </c>
      <c r="BL132" s="7" t="s">
        <v>125</v>
      </c>
      <c r="BM132" s="7" t="s">
        <v>127</v>
      </c>
      <c r="BN132" s="11" t="s">
        <v>110</v>
      </c>
      <c r="BO132" s="7" t="s">
        <v>110</v>
      </c>
      <c r="BP132" s="7" t="s">
        <v>111</v>
      </c>
      <c r="BQ132" s="7" t="s">
        <v>110</v>
      </c>
      <c r="BR132" s="7" t="s">
        <v>110</v>
      </c>
      <c r="BS132" s="75" t="s">
        <v>111</v>
      </c>
      <c r="BT132" s="7" t="s">
        <v>111</v>
      </c>
      <c r="BU132" s="7" t="s">
        <v>110</v>
      </c>
      <c r="BV132" s="7" t="s">
        <v>110</v>
      </c>
      <c r="BW132" s="7" t="s">
        <v>110</v>
      </c>
      <c r="BX132" s="7" t="s">
        <v>125</v>
      </c>
      <c r="BY132" s="75" t="s">
        <v>111</v>
      </c>
      <c r="BZ132" s="7" t="s">
        <v>119</v>
      </c>
      <c r="CA132" s="7" t="s">
        <v>110</v>
      </c>
      <c r="CB132" s="7" t="s">
        <v>110</v>
      </c>
      <c r="CC132" s="7" t="s">
        <v>110</v>
      </c>
      <c r="CD132" s="7" t="s">
        <v>110</v>
      </c>
      <c r="CE132" s="7" t="s">
        <v>110</v>
      </c>
      <c r="CF132" s="7" t="s">
        <v>110</v>
      </c>
      <c r="CG132" s="7" t="s">
        <v>119</v>
      </c>
      <c r="CH132" s="75" t="s">
        <v>110</v>
      </c>
      <c r="CI132" s="7" t="s">
        <v>111</v>
      </c>
      <c r="CJ132" s="7" t="s">
        <v>119</v>
      </c>
      <c r="CK132" s="7" t="s">
        <v>125</v>
      </c>
      <c r="CL132" s="7" t="s">
        <v>110</v>
      </c>
      <c r="CM132" s="7" t="s">
        <v>119</v>
      </c>
      <c r="CN132" s="60"/>
      <c r="CO132" t="s">
        <v>785</v>
      </c>
      <c r="CP132">
        <f>IFERROR(VLOOKUP(H132,'Lista Lideres'!$A$1:$B$350,2,0),0)</f>
        <v>0</v>
      </c>
    </row>
    <row r="133" spans="1:94" ht="14.4" hidden="1" x14ac:dyDescent="0.3">
      <c r="A133" s="13">
        <v>45594.823648032412</v>
      </c>
      <c r="B133" s="14" t="s">
        <v>91</v>
      </c>
      <c r="C133" s="14" t="s">
        <v>783</v>
      </c>
      <c r="D133" s="14" t="s">
        <v>93</v>
      </c>
      <c r="E133" s="14" t="s">
        <v>529</v>
      </c>
      <c r="F133" s="14" t="s">
        <v>96</v>
      </c>
      <c r="G133" s="14" t="s">
        <v>530</v>
      </c>
      <c r="H133" s="14" t="s">
        <v>531</v>
      </c>
      <c r="I133" s="14" t="s">
        <v>190</v>
      </c>
      <c r="J133" s="14" t="s">
        <v>183</v>
      </c>
      <c r="K133" s="14" t="s">
        <v>102</v>
      </c>
      <c r="L133" s="76" t="s">
        <v>103</v>
      </c>
      <c r="M133" s="8" t="s">
        <v>104</v>
      </c>
      <c r="N133" s="76" t="s">
        <v>388</v>
      </c>
      <c r="O133" s="76" t="s">
        <v>106</v>
      </c>
      <c r="P133" s="76" t="s">
        <v>107</v>
      </c>
      <c r="Q133" s="107" t="s">
        <v>108</v>
      </c>
      <c r="R133" s="14" t="s">
        <v>176</v>
      </c>
      <c r="S133" s="14" t="s">
        <v>110</v>
      </c>
      <c r="T133" s="14" t="s">
        <v>119</v>
      </c>
      <c r="U133" s="14" t="s">
        <v>119</v>
      </c>
      <c r="V133" s="76" t="s">
        <v>112</v>
      </c>
      <c r="W133" s="76" t="s">
        <v>113</v>
      </c>
      <c r="X133" s="107" t="s">
        <v>165</v>
      </c>
      <c r="Y133" s="72" t="s">
        <v>115</v>
      </c>
      <c r="Z133" s="14" t="s">
        <v>168</v>
      </c>
      <c r="AA133" s="14" t="s">
        <v>168</v>
      </c>
      <c r="AB133" s="14" t="s">
        <v>115</v>
      </c>
      <c r="AC133" s="76" t="s">
        <v>110</v>
      </c>
      <c r="AD133" s="76" t="s">
        <v>117</v>
      </c>
      <c r="AE133" s="76" t="s">
        <v>118</v>
      </c>
      <c r="AF133" s="88" t="s">
        <v>110</v>
      </c>
      <c r="AG133" s="76" t="s">
        <v>120</v>
      </c>
      <c r="AH133" s="14" t="s">
        <v>110</v>
      </c>
      <c r="AI133" s="76" t="s">
        <v>121</v>
      </c>
      <c r="AJ133" s="76" t="s">
        <v>122</v>
      </c>
      <c r="AK133" s="76" t="s">
        <v>121</v>
      </c>
      <c r="AL133" s="14" t="s">
        <v>110</v>
      </c>
      <c r="AM133" s="14" t="s">
        <v>123</v>
      </c>
      <c r="AN133" s="14" t="s">
        <v>110</v>
      </c>
      <c r="AO133" s="76" t="s">
        <v>110</v>
      </c>
      <c r="AP133" s="14" t="s">
        <v>110</v>
      </c>
      <c r="AQ133" s="76" t="s">
        <v>126</v>
      </c>
      <c r="AR133" s="76" t="s">
        <v>110</v>
      </c>
      <c r="AS133" s="14" t="s">
        <v>111</v>
      </c>
      <c r="AT133" s="16" t="s">
        <v>129</v>
      </c>
      <c r="AU133" s="17" t="s">
        <v>115</v>
      </c>
      <c r="AV133" s="14" t="s">
        <v>129</v>
      </c>
      <c r="AW133" s="14" t="s">
        <v>129</v>
      </c>
      <c r="AX133" s="14" t="s">
        <v>110</v>
      </c>
      <c r="AY133" s="14" t="s">
        <v>120</v>
      </c>
      <c r="AZ133" s="76" t="s">
        <v>126</v>
      </c>
      <c r="BA133" s="76" t="s">
        <v>120</v>
      </c>
      <c r="BB133" s="76" t="s">
        <v>142</v>
      </c>
      <c r="BC133" s="76" t="s">
        <v>111</v>
      </c>
      <c r="BD133" s="88" t="s">
        <v>126</v>
      </c>
      <c r="BE133" s="76" t="s">
        <v>124</v>
      </c>
      <c r="BF133" s="76" t="s">
        <v>122</v>
      </c>
      <c r="BG133" s="14" t="s">
        <v>110</v>
      </c>
      <c r="BH133" s="76" t="s">
        <v>142</v>
      </c>
      <c r="BI133" s="14" t="s">
        <v>120</v>
      </c>
      <c r="BJ133" s="76" t="s">
        <v>110</v>
      </c>
      <c r="BK133" s="14" t="s">
        <v>110</v>
      </c>
      <c r="BL133" s="14" t="s">
        <v>126</v>
      </c>
      <c r="BM133" s="14" t="s">
        <v>127</v>
      </c>
      <c r="BN133" s="18" t="s">
        <v>111</v>
      </c>
      <c r="BO133" s="14" t="s">
        <v>115</v>
      </c>
      <c r="BP133" s="14" t="s">
        <v>120</v>
      </c>
      <c r="BQ133" s="14" t="s">
        <v>110</v>
      </c>
      <c r="BR133" s="14" t="s">
        <v>110</v>
      </c>
      <c r="BS133" s="76" t="s">
        <v>115</v>
      </c>
      <c r="BT133" s="14" t="s">
        <v>115</v>
      </c>
      <c r="BU133" s="14" t="s">
        <v>115</v>
      </c>
      <c r="BV133" s="14" t="s">
        <v>129</v>
      </c>
      <c r="BW133" s="14" t="s">
        <v>110</v>
      </c>
      <c r="BX133" s="14" t="s">
        <v>124</v>
      </c>
      <c r="BY133" s="76" t="s">
        <v>110</v>
      </c>
      <c r="BZ133" s="14" t="s">
        <v>115</v>
      </c>
      <c r="CA133" s="14" t="s">
        <v>111</v>
      </c>
      <c r="CB133" s="14" t="s">
        <v>129</v>
      </c>
      <c r="CC133" s="14" t="s">
        <v>115</v>
      </c>
      <c r="CD133" s="14" t="s">
        <v>129</v>
      </c>
      <c r="CE133" s="14" t="s">
        <v>127</v>
      </c>
      <c r="CF133" s="14" t="s">
        <v>110</v>
      </c>
      <c r="CG133" s="14" t="s">
        <v>119</v>
      </c>
      <c r="CH133" s="76" t="s">
        <v>115</v>
      </c>
      <c r="CI133" s="14" t="s">
        <v>115</v>
      </c>
      <c r="CJ133" s="14" t="s">
        <v>129</v>
      </c>
      <c r="CK133" s="14" t="s">
        <v>126</v>
      </c>
      <c r="CL133" s="14" t="s">
        <v>129</v>
      </c>
      <c r="CM133" s="14" t="s">
        <v>120</v>
      </c>
      <c r="CN133" s="21"/>
      <c r="CO133" t="s">
        <v>785</v>
      </c>
      <c r="CP133">
        <f>IFERROR(VLOOKUP(H133,'Lista Lideres'!$A$1:$B$350,2,0),0)</f>
        <v>0</v>
      </c>
    </row>
    <row r="134" spans="1:94" ht="14.4" hidden="1" x14ac:dyDescent="0.3">
      <c r="A134" s="6">
        <v>45578.810161250003</v>
      </c>
      <c r="B134" s="14" t="s">
        <v>91</v>
      </c>
      <c r="C134" s="7" t="s">
        <v>783</v>
      </c>
      <c r="D134" s="7" t="s">
        <v>131</v>
      </c>
      <c r="E134" s="7" t="s">
        <v>204</v>
      </c>
      <c r="F134" s="7" t="s">
        <v>97</v>
      </c>
      <c r="G134" s="7" t="s">
        <v>532</v>
      </c>
      <c r="H134" s="7" t="s">
        <v>533</v>
      </c>
      <c r="I134" s="7" t="s">
        <v>190</v>
      </c>
      <c r="J134" s="7" t="s">
        <v>173</v>
      </c>
      <c r="K134" s="7" t="s">
        <v>174</v>
      </c>
      <c r="L134" s="75" t="s">
        <v>162</v>
      </c>
      <c r="M134" s="8" t="s">
        <v>104</v>
      </c>
      <c r="N134" s="75" t="s">
        <v>388</v>
      </c>
      <c r="O134" s="75" t="s">
        <v>106</v>
      </c>
      <c r="P134" s="75" t="s">
        <v>175</v>
      </c>
      <c r="Q134" s="106" t="s">
        <v>108</v>
      </c>
      <c r="R134" s="7" t="s">
        <v>314</v>
      </c>
      <c r="S134" s="7" t="s">
        <v>110</v>
      </c>
      <c r="T134" s="7" t="s">
        <v>110</v>
      </c>
      <c r="U134" s="7" t="s">
        <v>110</v>
      </c>
      <c r="V134" s="75" t="s">
        <v>136</v>
      </c>
      <c r="W134" s="75" t="s">
        <v>113</v>
      </c>
      <c r="X134" s="106" t="s">
        <v>235</v>
      </c>
      <c r="Y134" s="71" t="s">
        <v>111</v>
      </c>
      <c r="Z134" s="7" t="s">
        <v>111</v>
      </c>
      <c r="AA134" s="7" t="s">
        <v>168</v>
      </c>
      <c r="AB134" s="7" t="s">
        <v>111</v>
      </c>
      <c r="AC134" s="75" t="s">
        <v>111</v>
      </c>
      <c r="AD134" s="75" t="s">
        <v>137</v>
      </c>
      <c r="AE134" s="75" t="s">
        <v>138</v>
      </c>
      <c r="AF134" s="87" t="s">
        <v>110</v>
      </c>
      <c r="AG134" s="75" t="s">
        <v>168</v>
      </c>
      <c r="AH134" s="7" t="s">
        <v>168</v>
      </c>
      <c r="AI134" s="75" t="s">
        <v>110</v>
      </c>
      <c r="AJ134" s="75" t="s">
        <v>110</v>
      </c>
      <c r="AK134" s="75" t="s">
        <v>121</v>
      </c>
      <c r="AL134" s="7" t="s">
        <v>110</v>
      </c>
      <c r="AM134" s="7" t="s">
        <v>110</v>
      </c>
      <c r="AN134" s="7" t="s">
        <v>110</v>
      </c>
      <c r="AO134" s="75" t="s">
        <v>123</v>
      </c>
      <c r="AP134" s="7" t="s">
        <v>128</v>
      </c>
      <c r="AQ134" s="75" t="s">
        <v>126</v>
      </c>
      <c r="AR134" s="75" t="s">
        <v>110</v>
      </c>
      <c r="AS134" s="7" t="s">
        <v>110</v>
      </c>
      <c r="AT134" s="9" t="s">
        <v>119</v>
      </c>
      <c r="AU134" s="10" t="s">
        <v>119</v>
      </c>
      <c r="AV134" s="7" t="s">
        <v>110</v>
      </c>
      <c r="AW134" s="7" t="s">
        <v>110</v>
      </c>
      <c r="AX134" s="7" t="s">
        <v>110</v>
      </c>
      <c r="AY134" s="7" t="s">
        <v>111</v>
      </c>
      <c r="AZ134" s="75" t="s">
        <v>125</v>
      </c>
      <c r="BA134" s="75" t="s">
        <v>111</v>
      </c>
      <c r="BB134" s="75" t="s">
        <v>126</v>
      </c>
      <c r="BC134" s="75" t="s">
        <v>111</v>
      </c>
      <c r="BD134" s="87" t="s">
        <v>126</v>
      </c>
      <c r="BE134" s="75" t="s">
        <v>126</v>
      </c>
      <c r="BF134" s="75" t="s">
        <v>141</v>
      </c>
      <c r="BG134" s="7" t="s">
        <v>110</v>
      </c>
      <c r="BH134" s="75" t="s">
        <v>125</v>
      </c>
      <c r="BI134" s="7" t="s">
        <v>111</v>
      </c>
      <c r="BJ134" s="75" t="s">
        <v>168</v>
      </c>
      <c r="BK134" s="7" t="s">
        <v>110</v>
      </c>
      <c r="BL134" s="7" t="s">
        <v>126</v>
      </c>
      <c r="BM134" s="7" t="s">
        <v>110</v>
      </c>
      <c r="BN134" s="11" t="s">
        <v>119</v>
      </c>
      <c r="BO134" s="7" t="s">
        <v>111</v>
      </c>
      <c r="BP134" s="7" t="s">
        <v>111</v>
      </c>
      <c r="BQ134" s="7" t="s">
        <v>111</v>
      </c>
      <c r="BR134" s="7" t="s">
        <v>111</v>
      </c>
      <c r="BS134" s="75" t="s">
        <v>111</v>
      </c>
      <c r="BT134" s="7" t="s">
        <v>110</v>
      </c>
      <c r="BU134" s="7" t="s">
        <v>110</v>
      </c>
      <c r="BV134" s="7" t="s">
        <v>110</v>
      </c>
      <c r="BW134" s="7" t="s">
        <v>110</v>
      </c>
      <c r="BX134" s="7" t="s">
        <v>142</v>
      </c>
      <c r="BY134" s="75" t="s">
        <v>110</v>
      </c>
      <c r="BZ134" s="7" t="s">
        <v>111</v>
      </c>
      <c r="CA134" s="7" t="s">
        <v>110</v>
      </c>
      <c r="CB134" s="7" t="s">
        <v>110</v>
      </c>
      <c r="CC134" s="7" t="s">
        <v>110</v>
      </c>
      <c r="CD134" s="7" t="s">
        <v>110</v>
      </c>
      <c r="CE134" s="7" t="s">
        <v>110</v>
      </c>
      <c r="CF134" s="7" t="s">
        <v>110</v>
      </c>
      <c r="CG134" s="7" t="s">
        <v>110</v>
      </c>
      <c r="CH134" s="75" t="s">
        <v>110</v>
      </c>
      <c r="CI134" s="7" t="s">
        <v>111</v>
      </c>
      <c r="CJ134" s="7" t="s">
        <v>119</v>
      </c>
      <c r="CK134" s="7" t="s">
        <v>125</v>
      </c>
      <c r="CL134" s="7" t="s">
        <v>110</v>
      </c>
      <c r="CM134" s="7" t="s">
        <v>111</v>
      </c>
      <c r="CN134" s="21"/>
      <c r="CO134" t="s">
        <v>785</v>
      </c>
      <c r="CP134">
        <f>IFERROR(VLOOKUP(H134,'Lista Lideres'!$A$1:$B$350,2,0),0)</f>
        <v>0</v>
      </c>
    </row>
    <row r="135" spans="1:94" ht="13.8" hidden="1" x14ac:dyDescent="0.3">
      <c r="A135" s="13">
        <v>45594.72129429398</v>
      </c>
      <c r="B135" s="14" t="s">
        <v>91</v>
      </c>
      <c r="C135" s="14" t="s">
        <v>783</v>
      </c>
      <c r="D135" s="14" t="s">
        <v>93</v>
      </c>
      <c r="E135" s="14" t="s">
        <v>534</v>
      </c>
      <c r="F135" s="14" t="s">
        <v>96</v>
      </c>
      <c r="G135" s="14" t="s">
        <v>535</v>
      </c>
      <c r="H135" s="14" t="s">
        <v>535</v>
      </c>
      <c r="I135" s="14" t="s">
        <v>161</v>
      </c>
      <c r="J135" s="14" t="s">
        <v>101</v>
      </c>
      <c r="K135" s="14" t="s">
        <v>174</v>
      </c>
      <c r="L135" s="76" t="s">
        <v>213</v>
      </c>
      <c r="M135" s="8" t="s">
        <v>104</v>
      </c>
      <c r="N135" s="76" t="s">
        <v>388</v>
      </c>
      <c r="O135" s="76" t="s">
        <v>106</v>
      </c>
      <c r="P135" s="76" t="s">
        <v>107</v>
      </c>
      <c r="Q135" s="107" t="s">
        <v>163</v>
      </c>
      <c r="R135" s="14" t="s">
        <v>164</v>
      </c>
      <c r="S135" s="14" t="s">
        <v>119</v>
      </c>
      <c r="T135" s="14" t="s">
        <v>129</v>
      </c>
      <c r="U135" s="14" t="s">
        <v>119</v>
      </c>
      <c r="V135" s="76" t="s">
        <v>126</v>
      </c>
      <c r="W135" s="76" t="s">
        <v>113</v>
      </c>
      <c r="X135" s="107" t="s">
        <v>153</v>
      </c>
      <c r="Y135" s="72" t="s">
        <v>115</v>
      </c>
      <c r="Z135" s="14" t="s">
        <v>115</v>
      </c>
      <c r="AA135" s="14" t="s">
        <v>115</v>
      </c>
      <c r="AB135" s="14" t="s">
        <v>115</v>
      </c>
      <c r="AC135" s="76" t="s">
        <v>111</v>
      </c>
      <c r="AD135" s="76" t="s">
        <v>117</v>
      </c>
      <c r="AE135" s="76" t="s">
        <v>118</v>
      </c>
      <c r="AF135" s="88" t="s">
        <v>110</v>
      </c>
      <c r="AG135" s="76" t="s">
        <v>110</v>
      </c>
      <c r="AH135" s="14" t="s">
        <v>110</v>
      </c>
      <c r="AI135" s="76" t="s">
        <v>154</v>
      </c>
      <c r="AJ135" s="76" t="s">
        <v>197</v>
      </c>
      <c r="AK135" s="76" t="s">
        <v>121</v>
      </c>
      <c r="AL135" s="14" t="s">
        <v>110</v>
      </c>
      <c r="AM135" s="14" t="s">
        <v>123</v>
      </c>
      <c r="AN135" s="14" t="s">
        <v>110</v>
      </c>
      <c r="AO135" s="76" t="s">
        <v>128</v>
      </c>
      <c r="AP135" s="14" t="s">
        <v>123</v>
      </c>
      <c r="AQ135" s="76" t="s">
        <v>124</v>
      </c>
      <c r="AR135" s="76" t="s">
        <v>111</v>
      </c>
      <c r="AS135" s="14" t="s">
        <v>111</v>
      </c>
      <c r="AT135" s="16" t="s">
        <v>110</v>
      </c>
      <c r="AU135" s="17" t="s">
        <v>115</v>
      </c>
      <c r="AV135" s="14" t="s">
        <v>110</v>
      </c>
      <c r="AW135" s="14" t="s">
        <v>119</v>
      </c>
      <c r="AX135" s="14" t="s">
        <v>111</v>
      </c>
      <c r="AY135" s="14" t="s">
        <v>110</v>
      </c>
      <c r="AZ135" s="76" t="s">
        <v>125</v>
      </c>
      <c r="BA135" s="76" t="s">
        <v>110</v>
      </c>
      <c r="BB135" s="76" t="s">
        <v>139</v>
      </c>
      <c r="BC135" s="76" t="s">
        <v>120</v>
      </c>
      <c r="BD135" s="88" t="s">
        <v>126</v>
      </c>
      <c r="BE135" s="76" t="s">
        <v>140</v>
      </c>
      <c r="BF135" s="76" t="s">
        <v>141</v>
      </c>
      <c r="BG135" s="14" t="s">
        <v>110</v>
      </c>
      <c r="BH135" s="76" t="s">
        <v>142</v>
      </c>
      <c r="BI135" s="14" t="s">
        <v>111</v>
      </c>
      <c r="BJ135" s="76" t="s">
        <v>120</v>
      </c>
      <c r="BK135" s="14" t="s">
        <v>110</v>
      </c>
      <c r="BL135" s="14" t="s">
        <v>126</v>
      </c>
      <c r="BM135" s="14" t="s">
        <v>127</v>
      </c>
      <c r="BN135" s="18" t="s">
        <v>115</v>
      </c>
      <c r="BO135" s="14" t="s">
        <v>111</v>
      </c>
      <c r="BP135" s="14" t="s">
        <v>120</v>
      </c>
      <c r="BQ135" s="14" t="s">
        <v>111</v>
      </c>
      <c r="BR135" s="14" t="s">
        <v>111</v>
      </c>
      <c r="BS135" s="76" t="s">
        <v>115</v>
      </c>
      <c r="BT135" s="14" t="s">
        <v>115</v>
      </c>
      <c r="BU135" s="14" t="s">
        <v>115</v>
      </c>
      <c r="BV135" s="14" t="s">
        <v>111</v>
      </c>
      <c r="BW135" s="14" t="s">
        <v>128</v>
      </c>
      <c r="BX135" s="14" t="s">
        <v>142</v>
      </c>
      <c r="BY135" s="76" t="s">
        <v>111</v>
      </c>
      <c r="BZ135" s="14" t="s">
        <v>119</v>
      </c>
      <c r="CA135" s="14" t="s">
        <v>129</v>
      </c>
      <c r="CB135" s="14" t="s">
        <v>129</v>
      </c>
      <c r="CC135" s="14" t="s">
        <v>119</v>
      </c>
      <c r="CD135" s="14" t="s">
        <v>110</v>
      </c>
      <c r="CE135" s="14" t="s">
        <v>209</v>
      </c>
      <c r="CF135" s="14" t="s">
        <v>119</v>
      </c>
      <c r="CG135" s="14" t="s">
        <v>129</v>
      </c>
      <c r="CH135" s="76" t="s">
        <v>119</v>
      </c>
      <c r="CI135" s="14" t="s">
        <v>115</v>
      </c>
      <c r="CJ135" s="14" t="s">
        <v>129</v>
      </c>
      <c r="CK135" s="14" t="s">
        <v>125</v>
      </c>
      <c r="CL135" s="14" t="s">
        <v>110</v>
      </c>
      <c r="CM135" s="14" t="s">
        <v>111</v>
      </c>
      <c r="CN135" s="59" t="s">
        <v>536</v>
      </c>
      <c r="CO135" t="s">
        <v>785</v>
      </c>
      <c r="CP135">
        <f>IFERROR(VLOOKUP(H135,'Lista Lideres'!$A$1:$B$350,2,0),0)</f>
        <v>0</v>
      </c>
    </row>
    <row r="136" spans="1:94" ht="13.8" hidden="1" x14ac:dyDescent="0.3">
      <c r="A136" s="6">
        <v>45569.765924432868</v>
      </c>
      <c r="B136" s="14" t="s">
        <v>91</v>
      </c>
      <c r="C136" s="7" t="s">
        <v>783</v>
      </c>
      <c r="D136" s="7" t="s">
        <v>93</v>
      </c>
      <c r="E136" s="7" t="s">
        <v>537</v>
      </c>
      <c r="F136" s="7" t="s">
        <v>171</v>
      </c>
      <c r="G136" s="7" t="s">
        <v>538</v>
      </c>
      <c r="H136" s="7" t="s">
        <v>538</v>
      </c>
      <c r="I136" s="7" t="s">
        <v>161</v>
      </c>
      <c r="J136" s="7" t="s">
        <v>101</v>
      </c>
      <c r="K136" s="7" t="s">
        <v>191</v>
      </c>
      <c r="L136" s="75" t="s">
        <v>213</v>
      </c>
      <c r="M136" s="8" t="s">
        <v>104</v>
      </c>
      <c r="N136" s="75" t="s">
        <v>388</v>
      </c>
      <c r="O136" s="75" t="s">
        <v>106</v>
      </c>
      <c r="P136" s="75" t="s">
        <v>107</v>
      </c>
      <c r="Q136" s="106" t="s">
        <v>108</v>
      </c>
      <c r="R136" s="7" t="s">
        <v>164</v>
      </c>
      <c r="S136" s="7" t="s">
        <v>110</v>
      </c>
      <c r="T136" s="7" t="s">
        <v>110</v>
      </c>
      <c r="U136" s="7" t="s">
        <v>129</v>
      </c>
      <c r="V136" s="75" t="s">
        <v>126</v>
      </c>
      <c r="W136" s="75" t="s">
        <v>113</v>
      </c>
      <c r="X136" s="106" t="s">
        <v>114</v>
      </c>
      <c r="Y136" s="71" t="s">
        <v>115</v>
      </c>
      <c r="Z136" s="7" t="s">
        <v>111</v>
      </c>
      <c r="AA136" s="7" t="s">
        <v>111</v>
      </c>
      <c r="AB136" s="7" t="s">
        <v>115</v>
      </c>
      <c r="AC136" s="75" t="s">
        <v>110</v>
      </c>
      <c r="AD136" s="75" t="s">
        <v>117</v>
      </c>
      <c r="AE136" s="75" t="s">
        <v>118</v>
      </c>
      <c r="AF136" s="87" t="s">
        <v>110</v>
      </c>
      <c r="AG136" s="75" t="s">
        <v>110</v>
      </c>
      <c r="AH136" s="7" t="s">
        <v>110</v>
      </c>
      <c r="AI136" s="75" t="s">
        <v>110</v>
      </c>
      <c r="AJ136" s="75" t="s">
        <v>110</v>
      </c>
      <c r="AK136" s="75" t="s">
        <v>110</v>
      </c>
      <c r="AL136" s="7" t="s">
        <v>122</v>
      </c>
      <c r="AM136" s="7" t="s">
        <v>110</v>
      </c>
      <c r="AN136" s="7" t="s">
        <v>110</v>
      </c>
      <c r="AO136" s="75" t="s">
        <v>110</v>
      </c>
      <c r="AP136" s="7" t="s">
        <v>110</v>
      </c>
      <c r="AQ136" s="75" t="s">
        <v>124</v>
      </c>
      <c r="AR136" s="75" t="s">
        <v>111</v>
      </c>
      <c r="AS136" s="7" t="s">
        <v>110</v>
      </c>
      <c r="AT136" s="9" t="s">
        <v>110</v>
      </c>
      <c r="AU136" s="10" t="s">
        <v>111</v>
      </c>
      <c r="AV136" s="7" t="s">
        <v>110</v>
      </c>
      <c r="AW136" s="7" t="s">
        <v>110</v>
      </c>
      <c r="AX136" s="7" t="s">
        <v>111</v>
      </c>
      <c r="AY136" s="7" t="s">
        <v>111</v>
      </c>
      <c r="AZ136" s="75" t="s">
        <v>126</v>
      </c>
      <c r="BA136" s="75" t="s">
        <v>111</v>
      </c>
      <c r="BB136" s="75" t="s">
        <v>126</v>
      </c>
      <c r="BC136" s="75" t="s">
        <v>110</v>
      </c>
      <c r="BD136" s="87" t="s">
        <v>126</v>
      </c>
      <c r="BE136" s="75" t="s">
        <v>126</v>
      </c>
      <c r="BF136" s="75" t="s">
        <v>110</v>
      </c>
      <c r="BG136" s="7" t="s">
        <v>110</v>
      </c>
      <c r="BH136" s="75" t="s">
        <v>125</v>
      </c>
      <c r="BI136" s="7" t="s">
        <v>111</v>
      </c>
      <c r="BJ136" s="75" t="s">
        <v>110</v>
      </c>
      <c r="BK136" s="7" t="s">
        <v>110</v>
      </c>
      <c r="BL136" s="7" t="s">
        <v>126</v>
      </c>
      <c r="BM136" s="7" t="s">
        <v>110</v>
      </c>
      <c r="BN136" s="11" t="s">
        <v>111</v>
      </c>
      <c r="BO136" s="7" t="s">
        <v>111</v>
      </c>
      <c r="BP136" s="7" t="s">
        <v>111</v>
      </c>
      <c r="BQ136" s="7" t="s">
        <v>110</v>
      </c>
      <c r="BR136" s="7" t="s">
        <v>110</v>
      </c>
      <c r="BS136" s="75" t="s">
        <v>110</v>
      </c>
      <c r="BT136" s="7" t="s">
        <v>111</v>
      </c>
      <c r="BU136" s="7" t="s">
        <v>110</v>
      </c>
      <c r="BV136" s="7" t="s">
        <v>110</v>
      </c>
      <c r="BW136" s="7" t="s">
        <v>110</v>
      </c>
      <c r="BX136" s="7" t="s">
        <v>126</v>
      </c>
      <c r="BY136" s="75" t="s">
        <v>111</v>
      </c>
      <c r="BZ136" s="7" t="s">
        <v>115</v>
      </c>
      <c r="CA136" s="7" t="s">
        <v>110</v>
      </c>
      <c r="CB136" s="7" t="s">
        <v>110</v>
      </c>
      <c r="CC136" s="7" t="s">
        <v>119</v>
      </c>
      <c r="CD136" s="7" t="s">
        <v>111</v>
      </c>
      <c r="CE136" s="7" t="s">
        <v>127</v>
      </c>
      <c r="CF136" s="7" t="s">
        <v>110</v>
      </c>
      <c r="CG136" s="7" t="s">
        <v>119</v>
      </c>
      <c r="CH136" s="75" t="s">
        <v>110</v>
      </c>
      <c r="CI136" s="7" t="s">
        <v>111</v>
      </c>
      <c r="CJ136" s="7" t="s">
        <v>119</v>
      </c>
      <c r="CK136" s="7" t="s">
        <v>124</v>
      </c>
      <c r="CL136" s="7" t="s">
        <v>111</v>
      </c>
      <c r="CM136" s="7" t="s">
        <v>111</v>
      </c>
      <c r="CN136" s="20" t="s">
        <v>539</v>
      </c>
      <c r="CO136" t="s">
        <v>785</v>
      </c>
      <c r="CP136">
        <f>IFERROR(VLOOKUP(H136,'Lista Lideres'!$A$1:$B$350,2,0),0)</f>
        <v>0</v>
      </c>
    </row>
    <row r="137" spans="1:94" ht="13.8" hidden="1" x14ac:dyDescent="0.3">
      <c r="A137" s="6">
        <v>45580.205849953709</v>
      </c>
      <c r="B137" s="14" t="s">
        <v>91</v>
      </c>
      <c r="C137" s="7" t="s">
        <v>783</v>
      </c>
      <c r="D137" s="7" t="s">
        <v>131</v>
      </c>
      <c r="E137" s="7" t="s">
        <v>365</v>
      </c>
      <c r="F137" s="7" t="s">
        <v>96</v>
      </c>
      <c r="G137" s="7" t="s">
        <v>212</v>
      </c>
      <c r="H137" s="7" t="s">
        <v>540</v>
      </c>
      <c r="I137" s="7" t="s">
        <v>100</v>
      </c>
      <c r="J137" s="7" t="s">
        <v>196</v>
      </c>
      <c r="K137" s="7" t="s">
        <v>102</v>
      </c>
      <c r="L137" s="75" t="s">
        <v>135</v>
      </c>
      <c r="M137" s="8" t="s">
        <v>104</v>
      </c>
      <c r="N137" s="75" t="s">
        <v>388</v>
      </c>
      <c r="O137" s="75" t="s">
        <v>106</v>
      </c>
      <c r="P137" s="75" t="s">
        <v>107</v>
      </c>
      <c r="Q137" s="106" t="s">
        <v>163</v>
      </c>
      <c r="R137" s="7" t="s">
        <v>176</v>
      </c>
      <c r="S137" s="7" t="s">
        <v>119</v>
      </c>
      <c r="T137" s="7" t="s">
        <v>129</v>
      </c>
      <c r="U137" s="7" t="s">
        <v>129</v>
      </c>
      <c r="V137" s="75" t="s">
        <v>112</v>
      </c>
      <c r="W137" s="75" t="s">
        <v>113</v>
      </c>
      <c r="X137" s="106" t="s">
        <v>165</v>
      </c>
      <c r="Y137" s="71" t="s">
        <v>110</v>
      </c>
      <c r="Z137" s="7" t="s">
        <v>119</v>
      </c>
      <c r="AA137" s="7" t="s">
        <v>119</v>
      </c>
      <c r="AB137" s="7" t="s">
        <v>110</v>
      </c>
      <c r="AC137" s="75" t="s">
        <v>111</v>
      </c>
      <c r="AD137" s="75" t="s">
        <v>541</v>
      </c>
      <c r="AE137" s="75" t="s">
        <v>138</v>
      </c>
      <c r="AF137" s="87" t="s">
        <v>129</v>
      </c>
      <c r="AG137" s="75" t="s">
        <v>110</v>
      </c>
      <c r="AH137" s="7" t="s">
        <v>128</v>
      </c>
      <c r="AI137" s="75" t="s">
        <v>122</v>
      </c>
      <c r="AJ137" s="75" t="s">
        <v>197</v>
      </c>
      <c r="AK137" s="75" t="s">
        <v>110</v>
      </c>
      <c r="AL137" s="7" t="s">
        <v>122</v>
      </c>
      <c r="AM137" s="7" t="s">
        <v>123</v>
      </c>
      <c r="AN137" s="7" t="s">
        <v>123</v>
      </c>
      <c r="AO137" s="75" t="s">
        <v>123</v>
      </c>
      <c r="AP137" s="7" t="s">
        <v>110</v>
      </c>
      <c r="AQ137" s="75" t="s">
        <v>203</v>
      </c>
      <c r="AR137" s="75" t="s">
        <v>115</v>
      </c>
      <c r="AS137" s="7" t="s">
        <v>110</v>
      </c>
      <c r="AT137" s="9" t="s">
        <v>129</v>
      </c>
      <c r="AU137" s="10" t="s">
        <v>110</v>
      </c>
      <c r="AV137" s="7" t="s">
        <v>129</v>
      </c>
      <c r="AW137" s="7" t="s">
        <v>110</v>
      </c>
      <c r="AX137" s="7" t="s">
        <v>111</v>
      </c>
      <c r="AY137" s="7" t="s">
        <v>110</v>
      </c>
      <c r="AZ137" s="75" t="s">
        <v>125</v>
      </c>
      <c r="BA137" s="75" t="s">
        <v>111</v>
      </c>
      <c r="BB137" s="75" t="s">
        <v>142</v>
      </c>
      <c r="BC137" s="75" t="s">
        <v>110</v>
      </c>
      <c r="BD137" s="87" t="s">
        <v>214</v>
      </c>
      <c r="BE137" s="75" t="s">
        <v>140</v>
      </c>
      <c r="BF137" s="75" t="s">
        <v>141</v>
      </c>
      <c r="BG137" s="7" t="s">
        <v>129</v>
      </c>
      <c r="BH137" s="75" t="s">
        <v>142</v>
      </c>
      <c r="BI137" s="7" t="s">
        <v>111</v>
      </c>
      <c r="BJ137" s="75" t="s">
        <v>119</v>
      </c>
      <c r="BK137" s="7" t="s">
        <v>122</v>
      </c>
      <c r="BL137" s="7" t="s">
        <v>126</v>
      </c>
      <c r="BM137" s="7" t="s">
        <v>209</v>
      </c>
      <c r="BN137" s="11" t="s">
        <v>110</v>
      </c>
      <c r="BO137" s="7" t="s">
        <v>119</v>
      </c>
      <c r="BP137" s="7" t="s">
        <v>120</v>
      </c>
      <c r="BQ137" s="7" t="s">
        <v>119</v>
      </c>
      <c r="BR137" s="7" t="s">
        <v>119</v>
      </c>
      <c r="BS137" s="75" t="s">
        <v>110</v>
      </c>
      <c r="BT137" s="7" t="s">
        <v>115</v>
      </c>
      <c r="BU137" s="7" t="s">
        <v>111</v>
      </c>
      <c r="BV137" s="7" t="s">
        <v>120</v>
      </c>
      <c r="BW137" s="7" t="s">
        <v>110</v>
      </c>
      <c r="BX137" s="7" t="s">
        <v>125</v>
      </c>
      <c r="BY137" s="75" t="s">
        <v>119</v>
      </c>
      <c r="BZ137" s="7" t="s">
        <v>111</v>
      </c>
      <c r="CA137" s="7" t="s">
        <v>119</v>
      </c>
      <c r="CB137" s="7" t="s">
        <v>129</v>
      </c>
      <c r="CC137" s="7" t="s">
        <v>129</v>
      </c>
      <c r="CD137" s="7" t="s">
        <v>110</v>
      </c>
      <c r="CE137" s="7" t="s">
        <v>209</v>
      </c>
      <c r="CF137" s="7" t="s">
        <v>110</v>
      </c>
      <c r="CG137" s="7" t="s">
        <v>129</v>
      </c>
      <c r="CH137" s="75" t="s">
        <v>129</v>
      </c>
      <c r="CI137" s="7" t="s">
        <v>129</v>
      </c>
      <c r="CJ137" s="7" t="s">
        <v>129</v>
      </c>
      <c r="CK137" s="7" t="s">
        <v>124</v>
      </c>
      <c r="CL137" s="7" t="s">
        <v>110</v>
      </c>
      <c r="CM137" s="7" t="s">
        <v>111</v>
      </c>
      <c r="CN137" s="20" t="s">
        <v>542</v>
      </c>
      <c r="CO137" t="s">
        <v>786</v>
      </c>
      <c r="CP137">
        <f>IFERROR(VLOOKUP(H137,'Lista Lideres'!$A$1:$B$350,2,0),0)</f>
        <v>0</v>
      </c>
    </row>
    <row r="138" spans="1:94" ht="13.8" hidden="1" x14ac:dyDescent="0.3">
      <c r="A138" s="13">
        <v>45572.674830706019</v>
      </c>
      <c r="B138" s="14" t="s">
        <v>91</v>
      </c>
      <c r="C138" s="14" t="s">
        <v>783</v>
      </c>
      <c r="D138" s="14" t="s">
        <v>93</v>
      </c>
      <c r="E138" s="14" t="s">
        <v>365</v>
      </c>
      <c r="F138" s="14" t="s">
        <v>96</v>
      </c>
      <c r="G138" s="14" t="s">
        <v>312</v>
      </c>
      <c r="H138" s="14" t="s">
        <v>543</v>
      </c>
      <c r="I138" s="14" t="s">
        <v>100</v>
      </c>
      <c r="J138" s="14" t="s">
        <v>183</v>
      </c>
      <c r="K138" s="14" t="s">
        <v>102</v>
      </c>
      <c r="L138" s="76" t="s">
        <v>103</v>
      </c>
      <c r="M138" s="8" t="s">
        <v>104</v>
      </c>
      <c r="N138" s="76" t="s">
        <v>388</v>
      </c>
      <c r="O138" s="76" t="s">
        <v>106</v>
      </c>
      <c r="P138" s="76" t="s">
        <v>107</v>
      </c>
      <c r="Q138" s="107" t="s">
        <v>108</v>
      </c>
      <c r="R138" s="14" t="s">
        <v>164</v>
      </c>
      <c r="S138" s="14" t="s">
        <v>110</v>
      </c>
      <c r="T138" s="14" t="s">
        <v>119</v>
      </c>
      <c r="U138" s="14" t="s">
        <v>119</v>
      </c>
      <c r="V138" s="76" t="s">
        <v>112</v>
      </c>
      <c r="W138" s="76" t="s">
        <v>113</v>
      </c>
      <c r="X138" s="107" t="s">
        <v>153</v>
      </c>
      <c r="Y138" s="72" t="s">
        <v>115</v>
      </c>
      <c r="Z138" s="14" t="s">
        <v>168</v>
      </c>
      <c r="AA138" s="14" t="s">
        <v>168</v>
      </c>
      <c r="AB138" s="14" t="s">
        <v>111</v>
      </c>
      <c r="AC138" s="76" t="s">
        <v>116</v>
      </c>
      <c r="AD138" s="76" t="s">
        <v>166</v>
      </c>
      <c r="AE138" s="76" t="s">
        <v>138</v>
      </c>
      <c r="AF138" s="88" t="s">
        <v>110</v>
      </c>
      <c r="AG138" s="76" t="s">
        <v>111</v>
      </c>
      <c r="AH138" s="14" t="s">
        <v>110</v>
      </c>
      <c r="AI138" s="76" t="s">
        <v>110</v>
      </c>
      <c r="AJ138" s="76" t="s">
        <v>110</v>
      </c>
      <c r="AK138" s="76" t="s">
        <v>121</v>
      </c>
      <c r="AL138" s="14" t="s">
        <v>110</v>
      </c>
      <c r="AM138" s="14" t="s">
        <v>110</v>
      </c>
      <c r="AN138" s="14" t="s">
        <v>110</v>
      </c>
      <c r="AO138" s="76" t="s">
        <v>110</v>
      </c>
      <c r="AP138" s="14" t="s">
        <v>110</v>
      </c>
      <c r="AQ138" s="76" t="s">
        <v>126</v>
      </c>
      <c r="AR138" s="76" t="s">
        <v>111</v>
      </c>
      <c r="AS138" s="14" t="s">
        <v>111</v>
      </c>
      <c r="AT138" s="16" t="s">
        <v>119</v>
      </c>
      <c r="AU138" s="17" t="s">
        <v>111</v>
      </c>
      <c r="AV138" s="14" t="s">
        <v>110</v>
      </c>
      <c r="AW138" s="14" t="s">
        <v>110</v>
      </c>
      <c r="AX138" s="14" t="s">
        <v>111</v>
      </c>
      <c r="AY138" s="14" t="s">
        <v>111</v>
      </c>
      <c r="AZ138" s="76" t="s">
        <v>125</v>
      </c>
      <c r="BA138" s="76" t="s">
        <v>110</v>
      </c>
      <c r="BB138" s="76" t="s">
        <v>125</v>
      </c>
      <c r="BC138" s="76" t="s">
        <v>110</v>
      </c>
      <c r="BD138" s="88" t="s">
        <v>126</v>
      </c>
      <c r="BE138" s="76" t="s">
        <v>126</v>
      </c>
      <c r="BF138" s="76" t="s">
        <v>110</v>
      </c>
      <c r="BG138" s="14" t="s">
        <v>110</v>
      </c>
      <c r="BH138" s="76" t="s">
        <v>142</v>
      </c>
      <c r="BI138" s="14" t="s">
        <v>111</v>
      </c>
      <c r="BJ138" s="76" t="s">
        <v>110</v>
      </c>
      <c r="BK138" s="14" t="s">
        <v>128</v>
      </c>
      <c r="BL138" s="14" t="s">
        <v>126</v>
      </c>
      <c r="BM138" s="14" t="s">
        <v>127</v>
      </c>
      <c r="BN138" s="18" t="s">
        <v>110</v>
      </c>
      <c r="BO138" s="14" t="s">
        <v>111</v>
      </c>
      <c r="BP138" s="14" t="s">
        <v>111</v>
      </c>
      <c r="BQ138" s="14" t="s">
        <v>111</v>
      </c>
      <c r="BR138" s="14" t="s">
        <v>111</v>
      </c>
      <c r="BS138" s="76" t="s">
        <v>111</v>
      </c>
      <c r="BT138" s="14" t="s">
        <v>110</v>
      </c>
      <c r="BU138" s="14" t="s">
        <v>110</v>
      </c>
      <c r="BV138" s="14" t="s">
        <v>110</v>
      </c>
      <c r="BW138" s="14" t="s">
        <v>128</v>
      </c>
      <c r="BX138" s="14" t="s">
        <v>125</v>
      </c>
      <c r="BY138" s="76" t="s">
        <v>110</v>
      </c>
      <c r="BZ138" s="14" t="s">
        <v>111</v>
      </c>
      <c r="CA138" s="14" t="s">
        <v>110</v>
      </c>
      <c r="CB138" s="14" t="s">
        <v>110</v>
      </c>
      <c r="CC138" s="14" t="s">
        <v>110</v>
      </c>
      <c r="CD138" s="14" t="s">
        <v>110</v>
      </c>
      <c r="CE138" s="14" t="s">
        <v>110</v>
      </c>
      <c r="CF138" s="14" t="s">
        <v>110</v>
      </c>
      <c r="CG138" s="14" t="s">
        <v>119</v>
      </c>
      <c r="CH138" s="76" t="s">
        <v>110</v>
      </c>
      <c r="CI138" s="14" t="s">
        <v>111</v>
      </c>
      <c r="CJ138" s="14" t="s">
        <v>129</v>
      </c>
      <c r="CK138" s="14" t="s">
        <v>126</v>
      </c>
      <c r="CL138" s="14" t="s">
        <v>110</v>
      </c>
      <c r="CM138" s="14" t="s">
        <v>111</v>
      </c>
      <c r="CN138" s="59" t="s">
        <v>544</v>
      </c>
      <c r="CO138" t="s">
        <v>786</v>
      </c>
      <c r="CP138">
        <f>IFERROR(VLOOKUP(H138,'Lista Lideres'!$A$1:$B$350,2,0),0)</f>
        <v>0</v>
      </c>
    </row>
    <row r="139" spans="1:94" ht="13.8" hidden="1" x14ac:dyDescent="0.3">
      <c r="A139" s="6">
        <v>45596.541215000005</v>
      </c>
      <c r="B139" s="14" t="s">
        <v>91</v>
      </c>
      <c r="C139" s="7" t="s">
        <v>782</v>
      </c>
      <c r="D139" s="7" t="s">
        <v>93</v>
      </c>
      <c r="E139" s="7" t="s">
        <v>348</v>
      </c>
      <c r="F139" s="7" t="s">
        <v>146</v>
      </c>
      <c r="G139" s="7" t="s">
        <v>349</v>
      </c>
      <c r="H139" s="7" t="s">
        <v>350</v>
      </c>
      <c r="I139" s="7" t="s">
        <v>100</v>
      </c>
      <c r="J139" s="7" t="s">
        <v>101</v>
      </c>
      <c r="K139" s="7" t="s">
        <v>174</v>
      </c>
      <c r="L139" s="75" t="s">
        <v>135</v>
      </c>
      <c r="M139" s="8" t="s">
        <v>351</v>
      </c>
      <c r="N139" s="75" t="s">
        <v>282</v>
      </c>
      <c r="O139" s="75" t="s">
        <v>352</v>
      </c>
      <c r="P139" s="75" t="s">
        <v>175</v>
      </c>
      <c r="Q139" s="106" t="s">
        <v>163</v>
      </c>
      <c r="R139" s="7" t="s">
        <v>164</v>
      </c>
      <c r="S139" s="7" t="s">
        <v>110</v>
      </c>
      <c r="T139" s="7" t="s">
        <v>111</v>
      </c>
      <c r="U139" s="7" t="s">
        <v>110</v>
      </c>
      <c r="V139" s="75" t="s">
        <v>126</v>
      </c>
      <c r="W139" s="75" t="s">
        <v>152</v>
      </c>
      <c r="X139" s="106" t="s">
        <v>153</v>
      </c>
      <c r="Y139" s="71" t="s">
        <v>111</v>
      </c>
      <c r="Z139" s="7" t="s">
        <v>111</v>
      </c>
      <c r="AA139" s="7" t="s">
        <v>115</v>
      </c>
      <c r="AB139" s="7" t="s">
        <v>111</v>
      </c>
      <c r="AC139" s="75" t="s">
        <v>111</v>
      </c>
      <c r="AD139" s="75" t="s">
        <v>166</v>
      </c>
      <c r="AE139" s="75" t="s">
        <v>118</v>
      </c>
      <c r="AF139" s="87" t="s">
        <v>111</v>
      </c>
      <c r="AG139" s="75" t="s">
        <v>110</v>
      </c>
      <c r="AH139" s="7" t="s">
        <v>128</v>
      </c>
      <c r="AI139" s="75" t="s">
        <v>121</v>
      </c>
      <c r="AJ139" s="75" t="s">
        <v>128</v>
      </c>
      <c r="AK139" s="75" t="s">
        <v>121</v>
      </c>
      <c r="AL139" s="7" t="s">
        <v>128</v>
      </c>
      <c r="AM139" s="7" t="s">
        <v>128</v>
      </c>
      <c r="AN139" s="7" t="s">
        <v>128</v>
      </c>
      <c r="AO139" s="75" t="s">
        <v>128</v>
      </c>
      <c r="AP139" s="7" t="s">
        <v>128</v>
      </c>
      <c r="AQ139" s="75" t="s">
        <v>126</v>
      </c>
      <c r="AR139" s="75" t="s">
        <v>110</v>
      </c>
      <c r="AS139" s="7" t="s">
        <v>111</v>
      </c>
      <c r="AT139" s="9" t="s">
        <v>119</v>
      </c>
      <c r="AU139" s="10" t="s">
        <v>111</v>
      </c>
      <c r="AV139" s="7" t="s">
        <v>119</v>
      </c>
      <c r="AW139" s="7" t="s">
        <v>119</v>
      </c>
      <c r="AX139" s="7" t="s">
        <v>110</v>
      </c>
      <c r="AY139" s="7" t="s">
        <v>111</v>
      </c>
      <c r="AZ139" s="75" t="s">
        <v>124</v>
      </c>
      <c r="BA139" s="75" t="s">
        <v>111</v>
      </c>
      <c r="BB139" s="75" t="s">
        <v>125</v>
      </c>
      <c r="BC139" s="75" t="s">
        <v>111</v>
      </c>
      <c r="BD139" s="87" t="s">
        <v>125</v>
      </c>
      <c r="BE139" s="75" t="s">
        <v>125</v>
      </c>
      <c r="BF139" s="75" t="s">
        <v>128</v>
      </c>
      <c r="BG139" s="7" t="s">
        <v>111</v>
      </c>
      <c r="BH139" s="75" t="s">
        <v>126</v>
      </c>
      <c r="BI139" s="7" t="s">
        <v>110</v>
      </c>
      <c r="BJ139" s="75" t="s">
        <v>111</v>
      </c>
      <c r="BK139" s="7" t="s">
        <v>110</v>
      </c>
      <c r="BL139" s="7" t="s">
        <v>125</v>
      </c>
      <c r="BM139" s="7" t="s">
        <v>110</v>
      </c>
      <c r="BN139" s="11" t="s">
        <v>111</v>
      </c>
      <c r="BO139" s="7" t="s">
        <v>111</v>
      </c>
      <c r="BP139" s="7" t="s">
        <v>111</v>
      </c>
      <c r="BQ139" s="7" t="s">
        <v>111</v>
      </c>
      <c r="BR139" s="7" t="s">
        <v>111</v>
      </c>
      <c r="BS139" s="75" t="s">
        <v>111</v>
      </c>
      <c r="BT139" s="7" t="s">
        <v>111</v>
      </c>
      <c r="BU139" s="7" t="s">
        <v>110</v>
      </c>
      <c r="BV139" s="7" t="s">
        <v>119</v>
      </c>
      <c r="BW139" s="7" t="s">
        <v>110</v>
      </c>
      <c r="BX139" s="7" t="s">
        <v>124</v>
      </c>
      <c r="BY139" s="75" t="s">
        <v>111</v>
      </c>
      <c r="BZ139" s="7" t="s">
        <v>111</v>
      </c>
      <c r="CA139" s="7" t="s">
        <v>111</v>
      </c>
      <c r="CB139" s="7" t="s">
        <v>119</v>
      </c>
      <c r="CC139" s="7" t="s">
        <v>111</v>
      </c>
      <c r="CD139" s="7" t="s">
        <v>110</v>
      </c>
      <c r="CE139" s="7" t="s">
        <v>127</v>
      </c>
      <c r="CF139" s="7" t="s">
        <v>111</v>
      </c>
      <c r="CG139" s="7" t="s">
        <v>111</v>
      </c>
      <c r="CH139" s="75" t="s">
        <v>111</v>
      </c>
      <c r="CI139" s="7" t="s">
        <v>111</v>
      </c>
      <c r="CJ139" s="7" t="s">
        <v>119</v>
      </c>
      <c r="CK139" s="7" t="s">
        <v>125</v>
      </c>
      <c r="CL139" s="7" t="s">
        <v>111</v>
      </c>
      <c r="CM139" s="7" t="s">
        <v>111</v>
      </c>
      <c r="CN139" s="20" t="s">
        <v>353</v>
      </c>
      <c r="CO139" t="s">
        <v>786</v>
      </c>
      <c r="CP139">
        <f>IFERROR(VLOOKUP(H139,'Lista Lideres'!$A$1:$B$350,2,0),0)</f>
        <v>0</v>
      </c>
    </row>
    <row r="140" spans="1:94" ht="14.4" hidden="1" x14ac:dyDescent="0.3">
      <c r="A140" s="6">
        <v>45596.566332893519</v>
      </c>
      <c r="B140" s="14" t="s">
        <v>91</v>
      </c>
      <c r="C140" s="7" t="s">
        <v>782</v>
      </c>
      <c r="D140" s="7" t="s">
        <v>131</v>
      </c>
      <c r="E140" s="7" t="s">
        <v>354</v>
      </c>
      <c r="F140" s="7" t="s">
        <v>146</v>
      </c>
      <c r="G140" s="7" t="s">
        <v>355</v>
      </c>
      <c r="H140" s="7" t="s">
        <v>356</v>
      </c>
      <c r="I140" s="7" t="s">
        <v>100</v>
      </c>
      <c r="J140" s="7" t="s">
        <v>101</v>
      </c>
      <c r="K140" s="7" t="s">
        <v>174</v>
      </c>
      <c r="L140" s="75" t="s">
        <v>135</v>
      </c>
      <c r="M140" s="8" t="s">
        <v>351</v>
      </c>
      <c r="N140" s="75" t="s">
        <v>282</v>
      </c>
      <c r="O140" s="75" t="s">
        <v>352</v>
      </c>
      <c r="P140" s="75" t="s">
        <v>175</v>
      </c>
      <c r="Q140" s="106" t="s">
        <v>163</v>
      </c>
      <c r="R140" s="7" t="s">
        <v>164</v>
      </c>
      <c r="S140" s="7" t="s">
        <v>110</v>
      </c>
      <c r="T140" s="7" t="s">
        <v>129</v>
      </c>
      <c r="U140" s="7" t="s">
        <v>110</v>
      </c>
      <c r="V140" s="75" t="s">
        <v>112</v>
      </c>
      <c r="W140" s="75" t="s">
        <v>152</v>
      </c>
      <c r="X140" s="106" t="s">
        <v>165</v>
      </c>
      <c r="Y140" s="71" t="s">
        <v>111</v>
      </c>
      <c r="Z140" s="7" t="s">
        <v>111</v>
      </c>
      <c r="AA140" s="7" t="s">
        <v>110</v>
      </c>
      <c r="AB140" s="7" t="s">
        <v>111</v>
      </c>
      <c r="AC140" s="75" t="s">
        <v>111</v>
      </c>
      <c r="AD140" s="75" t="s">
        <v>166</v>
      </c>
      <c r="AE140" s="75" t="s">
        <v>138</v>
      </c>
      <c r="AF140" s="87" t="s">
        <v>111</v>
      </c>
      <c r="AG140" s="75" t="s">
        <v>111</v>
      </c>
      <c r="AH140" s="7" t="s">
        <v>122</v>
      </c>
      <c r="AI140" s="75" t="s">
        <v>122</v>
      </c>
      <c r="AJ140" s="75" t="s">
        <v>197</v>
      </c>
      <c r="AK140" s="75" t="s">
        <v>225</v>
      </c>
      <c r="AL140" s="7" t="s">
        <v>168</v>
      </c>
      <c r="AM140" s="7" t="s">
        <v>110</v>
      </c>
      <c r="AN140" s="7" t="s">
        <v>168</v>
      </c>
      <c r="AO140" s="75" t="s">
        <v>110</v>
      </c>
      <c r="AP140" s="7" t="s">
        <v>110</v>
      </c>
      <c r="AQ140" s="75" t="s">
        <v>124</v>
      </c>
      <c r="AR140" s="75" t="s">
        <v>110</v>
      </c>
      <c r="AS140" s="7" t="s">
        <v>119</v>
      </c>
      <c r="AT140" s="9" t="s">
        <v>119</v>
      </c>
      <c r="AU140" s="10" t="s">
        <v>110</v>
      </c>
      <c r="AV140" s="7" t="s">
        <v>119</v>
      </c>
      <c r="AW140" s="7" t="s">
        <v>119</v>
      </c>
      <c r="AX140" s="7" t="s">
        <v>110</v>
      </c>
      <c r="AY140" s="7" t="s">
        <v>111</v>
      </c>
      <c r="AZ140" s="75" t="s">
        <v>126</v>
      </c>
      <c r="BA140" s="75" t="s">
        <v>110</v>
      </c>
      <c r="BB140" s="75" t="s">
        <v>139</v>
      </c>
      <c r="BC140" s="75" t="s">
        <v>111</v>
      </c>
      <c r="BD140" s="87" t="s">
        <v>168</v>
      </c>
      <c r="BE140" s="75" t="s">
        <v>140</v>
      </c>
      <c r="BF140" s="75" t="s">
        <v>141</v>
      </c>
      <c r="BG140" s="7" t="s">
        <v>110</v>
      </c>
      <c r="BH140" s="75" t="s">
        <v>126</v>
      </c>
      <c r="BI140" s="7" t="s">
        <v>111</v>
      </c>
      <c r="BJ140" s="75" t="s">
        <v>110</v>
      </c>
      <c r="BK140" s="7" t="s">
        <v>128</v>
      </c>
      <c r="BL140" s="7" t="s">
        <v>126</v>
      </c>
      <c r="BM140" s="7" t="s">
        <v>209</v>
      </c>
      <c r="BN140" s="11" t="s">
        <v>119</v>
      </c>
      <c r="BO140" s="7" t="s">
        <v>111</v>
      </c>
      <c r="BP140" s="7" t="s">
        <v>111</v>
      </c>
      <c r="BQ140" s="7" t="s">
        <v>111</v>
      </c>
      <c r="BR140" s="7" t="s">
        <v>111</v>
      </c>
      <c r="BS140" s="75" t="s">
        <v>111</v>
      </c>
      <c r="BT140" s="7" t="s">
        <v>111</v>
      </c>
      <c r="BU140" s="7" t="s">
        <v>110</v>
      </c>
      <c r="BV140" s="7" t="s">
        <v>119</v>
      </c>
      <c r="BW140" s="7" t="s">
        <v>110</v>
      </c>
      <c r="BX140" s="7" t="s">
        <v>125</v>
      </c>
      <c r="BY140" s="75" t="s">
        <v>119</v>
      </c>
      <c r="BZ140" s="7" t="s">
        <v>111</v>
      </c>
      <c r="CA140" s="7" t="s">
        <v>119</v>
      </c>
      <c r="CB140" s="7" t="s">
        <v>110</v>
      </c>
      <c r="CC140" s="7" t="s">
        <v>110</v>
      </c>
      <c r="CD140" s="7" t="s">
        <v>119</v>
      </c>
      <c r="CE140" s="7" t="s">
        <v>110</v>
      </c>
      <c r="CF140" s="7" t="s">
        <v>110</v>
      </c>
      <c r="CG140" s="7" t="s">
        <v>110</v>
      </c>
      <c r="CH140" s="75" t="s">
        <v>110</v>
      </c>
      <c r="CI140" s="7" t="s">
        <v>110</v>
      </c>
      <c r="CJ140" s="7" t="s">
        <v>110</v>
      </c>
      <c r="CK140" s="7" t="s">
        <v>125</v>
      </c>
      <c r="CL140" s="7" t="s">
        <v>110</v>
      </c>
      <c r="CM140" s="7" t="s">
        <v>111</v>
      </c>
      <c r="CN140" s="60"/>
      <c r="CO140" t="s">
        <v>786</v>
      </c>
      <c r="CP140">
        <f>IFERROR(VLOOKUP(H140,'Lista Lideres'!$A$1:$B$350,2,0),0)</f>
        <v>0</v>
      </c>
    </row>
    <row r="141" spans="1:94" ht="13.8" hidden="1" x14ac:dyDescent="0.3">
      <c r="A141" s="13">
        <v>45596.541241874998</v>
      </c>
      <c r="B141" s="14" t="s">
        <v>91</v>
      </c>
      <c r="C141" s="14" t="s">
        <v>782</v>
      </c>
      <c r="D141" s="14" t="s">
        <v>131</v>
      </c>
      <c r="E141" s="14" t="s">
        <v>204</v>
      </c>
      <c r="F141" s="14" t="s">
        <v>171</v>
      </c>
      <c r="G141" s="14" t="s">
        <v>357</v>
      </c>
      <c r="H141" s="14" t="s">
        <v>358</v>
      </c>
      <c r="I141" s="14" t="s">
        <v>100</v>
      </c>
      <c r="J141" s="14" t="s">
        <v>183</v>
      </c>
      <c r="K141" s="14" t="s">
        <v>191</v>
      </c>
      <c r="L141" s="76" t="s">
        <v>135</v>
      </c>
      <c r="M141" s="8" t="s">
        <v>351</v>
      </c>
      <c r="N141" s="76" t="s">
        <v>282</v>
      </c>
      <c r="O141" s="76" t="s">
        <v>352</v>
      </c>
      <c r="P141" s="76" t="s">
        <v>107</v>
      </c>
      <c r="Q141" s="107" t="s">
        <v>163</v>
      </c>
      <c r="R141" s="14" t="s">
        <v>164</v>
      </c>
      <c r="S141" s="14" t="s">
        <v>110</v>
      </c>
      <c r="T141" s="14" t="s">
        <v>119</v>
      </c>
      <c r="U141" s="14" t="s">
        <v>110</v>
      </c>
      <c r="V141" s="76" t="s">
        <v>112</v>
      </c>
      <c r="W141" s="76" t="s">
        <v>152</v>
      </c>
      <c r="X141" s="107" t="s">
        <v>165</v>
      </c>
      <c r="Y141" s="72" t="s">
        <v>110</v>
      </c>
      <c r="Z141" s="14" t="s">
        <v>110</v>
      </c>
      <c r="AA141" s="14" t="s">
        <v>110</v>
      </c>
      <c r="AB141" s="14" t="s">
        <v>115</v>
      </c>
      <c r="AC141" s="76" t="s">
        <v>110</v>
      </c>
      <c r="AD141" s="76" t="s">
        <v>166</v>
      </c>
      <c r="AE141" s="76" t="s">
        <v>118</v>
      </c>
      <c r="AF141" s="88" t="s">
        <v>119</v>
      </c>
      <c r="AG141" s="76" t="s">
        <v>168</v>
      </c>
      <c r="AH141" s="14" t="s">
        <v>110</v>
      </c>
      <c r="AI141" s="76" t="s">
        <v>110</v>
      </c>
      <c r="AJ141" s="76" t="s">
        <v>110</v>
      </c>
      <c r="AK141" s="76" t="s">
        <v>110</v>
      </c>
      <c r="AL141" s="14" t="s">
        <v>110</v>
      </c>
      <c r="AM141" s="14" t="s">
        <v>128</v>
      </c>
      <c r="AN141" s="14" t="s">
        <v>110</v>
      </c>
      <c r="AO141" s="76" t="s">
        <v>110</v>
      </c>
      <c r="AP141" s="14" t="s">
        <v>110</v>
      </c>
      <c r="AQ141" s="76" t="s">
        <v>124</v>
      </c>
      <c r="AR141" s="76" t="s">
        <v>110</v>
      </c>
      <c r="AS141" s="14" t="s">
        <v>119</v>
      </c>
      <c r="AT141" s="16" t="s">
        <v>119</v>
      </c>
      <c r="AU141" s="17" t="s">
        <v>110</v>
      </c>
      <c r="AV141" s="14" t="s">
        <v>110</v>
      </c>
      <c r="AW141" s="14" t="s">
        <v>110</v>
      </c>
      <c r="AX141" s="14" t="s">
        <v>111</v>
      </c>
      <c r="AY141" s="14" t="s">
        <v>111</v>
      </c>
      <c r="AZ141" s="76" t="s">
        <v>126</v>
      </c>
      <c r="BA141" s="76" t="s">
        <v>111</v>
      </c>
      <c r="BB141" s="76" t="s">
        <v>126</v>
      </c>
      <c r="BC141" s="76" t="s">
        <v>111</v>
      </c>
      <c r="BD141" s="88" t="s">
        <v>126</v>
      </c>
      <c r="BE141" s="76" t="s">
        <v>126</v>
      </c>
      <c r="BF141" s="76" t="s">
        <v>110</v>
      </c>
      <c r="BG141" s="14" t="s">
        <v>119</v>
      </c>
      <c r="BH141" s="76" t="s">
        <v>142</v>
      </c>
      <c r="BI141" s="14" t="s">
        <v>120</v>
      </c>
      <c r="BJ141" s="76" t="s">
        <v>110</v>
      </c>
      <c r="BK141" s="14" t="s">
        <v>110</v>
      </c>
      <c r="BL141" s="14" t="s">
        <v>126</v>
      </c>
      <c r="BM141" s="14" t="s">
        <v>110</v>
      </c>
      <c r="BN141" s="18" t="s">
        <v>111</v>
      </c>
      <c r="BO141" s="14" t="s">
        <v>111</v>
      </c>
      <c r="BP141" s="14" t="s">
        <v>120</v>
      </c>
      <c r="BQ141" s="14" t="s">
        <v>110</v>
      </c>
      <c r="BR141" s="14" t="s">
        <v>110</v>
      </c>
      <c r="BS141" s="76" t="s">
        <v>110</v>
      </c>
      <c r="BT141" s="14" t="s">
        <v>115</v>
      </c>
      <c r="BU141" s="14" t="s">
        <v>110</v>
      </c>
      <c r="BV141" s="14" t="s">
        <v>110</v>
      </c>
      <c r="BW141" s="14" t="s">
        <v>110</v>
      </c>
      <c r="BX141" s="14" t="s">
        <v>142</v>
      </c>
      <c r="BY141" s="76" t="s">
        <v>110</v>
      </c>
      <c r="BZ141" s="14" t="s">
        <v>110</v>
      </c>
      <c r="CA141" s="14" t="s">
        <v>110</v>
      </c>
      <c r="CB141" s="14" t="s">
        <v>110</v>
      </c>
      <c r="CC141" s="14" t="s">
        <v>110</v>
      </c>
      <c r="CD141" s="14" t="s">
        <v>110</v>
      </c>
      <c r="CE141" s="14" t="s">
        <v>127</v>
      </c>
      <c r="CF141" s="14" t="s">
        <v>111</v>
      </c>
      <c r="CG141" s="14" t="s">
        <v>119</v>
      </c>
      <c r="CH141" s="76" t="s">
        <v>110</v>
      </c>
      <c r="CI141" s="14" t="s">
        <v>110</v>
      </c>
      <c r="CJ141" s="14" t="s">
        <v>119</v>
      </c>
      <c r="CK141" s="14" t="s">
        <v>125</v>
      </c>
      <c r="CL141" s="14" t="s">
        <v>110</v>
      </c>
      <c r="CM141" s="14" t="s">
        <v>110</v>
      </c>
      <c r="CN141" s="20" t="s">
        <v>359</v>
      </c>
      <c r="CO141" t="s">
        <v>786</v>
      </c>
      <c r="CP141">
        <f>IFERROR(VLOOKUP(H141,'Lista Lideres'!$A$1:$B$350,2,0),0)</f>
        <v>0</v>
      </c>
    </row>
    <row r="142" spans="1:94" ht="14.4" hidden="1" x14ac:dyDescent="0.3">
      <c r="A142" s="6">
        <v>45594.669780613425</v>
      </c>
      <c r="B142" s="14" t="s">
        <v>91</v>
      </c>
      <c r="C142" s="7" t="s">
        <v>782</v>
      </c>
      <c r="D142" s="7" t="s">
        <v>93</v>
      </c>
      <c r="E142" s="7" t="s">
        <v>156</v>
      </c>
      <c r="F142" s="7" t="s">
        <v>146</v>
      </c>
      <c r="G142" s="7" t="s">
        <v>360</v>
      </c>
      <c r="H142" s="7" t="s">
        <v>360</v>
      </c>
      <c r="I142" s="7" t="s">
        <v>100</v>
      </c>
      <c r="J142" s="7" t="s">
        <v>183</v>
      </c>
      <c r="K142" s="7" t="s">
        <v>102</v>
      </c>
      <c r="L142" s="75" t="s">
        <v>103</v>
      </c>
      <c r="M142" s="8" t="s">
        <v>351</v>
      </c>
      <c r="N142" s="75" t="s">
        <v>282</v>
      </c>
      <c r="O142" s="75" t="s">
        <v>352</v>
      </c>
      <c r="P142" s="75" t="s">
        <v>264</v>
      </c>
      <c r="Q142" s="106" t="s">
        <v>108</v>
      </c>
      <c r="R142" s="7" t="s">
        <v>164</v>
      </c>
      <c r="S142" s="7" t="s">
        <v>110</v>
      </c>
      <c r="T142" s="7" t="s">
        <v>110</v>
      </c>
      <c r="U142" s="7" t="s">
        <v>110</v>
      </c>
      <c r="V142" s="75" t="s">
        <v>126</v>
      </c>
      <c r="W142" s="75" t="s">
        <v>113</v>
      </c>
      <c r="X142" s="106" t="s">
        <v>153</v>
      </c>
      <c r="Y142" s="71" t="s">
        <v>111</v>
      </c>
      <c r="Z142" s="7" t="s">
        <v>111</v>
      </c>
      <c r="AA142" s="7" t="s">
        <v>111</v>
      </c>
      <c r="AB142" s="7" t="s">
        <v>111</v>
      </c>
      <c r="AC142" s="75" t="s">
        <v>116</v>
      </c>
      <c r="AD142" s="75" t="s">
        <v>117</v>
      </c>
      <c r="AE142" s="75" t="s">
        <v>167</v>
      </c>
      <c r="AF142" s="87" t="s">
        <v>111</v>
      </c>
      <c r="AG142" s="75" t="s">
        <v>111</v>
      </c>
      <c r="AH142" s="7" t="s">
        <v>110</v>
      </c>
      <c r="AI142" s="75" t="s">
        <v>110</v>
      </c>
      <c r="AJ142" s="75" t="s">
        <v>110</v>
      </c>
      <c r="AK142" s="75" t="s">
        <v>110</v>
      </c>
      <c r="AL142" s="7" t="s">
        <v>110</v>
      </c>
      <c r="AM142" s="7" t="s">
        <v>110</v>
      </c>
      <c r="AN142" s="7" t="s">
        <v>110</v>
      </c>
      <c r="AO142" s="75" t="s">
        <v>128</v>
      </c>
      <c r="AP142" s="7" t="s">
        <v>128</v>
      </c>
      <c r="AQ142" s="75" t="s">
        <v>124</v>
      </c>
      <c r="AR142" s="75" t="s">
        <v>111</v>
      </c>
      <c r="AS142" s="7" t="s">
        <v>111</v>
      </c>
      <c r="AT142" s="9" t="s">
        <v>110</v>
      </c>
      <c r="AU142" s="10" t="s">
        <v>111</v>
      </c>
      <c r="AV142" s="7" t="s">
        <v>119</v>
      </c>
      <c r="AW142" s="7" t="s">
        <v>119</v>
      </c>
      <c r="AX142" s="7" t="s">
        <v>110</v>
      </c>
      <c r="AY142" s="7" t="s">
        <v>111</v>
      </c>
      <c r="AZ142" s="75" t="s">
        <v>124</v>
      </c>
      <c r="BA142" s="75" t="s">
        <v>111</v>
      </c>
      <c r="BB142" s="75" t="s">
        <v>126</v>
      </c>
      <c r="BC142" s="75" t="s">
        <v>111</v>
      </c>
      <c r="BD142" s="87" t="s">
        <v>126</v>
      </c>
      <c r="BE142" s="75" t="s">
        <v>126</v>
      </c>
      <c r="BF142" s="75" t="s">
        <v>110</v>
      </c>
      <c r="BG142" s="7" t="s">
        <v>111</v>
      </c>
      <c r="BH142" s="75" t="s">
        <v>125</v>
      </c>
      <c r="BI142" s="7" t="s">
        <v>111</v>
      </c>
      <c r="BJ142" s="75" t="s">
        <v>111</v>
      </c>
      <c r="BK142" s="7" t="s">
        <v>128</v>
      </c>
      <c r="BL142" s="7" t="s">
        <v>125</v>
      </c>
      <c r="BM142" s="7" t="s">
        <v>110</v>
      </c>
      <c r="BN142" s="11" t="s">
        <v>111</v>
      </c>
      <c r="BO142" s="7" t="s">
        <v>111</v>
      </c>
      <c r="BP142" s="7" t="s">
        <v>111</v>
      </c>
      <c r="BQ142" s="7" t="s">
        <v>110</v>
      </c>
      <c r="BR142" s="7" t="s">
        <v>110</v>
      </c>
      <c r="BS142" s="75" t="s">
        <v>111</v>
      </c>
      <c r="BT142" s="7" t="s">
        <v>111</v>
      </c>
      <c r="BU142" s="7" t="s">
        <v>111</v>
      </c>
      <c r="BV142" s="7" t="s">
        <v>119</v>
      </c>
      <c r="BW142" s="7" t="s">
        <v>110</v>
      </c>
      <c r="BX142" s="7" t="s">
        <v>126</v>
      </c>
      <c r="BY142" s="75" t="s">
        <v>111</v>
      </c>
      <c r="BZ142" s="7" t="s">
        <v>111</v>
      </c>
      <c r="CA142" s="7" t="s">
        <v>111</v>
      </c>
      <c r="CB142" s="7" t="s">
        <v>119</v>
      </c>
      <c r="CC142" s="7" t="s">
        <v>110</v>
      </c>
      <c r="CD142" s="7" t="s">
        <v>110</v>
      </c>
      <c r="CE142" s="7" t="s">
        <v>127</v>
      </c>
      <c r="CF142" s="7" t="s">
        <v>111</v>
      </c>
      <c r="CG142" s="7" t="s">
        <v>110</v>
      </c>
      <c r="CH142" s="75" t="s">
        <v>110</v>
      </c>
      <c r="CI142" s="7" t="s">
        <v>111</v>
      </c>
      <c r="CJ142" s="7" t="s">
        <v>119</v>
      </c>
      <c r="CK142" s="7" t="s">
        <v>125</v>
      </c>
      <c r="CL142" s="7" t="s">
        <v>110</v>
      </c>
      <c r="CM142" s="7" t="s">
        <v>111</v>
      </c>
      <c r="CN142" s="21"/>
      <c r="CO142" t="s">
        <v>786</v>
      </c>
      <c r="CP142">
        <f>IFERROR(VLOOKUP(H142,'Lista Lideres'!$A$1:$B$350,2,0),0)</f>
        <v>0</v>
      </c>
    </row>
    <row r="143" spans="1:94" ht="13.8" hidden="1" x14ac:dyDescent="0.3">
      <c r="A143" s="13">
        <v>45596.544478483796</v>
      </c>
      <c r="B143" s="14" t="s">
        <v>91</v>
      </c>
      <c r="C143" s="14" t="s">
        <v>782</v>
      </c>
      <c r="D143" s="14" t="s">
        <v>131</v>
      </c>
      <c r="E143" s="14" t="s">
        <v>204</v>
      </c>
      <c r="F143" s="14" t="s">
        <v>146</v>
      </c>
      <c r="G143" s="14" t="s">
        <v>361</v>
      </c>
      <c r="H143" s="14" t="s">
        <v>362</v>
      </c>
      <c r="I143" s="14" t="s">
        <v>100</v>
      </c>
      <c r="J143" s="14" t="s">
        <v>183</v>
      </c>
      <c r="K143" s="14" t="s">
        <v>174</v>
      </c>
      <c r="L143" s="76" t="s">
        <v>150</v>
      </c>
      <c r="M143" s="8" t="s">
        <v>351</v>
      </c>
      <c r="N143" s="76" t="s">
        <v>282</v>
      </c>
      <c r="O143" s="76" t="s">
        <v>352</v>
      </c>
      <c r="P143" s="76" t="s">
        <v>175</v>
      </c>
      <c r="Q143" s="107" t="s">
        <v>163</v>
      </c>
      <c r="R143" s="14" t="s">
        <v>109</v>
      </c>
      <c r="S143" s="14" t="s">
        <v>111</v>
      </c>
      <c r="T143" s="14" t="s">
        <v>111</v>
      </c>
      <c r="U143" s="14" t="s">
        <v>110</v>
      </c>
      <c r="V143" s="76" t="s">
        <v>126</v>
      </c>
      <c r="W143" s="76" t="s">
        <v>363</v>
      </c>
      <c r="X143" s="107" t="s">
        <v>165</v>
      </c>
      <c r="Y143" s="72" t="s">
        <v>111</v>
      </c>
      <c r="Z143" s="14" t="s">
        <v>115</v>
      </c>
      <c r="AA143" s="14" t="s">
        <v>111</v>
      </c>
      <c r="AB143" s="14" t="s">
        <v>111</v>
      </c>
      <c r="AC143" s="76" t="s">
        <v>110</v>
      </c>
      <c r="AD143" s="76" t="s">
        <v>166</v>
      </c>
      <c r="AE143" s="76" t="s">
        <v>138</v>
      </c>
      <c r="AF143" s="88" t="s">
        <v>111</v>
      </c>
      <c r="AG143" s="76" t="s">
        <v>111</v>
      </c>
      <c r="AH143" s="14" t="s">
        <v>128</v>
      </c>
      <c r="AI143" s="76" t="s">
        <v>110</v>
      </c>
      <c r="AJ143" s="76" t="s">
        <v>110</v>
      </c>
      <c r="AK143" s="76" t="s">
        <v>110</v>
      </c>
      <c r="AL143" s="14" t="s">
        <v>110</v>
      </c>
      <c r="AM143" s="14" t="s">
        <v>110</v>
      </c>
      <c r="AN143" s="14" t="s">
        <v>110</v>
      </c>
      <c r="AO143" s="76" t="s">
        <v>110</v>
      </c>
      <c r="AP143" s="14" t="s">
        <v>110</v>
      </c>
      <c r="AQ143" s="76" t="s">
        <v>124</v>
      </c>
      <c r="AR143" s="76" t="s">
        <v>110</v>
      </c>
      <c r="AS143" s="14" t="s">
        <v>110</v>
      </c>
      <c r="AT143" s="16" t="s">
        <v>119</v>
      </c>
      <c r="AU143" s="17" t="s">
        <v>111</v>
      </c>
      <c r="AV143" s="14" t="s">
        <v>129</v>
      </c>
      <c r="AW143" s="14" t="s">
        <v>119</v>
      </c>
      <c r="AX143" s="14" t="s">
        <v>110</v>
      </c>
      <c r="AY143" s="14" t="s">
        <v>110</v>
      </c>
      <c r="AZ143" s="76" t="s">
        <v>126</v>
      </c>
      <c r="BA143" s="76" t="s">
        <v>110</v>
      </c>
      <c r="BB143" s="76" t="s">
        <v>126</v>
      </c>
      <c r="BC143" s="76" t="s">
        <v>120</v>
      </c>
      <c r="BD143" s="88" t="s">
        <v>126</v>
      </c>
      <c r="BE143" s="76" t="s">
        <v>126</v>
      </c>
      <c r="BF143" s="76" t="s">
        <v>141</v>
      </c>
      <c r="BG143" s="14" t="s">
        <v>110</v>
      </c>
      <c r="BH143" s="76" t="s">
        <v>142</v>
      </c>
      <c r="BI143" s="14" t="s">
        <v>120</v>
      </c>
      <c r="BJ143" s="76" t="s">
        <v>110</v>
      </c>
      <c r="BK143" s="14" t="s">
        <v>110</v>
      </c>
      <c r="BL143" s="14" t="s">
        <v>126</v>
      </c>
      <c r="BM143" s="14" t="s">
        <v>110</v>
      </c>
      <c r="BN143" s="18" t="s">
        <v>111</v>
      </c>
      <c r="BO143" s="14" t="s">
        <v>115</v>
      </c>
      <c r="BP143" s="14" t="s">
        <v>120</v>
      </c>
      <c r="BQ143" s="14" t="s">
        <v>110</v>
      </c>
      <c r="BR143" s="14" t="s">
        <v>110</v>
      </c>
      <c r="BS143" s="76" t="s">
        <v>111</v>
      </c>
      <c r="BT143" s="14" t="s">
        <v>115</v>
      </c>
      <c r="BU143" s="14" t="s">
        <v>129</v>
      </c>
      <c r="BV143" s="14" t="s">
        <v>110</v>
      </c>
      <c r="BW143" s="14" t="s">
        <v>110</v>
      </c>
      <c r="BX143" s="14" t="s">
        <v>142</v>
      </c>
      <c r="BY143" s="76" t="s">
        <v>110</v>
      </c>
      <c r="BZ143" s="14" t="s">
        <v>111</v>
      </c>
      <c r="CA143" s="14" t="s">
        <v>110</v>
      </c>
      <c r="CB143" s="14" t="s">
        <v>129</v>
      </c>
      <c r="CC143" s="14" t="s">
        <v>110</v>
      </c>
      <c r="CD143" s="14" t="s">
        <v>110</v>
      </c>
      <c r="CE143" s="14" t="s">
        <v>127</v>
      </c>
      <c r="CF143" s="14" t="s">
        <v>110</v>
      </c>
      <c r="CG143" s="14" t="s">
        <v>110</v>
      </c>
      <c r="CH143" s="76" t="s">
        <v>111</v>
      </c>
      <c r="CI143" s="14" t="s">
        <v>111</v>
      </c>
      <c r="CJ143" s="14" t="s">
        <v>129</v>
      </c>
      <c r="CK143" s="14" t="s">
        <v>125</v>
      </c>
      <c r="CL143" s="14" t="s">
        <v>110</v>
      </c>
      <c r="CM143" s="14" t="s">
        <v>111</v>
      </c>
      <c r="CN143" s="20" t="s">
        <v>364</v>
      </c>
      <c r="CO143" t="s">
        <v>786</v>
      </c>
      <c r="CP143">
        <f>IFERROR(VLOOKUP(H143,'Lista Lideres'!$A$1:$B$350,2,0),0)</f>
        <v>0</v>
      </c>
    </row>
    <row r="144" spans="1:94" ht="14.4" hidden="1" x14ac:dyDescent="0.3">
      <c r="A144" s="6">
        <v>45595.971640000003</v>
      </c>
      <c r="B144" s="14" t="s">
        <v>91</v>
      </c>
      <c r="C144" s="7" t="s">
        <v>782</v>
      </c>
      <c r="D144" s="7" t="s">
        <v>93</v>
      </c>
      <c r="E144" s="7" t="s">
        <v>365</v>
      </c>
      <c r="F144" s="7" t="s">
        <v>97</v>
      </c>
      <c r="G144" s="7" t="s">
        <v>366</v>
      </c>
      <c r="H144" s="7" t="s">
        <v>366</v>
      </c>
      <c r="I144" s="7" t="s">
        <v>100</v>
      </c>
      <c r="J144" s="7" t="s">
        <v>101</v>
      </c>
      <c r="K144" s="7" t="s">
        <v>191</v>
      </c>
      <c r="L144" s="75" t="s">
        <v>213</v>
      </c>
      <c r="M144" s="8" t="s">
        <v>351</v>
      </c>
      <c r="N144" s="75" t="s">
        <v>282</v>
      </c>
      <c r="O144" s="75" t="s">
        <v>352</v>
      </c>
      <c r="P144" s="75" t="s">
        <v>264</v>
      </c>
      <c r="Q144" s="106" t="s">
        <v>163</v>
      </c>
      <c r="R144" s="7" t="s">
        <v>109</v>
      </c>
      <c r="S144" s="7" t="s">
        <v>111</v>
      </c>
      <c r="T144" s="7" t="s">
        <v>110</v>
      </c>
      <c r="U144" s="7" t="s">
        <v>110</v>
      </c>
      <c r="V144" s="75" t="s">
        <v>112</v>
      </c>
      <c r="W144" s="75" t="s">
        <v>363</v>
      </c>
      <c r="X144" s="106" t="s">
        <v>153</v>
      </c>
      <c r="Y144" s="71" t="s">
        <v>111</v>
      </c>
      <c r="Z144" s="7" t="s">
        <v>111</v>
      </c>
      <c r="AA144" s="7" t="s">
        <v>111</v>
      </c>
      <c r="AB144" s="7" t="s">
        <v>111</v>
      </c>
      <c r="AC144" s="75" t="s">
        <v>110</v>
      </c>
      <c r="AD144" s="75" t="s">
        <v>137</v>
      </c>
      <c r="AE144" s="75" t="s">
        <v>118</v>
      </c>
      <c r="AF144" s="87" t="s">
        <v>110</v>
      </c>
      <c r="AG144" s="75" t="s">
        <v>119</v>
      </c>
      <c r="AH144" s="7" t="s">
        <v>122</v>
      </c>
      <c r="AI144" s="75" t="s">
        <v>154</v>
      </c>
      <c r="AJ144" s="75" t="s">
        <v>197</v>
      </c>
      <c r="AK144" s="75" t="s">
        <v>225</v>
      </c>
      <c r="AL144" s="7" t="s">
        <v>110</v>
      </c>
      <c r="AM144" s="7" t="s">
        <v>110</v>
      </c>
      <c r="AN144" s="7" t="s">
        <v>128</v>
      </c>
      <c r="AO144" s="75" t="s">
        <v>110</v>
      </c>
      <c r="AP144" s="7" t="s">
        <v>128</v>
      </c>
      <c r="AQ144" s="75" t="s">
        <v>124</v>
      </c>
      <c r="AR144" s="75" t="s">
        <v>111</v>
      </c>
      <c r="AS144" s="7" t="s">
        <v>110</v>
      </c>
      <c r="AT144" s="9" t="s">
        <v>119</v>
      </c>
      <c r="AU144" s="10" t="s">
        <v>111</v>
      </c>
      <c r="AV144" s="7" t="s">
        <v>110</v>
      </c>
      <c r="AW144" s="7" t="s">
        <v>110</v>
      </c>
      <c r="AX144" s="7" t="s">
        <v>110</v>
      </c>
      <c r="AY144" s="7" t="s">
        <v>111</v>
      </c>
      <c r="AZ144" s="75" t="s">
        <v>124</v>
      </c>
      <c r="BA144" s="75" t="s">
        <v>111</v>
      </c>
      <c r="BB144" s="75" t="s">
        <v>139</v>
      </c>
      <c r="BC144" s="75" t="s">
        <v>111</v>
      </c>
      <c r="BD144" s="87" t="s">
        <v>125</v>
      </c>
      <c r="BE144" s="75" t="s">
        <v>140</v>
      </c>
      <c r="BF144" s="75" t="s">
        <v>141</v>
      </c>
      <c r="BG144" s="7" t="s">
        <v>110</v>
      </c>
      <c r="BH144" s="75" t="s">
        <v>125</v>
      </c>
      <c r="BI144" s="7" t="s">
        <v>111</v>
      </c>
      <c r="BJ144" s="75" t="s">
        <v>110</v>
      </c>
      <c r="BK144" s="7" t="s">
        <v>128</v>
      </c>
      <c r="BL144" s="7" t="s">
        <v>125</v>
      </c>
      <c r="BM144" s="7" t="s">
        <v>127</v>
      </c>
      <c r="BN144" s="11" t="s">
        <v>111</v>
      </c>
      <c r="BO144" s="7" t="s">
        <v>111</v>
      </c>
      <c r="BP144" s="7" t="s">
        <v>111</v>
      </c>
      <c r="BQ144" s="7" t="s">
        <v>111</v>
      </c>
      <c r="BR144" s="7" t="s">
        <v>111</v>
      </c>
      <c r="BS144" s="75" t="s">
        <v>111</v>
      </c>
      <c r="BT144" s="7" t="s">
        <v>111</v>
      </c>
      <c r="BU144" s="7" t="s">
        <v>119</v>
      </c>
      <c r="BV144" s="7" t="s">
        <v>110</v>
      </c>
      <c r="BW144" s="7" t="s">
        <v>110</v>
      </c>
      <c r="BX144" s="7" t="s">
        <v>126</v>
      </c>
      <c r="BY144" s="75" t="s">
        <v>111</v>
      </c>
      <c r="BZ144" s="7" t="s">
        <v>111</v>
      </c>
      <c r="CA144" s="7" t="s">
        <v>110</v>
      </c>
      <c r="CB144" s="7" t="s">
        <v>119</v>
      </c>
      <c r="CC144" s="7" t="s">
        <v>111</v>
      </c>
      <c r="CD144" s="7" t="s">
        <v>110</v>
      </c>
      <c r="CE144" s="7" t="s">
        <v>110</v>
      </c>
      <c r="CF144" s="7" t="s">
        <v>111</v>
      </c>
      <c r="CG144" s="7" t="s">
        <v>119</v>
      </c>
      <c r="CH144" s="75" t="s">
        <v>111</v>
      </c>
      <c r="CI144" s="7" t="s">
        <v>111</v>
      </c>
      <c r="CJ144" s="7" t="s">
        <v>119</v>
      </c>
      <c r="CK144" s="7" t="s">
        <v>125</v>
      </c>
      <c r="CL144" s="7" t="s">
        <v>110</v>
      </c>
      <c r="CM144" s="7" t="s">
        <v>111</v>
      </c>
      <c r="CN144" s="21"/>
      <c r="CO144" t="s">
        <v>786</v>
      </c>
      <c r="CP144">
        <f>IFERROR(VLOOKUP(H144,'Lista Lideres'!$A$1:$B$350,2,0),0)</f>
        <v>0</v>
      </c>
    </row>
    <row r="145" spans="1:94" ht="13.8" hidden="1" x14ac:dyDescent="0.3">
      <c r="A145" s="29">
        <v>45562.700158645835</v>
      </c>
      <c r="B145" s="30" t="s">
        <v>169</v>
      </c>
      <c r="C145" s="30" t="s">
        <v>783</v>
      </c>
      <c r="D145" s="30" t="s">
        <v>93</v>
      </c>
      <c r="E145" s="30" t="s">
        <v>180</v>
      </c>
      <c r="F145" s="30" t="s">
        <v>97</v>
      </c>
      <c r="G145" s="30" t="s">
        <v>545</v>
      </c>
      <c r="H145" s="30" t="s">
        <v>546</v>
      </c>
      <c r="I145" s="30" t="s">
        <v>195</v>
      </c>
      <c r="J145" s="30" t="s">
        <v>183</v>
      </c>
      <c r="K145" s="30" t="s">
        <v>102</v>
      </c>
      <c r="L145" s="79" t="s">
        <v>162</v>
      </c>
      <c r="M145" s="8" t="s">
        <v>104</v>
      </c>
      <c r="N145" s="79" t="s">
        <v>388</v>
      </c>
      <c r="O145" s="79" t="s">
        <v>282</v>
      </c>
      <c r="P145" s="79" t="s">
        <v>175</v>
      </c>
      <c r="Q145" s="110" t="s">
        <v>163</v>
      </c>
      <c r="R145" s="30" t="s">
        <v>109</v>
      </c>
      <c r="S145" s="30" t="s">
        <v>111</v>
      </c>
      <c r="T145" s="30" t="s">
        <v>129</v>
      </c>
      <c r="U145" s="30" t="s">
        <v>119</v>
      </c>
      <c r="V145" s="79" t="s">
        <v>136</v>
      </c>
      <c r="W145" s="79" t="s">
        <v>152</v>
      </c>
      <c r="X145" s="110" t="s">
        <v>165</v>
      </c>
      <c r="Y145" s="30" t="s">
        <v>115</v>
      </c>
      <c r="Z145" s="30" t="s">
        <v>115</v>
      </c>
      <c r="AA145" s="30" t="s">
        <v>115</v>
      </c>
      <c r="AB145" s="30" t="s">
        <v>111</v>
      </c>
      <c r="AC145" s="79" t="s">
        <v>116</v>
      </c>
      <c r="AD145" s="79" t="s">
        <v>117</v>
      </c>
      <c r="AE145" s="79" t="s">
        <v>118</v>
      </c>
      <c r="AF145" s="91" t="s">
        <v>111</v>
      </c>
      <c r="AG145" s="79" t="s">
        <v>129</v>
      </c>
      <c r="AH145" s="30" t="s">
        <v>177</v>
      </c>
      <c r="AI145" s="79" t="s">
        <v>128</v>
      </c>
      <c r="AJ145" s="79" t="s">
        <v>121</v>
      </c>
      <c r="AK145" s="79" t="s">
        <v>122</v>
      </c>
      <c r="AL145" s="30" t="s">
        <v>177</v>
      </c>
      <c r="AM145" s="30" t="s">
        <v>110</v>
      </c>
      <c r="AN145" s="30" t="s">
        <v>128</v>
      </c>
      <c r="AO145" s="79" t="s">
        <v>123</v>
      </c>
      <c r="AP145" s="30" t="s">
        <v>123</v>
      </c>
      <c r="AQ145" s="79" t="s">
        <v>142</v>
      </c>
      <c r="AR145" s="79" t="s">
        <v>110</v>
      </c>
      <c r="AS145" s="30" t="s">
        <v>111</v>
      </c>
      <c r="AT145" s="16" t="s">
        <v>119</v>
      </c>
      <c r="AU145" s="17" t="s">
        <v>110</v>
      </c>
      <c r="AV145" s="30" t="s">
        <v>119</v>
      </c>
      <c r="AW145" s="30" t="s">
        <v>110</v>
      </c>
      <c r="AX145" s="30" t="s">
        <v>110</v>
      </c>
      <c r="AY145" s="30" t="s">
        <v>111</v>
      </c>
      <c r="AZ145" s="79" t="s">
        <v>125</v>
      </c>
      <c r="BA145" s="79" t="s">
        <v>111</v>
      </c>
      <c r="BB145" s="79" t="s">
        <v>125</v>
      </c>
      <c r="BC145" s="79" t="s">
        <v>111</v>
      </c>
      <c r="BD145" s="91" t="s">
        <v>125</v>
      </c>
      <c r="BE145" s="79" t="s">
        <v>125</v>
      </c>
      <c r="BF145" s="79" t="s">
        <v>121</v>
      </c>
      <c r="BG145" s="30" t="s">
        <v>111</v>
      </c>
      <c r="BH145" s="79" t="s">
        <v>126</v>
      </c>
      <c r="BI145" s="30" t="s">
        <v>111</v>
      </c>
      <c r="BJ145" s="79" t="s">
        <v>120</v>
      </c>
      <c r="BK145" s="30" t="s">
        <v>128</v>
      </c>
      <c r="BL145" s="30" t="s">
        <v>126</v>
      </c>
      <c r="BM145" s="30" t="s">
        <v>127</v>
      </c>
      <c r="BN145" s="18" t="s">
        <v>111</v>
      </c>
      <c r="BO145" s="30" t="s">
        <v>111</v>
      </c>
      <c r="BP145" s="30" t="s">
        <v>111</v>
      </c>
      <c r="BQ145" s="30" t="s">
        <v>111</v>
      </c>
      <c r="BR145" s="30" t="s">
        <v>111</v>
      </c>
      <c r="BS145" s="79" t="s">
        <v>111</v>
      </c>
      <c r="BT145" s="30" t="s">
        <v>111</v>
      </c>
      <c r="BU145" s="30" t="s">
        <v>111</v>
      </c>
      <c r="BV145" s="30" t="s">
        <v>119</v>
      </c>
      <c r="BW145" s="30" t="s">
        <v>128</v>
      </c>
      <c r="BX145" s="30" t="s">
        <v>125</v>
      </c>
      <c r="BY145" s="79" t="s">
        <v>111</v>
      </c>
      <c r="BZ145" s="30" t="s">
        <v>111</v>
      </c>
      <c r="CA145" s="30" t="s">
        <v>119</v>
      </c>
      <c r="CB145" s="30" t="s">
        <v>119</v>
      </c>
      <c r="CC145" s="30" t="s">
        <v>119</v>
      </c>
      <c r="CD145" s="30" t="s">
        <v>119</v>
      </c>
      <c r="CE145" s="30" t="s">
        <v>110</v>
      </c>
      <c r="CF145" s="30" t="s">
        <v>110</v>
      </c>
      <c r="CG145" s="30" t="s">
        <v>119</v>
      </c>
      <c r="CH145" s="79" t="s">
        <v>119</v>
      </c>
      <c r="CI145" s="30" t="s">
        <v>115</v>
      </c>
      <c r="CJ145" s="30" t="s">
        <v>129</v>
      </c>
      <c r="CK145" s="30" t="s">
        <v>124</v>
      </c>
      <c r="CL145" s="30" t="s">
        <v>129</v>
      </c>
      <c r="CM145" s="30" t="s">
        <v>119</v>
      </c>
      <c r="CN145" s="27" t="s">
        <v>547</v>
      </c>
      <c r="CO145" t="s">
        <v>786</v>
      </c>
      <c r="CP145">
        <f>IFERROR(VLOOKUP(H145,'Lista Lideres'!$A$1:$B$350,2,0),0)</f>
        <v>0</v>
      </c>
    </row>
    <row r="146" spans="1:94" ht="13.8" hidden="1" x14ac:dyDescent="0.3">
      <c r="A146" s="25">
        <v>45572.964388425928</v>
      </c>
      <c r="B146" s="26" t="s">
        <v>169</v>
      </c>
      <c r="C146" s="26" t="s">
        <v>783</v>
      </c>
      <c r="D146" s="26" t="s">
        <v>93</v>
      </c>
      <c r="E146" s="26" t="s">
        <v>187</v>
      </c>
      <c r="F146" s="26" t="s">
        <v>171</v>
      </c>
      <c r="G146" s="26" t="s">
        <v>548</v>
      </c>
      <c r="H146" s="26" t="s">
        <v>548</v>
      </c>
      <c r="I146" s="26" t="s">
        <v>161</v>
      </c>
      <c r="J146" s="26" t="s">
        <v>196</v>
      </c>
      <c r="K146" s="26" t="s">
        <v>102</v>
      </c>
      <c r="L146" s="80" t="s">
        <v>103</v>
      </c>
      <c r="M146" s="8" t="s">
        <v>104</v>
      </c>
      <c r="N146" s="80" t="s">
        <v>388</v>
      </c>
      <c r="O146" s="80" t="s">
        <v>106</v>
      </c>
      <c r="P146" s="80" t="s">
        <v>107</v>
      </c>
      <c r="Q146" s="111" t="s">
        <v>108</v>
      </c>
      <c r="R146" s="26" t="s">
        <v>176</v>
      </c>
      <c r="S146" s="26" t="s">
        <v>110</v>
      </c>
      <c r="T146" s="26" t="s">
        <v>110</v>
      </c>
      <c r="U146" s="26" t="s">
        <v>111</v>
      </c>
      <c r="V146" s="80" t="s">
        <v>136</v>
      </c>
      <c r="W146" s="80" t="s">
        <v>113</v>
      </c>
      <c r="X146" s="111" t="s">
        <v>165</v>
      </c>
      <c r="Y146" s="26" t="s">
        <v>115</v>
      </c>
      <c r="Z146" s="26" t="s">
        <v>115</v>
      </c>
      <c r="AA146" s="26" t="s">
        <v>111</v>
      </c>
      <c r="AB146" s="26" t="s">
        <v>115</v>
      </c>
      <c r="AC146" s="80" t="s">
        <v>116</v>
      </c>
      <c r="AD146" s="80" t="s">
        <v>137</v>
      </c>
      <c r="AE146" s="80" t="s">
        <v>167</v>
      </c>
      <c r="AF146" s="92" t="s">
        <v>111</v>
      </c>
      <c r="AG146" s="80" t="s">
        <v>110</v>
      </c>
      <c r="AH146" s="26" t="s">
        <v>128</v>
      </c>
      <c r="AI146" s="80" t="s">
        <v>128</v>
      </c>
      <c r="AJ146" s="80" t="s">
        <v>197</v>
      </c>
      <c r="AK146" s="80" t="s">
        <v>121</v>
      </c>
      <c r="AL146" s="26" t="s">
        <v>121</v>
      </c>
      <c r="AM146" s="26" t="s">
        <v>110</v>
      </c>
      <c r="AN146" s="26" t="s">
        <v>128</v>
      </c>
      <c r="AO146" s="80" t="s">
        <v>121</v>
      </c>
      <c r="AP146" s="26" t="s">
        <v>178</v>
      </c>
      <c r="AQ146" s="80" t="s">
        <v>124</v>
      </c>
      <c r="AR146" s="80" t="s">
        <v>110</v>
      </c>
      <c r="AS146" s="26" t="s">
        <v>111</v>
      </c>
      <c r="AT146" s="9" t="s">
        <v>129</v>
      </c>
      <c r="AU146" s="10" t="s">
        <v>115</v>
      </c>
      <c r="AV146" s="26" t="s">
        <v>129</v>
      </c>
      <c r="AW146" s="26" t="s">
        <v>119</v>
      </c>
      <c r="AX146" s="26" t="s">
        <v>110</v>
      </c>
      <c r="AY146" s="26" t="s">
        <v>120</v>
      </c>
      <c r="AZ146" s="80" t="s">
        <v>142</v>
      </c>
      <c r="BA146" s="80" t="s">
        <v>120</v>
      </c>
      <c r="BB146" s="80" t="s">
        <v>142</v>
      </c>
      <c r="BC146" s="80" t="s">
        <v>111</v>
      </c>
      <c r="BD146" s="92" t="s">
        <v>125</v>
      </c>
      <c r="BE146" s="80" t="s">
        <v>140</v>
      </c>
      <c r="BF146" s="80" t="s">
        <v>141</v>
      </c>
      <c r="BG146" s="26" t="s">
        <v>111</v>
      </c>
      <c r="BH146" s="80" t="s">
        <v>142</v>
      </c>
      <c r="BI146" s="26" t="s">
        <v>120</v>
      </c>
      <c r="BJ146" s="80" t="s">
        <v>129</v>
      </c>
      <c r="BK146" s="26" t="s">
        <v>121</v>
      </c>
      <c r="BL146" s="26" t="s">
        <v>142</v>
      </c>
      <c r="BM146" s="26" t="s">
        <v>127</v>
      </c>
      <c r="BN146" s="11" t="s">
        <v>115</v>
      </c>
      <c r="BO146" s="26" t="s">
        <v>111</v>
      </c>
      <c r="BP146" s="26" t="s">
        <v>120</v>
      </c>
      <c r="BQ146" s="26" t="s">
        <v>115</v>
      </c>
      <c r="BR146" s="26" t="s">
        <v>115</v>
      </c>
      <c r="BS146" s="80" t="s">
        <v>115</v>
      </c>
      <c r="BT146" s="26" t="s">
        <v>115</v>
      </c>
      <c r="BU146" s="26" t="s">
        <v>115</v>
      </c>
      <c r="BV146" s="26" t="s">
        <v>110</v>
      </c>
      <c r="BW146" s="26" t="s">
        <v>178</v>
      </c>
      <c r="BX146" s="26" t="s">
        <v>124</v>
      </c>
      <c r="BY146" s="80" t="s">
        <v>115</v>
      </c>
      <c r="BZ146" s="26" t="s">
        <v>111</v>
      </c>
      <c r="CA146" s="26" t="s">
        <v>119</v>
      </c>
      <c r="CB146" s="26" t="s">
        <v>129</v>
      </c>
      <c r="CC146" s="26" t="s">
        <v>119</v>
      </c>
      <c r="CD146" s="26" t="s">
        <v>129</v>
      </c>
      <c r="CE146" s="26" t="s">
        <v>116</v>
      </c>
      <c r="CF146" s="26" t="s">
        <v>111</v>
      </c>
      <c r="CG146" s="26" t="s">
        <v>119</v>
      </c>
      <c r="CH146" s="80" t="s">
        <v>111</v>
      </c>
      <c r="CI146" s="26" t="s">
        <v>115</v>
      </c>
      <c r="CJ146" s="26" t="s">
        <v>119</v>
      </c>
      <c r="CK146" s="26" t="s">
        <v>125</v>
      </c>
      <c r="CL146" s="26" t="s">
        <v>111</v>
      </c>
      <c r="CM146" s="26" t="s">
        <v>120</v>
      </c>
      <c r="CN146" s="27" t="s">
        <v>549</v>
      </c>
      <c r="CO146" t="s">
        <v>785</v>
      </c>
      <c r="CP146">
        <f>IFERROR(VLOOKUP(H146,'Lista Lideres'!$A$1:$B$350,2,0),0)</f>
        <v>0</v>
      </c>
    </row>
    <row r="147" spans="1:94" ht="14.4" hidden="1" x14ac:dyDescent="0.3">
      <c r="A147" s="29">
        <v>45574.047250023148</v>
      </c>
      <c r="B147" s="30" t="s">
        <v>169</v>
      </c>
      <c r="C147" s="30" t="s">
        <v>783</v>
      </c>
      <c r="D147" s="30" t="s">
        <v>93</v>
      </c>
      <c r="E147" s="30" t="s">
        <v>426</v>
      </c>
      <c r="F147" s="30" t="s">
        <v>146</v>
      </c>
      <c r="G147" s="30" t="s">
        <v>550</v>
      </c>
      <c r="H147" s="30" t="s">
        <v>550</v>
      </c>
      <c r="I147" s="30" t="s">
        <v>195</v>
      </c>
      <c r="J147" s="30" t="s">
        <v>173</v>
      </c>
      <c r="K147" s="30" t="s">
        <v>174</v>
      </c>
      <c r="L147" s="79" t="s">
        <v>135</v>
      </c>
      <c r="M147" s="8" t="s">
        <v>104</v>
      </c>
      <c r="N147" s="79" t="s">
        <v>388</v>
      </c>
      <c r="O147" s="79" t="s">
        <v>106</v>
      </c>
      <c r="P147" s="79" t="s">
        <v>175</v>
      </c>
      <c r="Q147" s="110" t="s">
        <v>151</v>
      </c>
      <c r="R147" s="30" t="s">
        <v>109</v>
      </c>
      <c r="S147" s="30" t="s">
        <v>119</v>
      </c>
      <c r="T147" s="30" t="s">
        <v>119</v>
      </c>
      <c r="U147" s="30" t="s">
        <v>119</v>
      </c>
      <c r="V147" s="79" t="s">
        <v>112</v>
      </c>
      <c r="W147" s="79" t="s">
        <v>152</v>
      </c>
      <c r="X147" s="110" t="s">
        <v>114</v>
      </c>
      <c r="Y147" s="30" t="s">
        <v>110</v>
      </c>
      <c r="Z147" s="30" t="s">
        <v>110</v>
      </c>
      <c r="AA147" s="30" t="s">
        <v>110</v>
      </c>
      <c r="AB147" s="30" t="s">
        <v>119</v>
      </c>
      <c r="AC147" s="79" t="s">
        <v>110</v>
      </c>
      <c r="AD147" s="79" t="s">
        <v>137</v>
      </c>
      <c r="AE147" s="79" t="s">
        <v>118</v>
      </c>
      <c r="AF147" s="91" t="s">
        <v>119</v>
      </c>
      <c r="AG147" s="79" t="s">
        <v>120</v>
      </c>
      <c r="AH147" s="30" t="s">
        <v>122</v>
      </c>
      <c r="AI147" s="79" t="s">
        <v>121</v>
      </c>
      <c r="AJ147" s="79" t="s">
        <v>122</v>
      </c>
      <c r="AK147" s="79" t="s">
        <v>110</v>
      </c>
      <c r="AL147" s="30" t="s">
        <v>122</v>
      </c>
      <c r="AM147" s="30" t="s">
        <v>123</v>
      </c>
      <c r="AN147" s="30" t="s">
        <v>177</v>
      </c>
      <c r="AO147" s="79" t="s">
        <v>123</v>
      </c>
      <c r="AP147" s="30" t="s">
        <v>123</v>
      </c>
      <c r="AQ147" s="79" t="s">
        <v>125</v>
      </c>
      <c r="AR147" s="79" t="s">
        <v>111</v>
      </c>
      <c r="AS147" s="30" t="s">
        <v>119</v>
      </c>
      <c r="AT147" s="16" t="s">
        <v>111</v>
      </c>
      <c r="AU147" s="17" t="s">
        <v>111</v>
      </c>
      <c r="AV147" s="30" t="s">
        <v>111</v>
      </c>
      <c r="AW147" s="30" t="s">
        <v>111</v>
      </c>
      <c r="AX147" s="30" t="s">
        <v>110</v>
      </c>
      <c r="AY147" s="30" t="s">
        <v>111</v>
      </c>
      <c r="AZ147" s="79" t="s">
        <v>124</v>
      </c>
      <c r="BA147" s="79" t="s">
        <v>110</v>
      </c>
      <c r="BB147" s="79" t="s">
        <v>125</v>
      </c>
      <c r="BC147" s="79" t="s">
        <v>110</v>
      </c>
      <c r="BD147" s="91" t="s">
        <v>126</v>
      </c>
      <c r="BE147" s="79" t="s">
        <v>126</v>
      </c>
      <c r="BF147" s="79" t="s">
        <v>128</v>
      </c>
      <c r="BG147" s="30" t="s">
        <v>110</v>
      </c>
      <c r="BH147" s="79" t="s">
        <v>124</v>
      </c>
      <c r="BI147" s="30" t="s">
        <v>110</v>
      </c>
      <c r="BJ147" s="79" t="s">
        <v>111</v>
      </c>
      <c r="BK147" s="30" t="s">
        <v>122</v>
      </c>
      <c r="BL147" s="30" t="s">
        <v>124</v>
      </c>
      <c r="BM147" s="30" t="s">
        <v>110</v>
      </c>
      <c r="BN147" s="18" t="s">
        <v>110</v>
      </c>
      <c r="BO147" s="30" t="s">
        <v>119</v>
      </c>
      <c r="BP147" s="30" t="s">
        <v>111</v>
      </c>
      <c r="BQ147" s="30" t="s">
        <v>110</v>
      </c>
      <c r="BR147" s="30" t="s">
        <v>110</v>
      </c>
      <c r="BS147" s="79" t="s">
        <v>111</v>
      </c>
      <c r="BT147" s="30" t="s">
        <v>111</v>
      </c>
      <c r="BU147" s="30" t="s">
        <v>110</v>
      </c>
      <c r="BV147" s="30" t="s">
        <v>110</v>
      </c>
      <c r="BW147" s="30" t="s">
        <v>110</v>
      </c>
      <c r="BX147" s="30" t="s">
        <v>125</v>
      </c>
      <c r="BY147" s="79" t="s">
        <v>110</v>
      </c>
      <c r="BZ147" s="30" t="s">
        <v>111</v>
      </c>
      <c r="CA147" s="30" t="s">
        <v>119</v>
      </c>
      <c r="CB147" s="30" t="s">
        <v>119</v>
      </c>
      <c r="CC147" s="30" t="s">
        <v>110</v>
      </c>
      <c r="CD147" s="30" t="s">
        <v>111</v>
      </c>
      <c r="CE147" s="30" t="s">
        <v>209</v>
      </c>
      <c r="CF147" s="30" t="s">
        <v>110</v>
      </c>
      <c r="CG147" s="30" t="s">
        <v>119</v>
      </c>
      <c r="CH147" s="79" t="s">
        <v>110</v>
      </c>
      <c r="CI147" s="30" t="s">
        <v>111</v>
      </c>
      <c r="CJ147" s="30" t="s">
        <v>119</v>
      </c>
      <c r="CK147" s="30" t="s">
        <v>126</v>
      </c>
      <c r="CL147" s="30" t="s">
        <v>119</v>
      </c>
      <c r="CM147" s="30" t="s">
        <v>111</v>
      </c>
      <c r="CN147" s="28"/>
      <c r="CO147" t="s">
        <v>786</v>
      </c>
      <c r="CP147">
        <f>IFERROR(VLOOKUP(H147,'Lista Lideres'!$A$1:$B$350,2,0),0)</f>
        <v>0</v>
      </c>
    </row>
    <row r="148" spans="1:94" ht="14.4" hidden="1" x14ac:dyDescent="0.3">
      <c r="A148" s="25">
        <v>45573.026554675926</v>
      </c>
      <c r="B148" s="26" t="s">
        <v>169</v>
      </c>
      <c r="C148" s="26" t="s">
        <v>783</v>
      </c>
      <c r="D148" s="26" t="s">
        <v>93</v>
      </c>
      <c r="E148" s="26" t="s">
        <v>187</v>
      </c>
      <c r="F148" s="26" t="s">
        <v>97</v>
      </c>
      <c r="G148" s="26" t="s">
        <v>551</v>
      </c>
      <c r="H148" s="26" t="s">
        <v>551</v>
      </c>
      <c r="I148" s="26" t="s">
        <v>100</v>
      </c>
      <c r="J148" s="26" t="s">
        <v>173</v>
      </c>
      <c r="K148" s="26" t="s">
        <v>102</v>
      </c>
      <c r="L148" s="80" t="s">
        <v>150</v>
      </c>
      <c r="M148" s="8" t="s">
        <v>104</v>
      </c>
      <c r="N148" s="80" t="s">
        <v>388</v>
      </c>
      <c r="O148" s="80" t="s">
        <v>106</v>
      </c>
      <c r="P148" s="80" t="s">
        <v>107</v>
      </c>
      <c r="Q148" s="111" t="s">
        <v>163</v>
      </c>
      <c r="R148" s="26" t="s">
        <v>176</v>
      </c>
      <c r="S148" s="26" t="s">
        <v>110</v>
      </c>
      <c r="T148" s="26" t="s">
        <v>110</v>
      </c>
      <c r="U148" s="26" t="s">
        <v>119</v>
      </c>
      <c r="V148" s="80" t="s">
        <v>126</v>
      </c>
      <c r="W148" s="80" t="s">
        <v>152</v>
      </c>
      <c r="X148" s="111" t="s">
        <v>202</v>
      </c>
      <c r="Y148" s="26" t="s">
        <v>111</v>
      </c>
      <c r="Z148" s="26" t="s">
        <v>115</v>
      </c>
      <c r="AA148" s="26" t="s">
        <v>111</v>
      </c>
      <c r="AB148" s="26" t="s">
        <v>111</v>
      </c>
      <c r="AC148" s="80" t="s">
        <v>111</v>
      </c>
      <c r="AD148" s="80" t="s">
        <v>137</v>
      </c>
      <c r="AE148" s="80" t="s">
        <v>118</v>
      </c>
      <c r="AF148" s="92" t="s">
        <v>110</v>
      </c>
      <c r="AG148" s="80" t="s">
        <v>111</v>
      </c>
      <c r="AH148" s="26" t="s">
        <v>110</v>
      </c>
      <c r="AI148" s="80" t="s">
        <v>154</v>
      </c>
      <c r="AJ148" s="80" t="s">
        <v>197</v>
      </c>
      <c r="AK148" s="80" t="s">
        <v>225</v>
      </c>
      <c r="AL148" s="26" t="s">
        <v>110</v>
      </c>
      <c r="AM148" s="26" t="s">
        <v>110</v>
      </c>
      <c r="AN148" s="26" t="s">
        <v>123</v>
      </c>
      <c r="AO148" s="80" t="s">
        <v>123</v>
      </c>
      <c r="AP148" s="26" t="s">
        <v>178</v>
      </c>
      <c r="AQ148" s="80" t="s">
        <v>126</v>
      </c>
      <c r="AR148" s="80" t="s">
        <v>110</v>
      </c>
      <c r="AS148" s="26" t="s">
        <v>110</v>
      </c>
      <c r="AT148" s="9" t="s">
        <v>119</v>
      </c>
      <c r="AU148" s="10" t="s">
        <v>111</v>
      </c>
      <c r="AV148" s="26" t="s">
        <v>119</v>
      </c>
      <c r="AW148" s="26" t="s">
        <v>119</v>
      </c>
      <c r="AX148" s="26" t="s">
        <v>111</v>
      </c>
      <c r="AY148" s="26" t="s">
        <v>120</v>
      </c>
      <c r="AZ148" s="80" t="s">
        <v>126</v>
      </c>
      <c r="BA148" s="80" t="s">
        <v>111</v>
      </c>
      <c r="BB148" s="80" t="s">
        <v>139</v>
      </c>
      <c r="BC148" s="80" t="s">
        <v>110</v>
      </c>
      <c r="BD148" s="92" t="s">
        <v>126</v>
      </c>
      <c r="BE148" s="80" t="s">
        <v>140</v>
      </c>
      <c r="BF148" s="80" t="s">
        <v>141</v>
      </c>
      <c r="BG148" s="26" t="s">
        <v>110</v>
      </c>
      <c r="BH148" s="80" t="s">
        <v>124</v>
      </c>
      <c r="BI148" s="26" t="s">
        <v>111</v>
      </c>
      <c r="BJ148" s="80" t="s">
        <v>110</v>
      </c>
      <c r="BK148" s="26" t="s">
        <v>110</v>
      </c>
      <c r="BL148" s="26" t="s">
        <v>126</v>
      </c>
      <c r="BM148" s="26" t="s">
        <v>110</v>
      </c>
      <c r="BN148" s="11" t="s">
        <v>115</v>
      </c>
      <c r="BO148" s="26" t="s">
        <v>115</v>
      </c>
      <c r="BP148" s="26" t="s">
        <v>120</v>
      </c>
      <c r="BQ148" s="26" t="s">
        <v>115</v>
      </c>
      <c r="BR148" s="26" t="s">
        <v>110</v>
      </c>
      <c r="BS148" s="80" t="s">
        <v>111</v>
      </c>
      <c r="BT148" s="26" t="s">
        <v>111</v>
      </c>
      <c r="BU148" s="26" t="s">
        <v>111</v>
      </c>
      <c r="BV148" s="26" t="s">
        <v>110</v>
      </c>
      <c r="BW148" s="26" t="s">
        <v>110</v>
      </c>
      <c r="BX148" s="26" t="s">
        <v>126</v>
      </c>
      <c r="BY148" s="80" t="s">
        <v>111</v>
      </c>
      <c r="BZ148" s="26" t="s">
        <v>115</v>
      </c>
      <c r="CA148" s="26" t="s">
        <v>110</v>
      </c>
      <c r="CB148" s="26" t="s">
        <v>119</v>
      </c>
      <c r="CC148" s="26" t="s">
        <v>110</v>
      </c>
      <c r="CD148" s="26" t="s">
        <v>111</v>
      </c>
      <c r="CE148" s="26" t="s">
        <v>110</v>
      </c>
      <c r="CF148" s="26" t="s">
        <v>111</v>
      </c>
      <c r="CG148" s="26" t="s">
        <v>129</v>
      </c>
      <c r="CH148" s="80" t="s">
        <v>110</v>
      </c>
      <c r="CI148" s="26" t="s">
        <v>115</v>
      </c>
      <c r="CJ148" s="26" t="s">
        <v>119</v>
      </c>
      <c r="CK148" s="26" t="s">
        <v>126</v>
      </c>
      <c r="CL148" s="26" t="s">
        <v>110</v>
      </c>
      <c r="CM148" s="26" t="s">
        <v>111</v>
      </c>
      <c r="CN148" s="33"/>
      <c r="CO148" t="s">
        <v>786</v>
      </c>
      <c r="CP148">
        <f>IFERROR(VLOOKUP(H148,'Lista Lideres'!$A$1:$B$350,2,0),0)</f>
        <v>0</v>
      </c>
    </row>
    <row r="149" spans="1:94" ht="14.4" hidden="1" x14ac:dyDescent="0.3">
      <c r="A149" s="29">
        <v>45561.894204976852</v>
      </c>
      <c r="B149" s="30" t="s">
        <v>169</v>
      </c>
      <c r="C149" s="30" t="s">
        <v>783</v>
      </c>
      <c r="D149" s="30" t="s">
        <v>93</v>
      </c>
      <c r="E149" s="30" t="s">
        <v>180</v>
      </c>
      <c r="F149" s="30" t="s">
        <v>97</v>
      </c>
      <c r="G149" s="30" t="s">
        <v>552</v>
      </c>
      <c r="H149" s="30" t="s">
        <v>553</v>
      </c>
      <c r="I149" s="30" t="s">
        <v>149</v>
      </c>
      <c r="J149" s="30" t="s">
        <v>196</v>
      </c>
      <c r="K149" s="30" t="s">
        <v>191</v>
      </c>
      <c r="L149" s="79" t="s">
        <v>135</v>
      </c>
      <c r="M149" s="8" t="s">
        <v>104</v>
      </c>
      <c r="N149" s="79" t="s">
        <v>388</v>
      </c>
      <c r="O149" s="79" t="s">
        <v>106</v>
      </c>
      <c r="P149" s="79" t="s">
        <v>107</v>
      </c>
      <c r="Q149" s="110" t="s">
        <v>163</v>
      </c>
      <c r="R149" s="30" t="s">
        <v>109</v>
      </c>
      <c r="S149" s="30" t="s">
        <v>110</v>
      </c>
      <c r="T149" s="30" t="s">
        <v>119</v>
      </c>
      <c r="U149" s="30" t="s">
        <v>119</v>
      </c>
      <c r="V149" s="79" t="s">
        <v>136</v>
      </c>
      <c r="W149" s="79" t="s">
        <v>113</v>
      </c>
      <c r="X149" s="110" t="s">
        <v>153</v>
      </c>
      <c r="Y149" s="30" t="s">
        <v>111</v>
      </c>
      <c r="Z149" s="30" t="s">
        <v>115</v>
      </c>
      <c r="AA149" s="30" t="s">
        <v>110</v>
      </c>
      <c r="AB149" s="30" t="s">
        <v>110</v>
      </c>
      <c r="AC149" s="79" t="s">
        <v>110</v>
      </c>
      <c r="AD149" s="79" t="s">
        <v>221</v>
      </c>
      <c r="AE149" s="79" t="s">
        <v>138</v>
      </c>
      <c r="AF149" s="91" t="s">
        <v>110</v>
      </c>
      <c r="AG149" s="79" t="s">
        <v>110</v>
      </c>
      <c r="AH149" s="30" t="s">
        <v>110</v>
      </c>
      <c r="AI149" s="79" t="s">
        <v>110</v>
      </c>
      <c r="AJ149" s="79" t="s">
        <v>110</v>
      </c>
      <c r="AK149" s="79" t="s">
        <v>110</v>
      </c>
      <c r="AL149" s="30" t="s">
        <v>128</v>
      </c>
      <c r="AM149" s="30" t="s">
        <v>110</v>
      </c>
      <c r="AN149" s="30" t="s">
        <v>110</v>
      </c>
      <c r="AO149" s="79" t="s">
        <v>110</v>
      </c>
      <c r="AP149" s="30" t="s">
        <v>110</v>
      </c>
      <c r="AQ149" s="79" t="s">
        <v>126</v>
      </c>
      <c r="AR149" s="79" t="s">
        <v>110</v>
      </c>
      <c r="AS149" s="30" t="s">
        <v>110</v>
      </c>
      <c r="AT149" s="16" t="s">
        <v>119</v>
      </c>
      <c r="AU149" s="17" t="s">
        <v>110</v>
      </c>
      <c r="AV149" s="30" t="s">
        <v>110</v>
      </c>
      <c r="AW149" s="30" t="s">
        <v>110</v>
      </c>
      <c r="AX149" s="30" t="s">
        <v>110</v>
      </c>
      <c r="AY149" s="30" t="s">
        <v>120</v>
      </c>
      <c r="AZ149" s="79" t="s">
        <v>126</v>
      </c>
      <c r="BA149" s="79" t="s">
        <v>110</v>
      </c>
      <c r="BB149" s="79" t="s">
        <v>126</v>
      </c>
      <c r="BC149" s="79" t="s">
        <v>110</v>
      </c>
      <c r="BD149" s="91" t="s">
        <v>126</v>
      </c>
      <c r="BE149" s="79" t="s">
        <v>126</v>
      </c>
      <c r="BF149" s="79" t="s">
        <v>110</v>
      </c>
      <c r="BG149" s="30" t="s">
        <v>110</v>
      </c>
      <c r="BH149" s="79" t="s">
        <v>126</v>
      </c>
      <c r="BI149" s="30" t="s">
        <v>110</v>
      </c>
      <c r="BJ149" s="79" t="s">
        <v>110</v>
      </c>
      <c r="BK149" s="30" t="s">
        <v>110</v>
      </c>
      <c r="BL149" s="30" t="s">
        <v>126</v>
      </c>
      <c r="BM149" s="30" t="s">
        <v>110</v>
      </c>
      <c r="BN149" s="18" t="s">
        <v>111</v>
      </c>
      <c r="BO149" s="30" t="s">
        <v>111</v>
      </c>
      <c r="BP149" s="30" t="s">
        <v>120</v>
      </c>
      <c r="BQ149" s="30" t="s">
        <v>110</v>
      </c>
      <c r="BR149" s="30" t="s">
        <v>110</v>
      </c>
      <c r="BS149" s="79" t="s">
        <v>111</v>
      </c>
      <c r="BT149" s="30" t="s">
        <v>115</v>
      </c>
      <c r="BU149" s="30" t="s">
        <v>111</v>
      </c>
      <c r="BV149" s="30" t="s">
        <v>110</v>
      </c>
      <c r="BW149" s="30" t="s">
        <v>110</v>
      </c>
      <c r="BX149" s="30" t="s">
        <v>126</v>
      </c>
      <c r="BY149" s="79" t="s">
        <v>110</v>
      </c>
      <c r="BZ149" s="30" t="s">
        <v>115</v>
      </c>
      <c r="CA149" s="30" t="s">
        <v>110</v>
      </c>
      <c r="CB149" s="30" t="s">
        <v>119</v>
      </c>
      <c r="CC149" s="30" t="s">
        <v>110</v>
      </c>
      <c r="CD149" s="30" t="s">
        <v>129</v>
      </c>
      <c r="CE149" s="30" t="s">
        <v>110</v>
      </c>
      <c r="CF149" s="30" t="s">
        <v>110</v>
      </c>
      <c r="CG149" s="30" t="s">
        <v>129</v>
      </c>
      <c r="CH149" s="79" t="s">
        <v>110</v>
      </c>
      <c r="CI149" s="30" t="s">
        <v>110</v>
      </c>
      <c r="CJ149" s="30" t="s">
        <v>119</v>
      </c>
      <c r="CK149" s="30" t="s">
        <v>126</v>
      </c>
      <c r="CL149" s="30" t="s">
        <v>110</v>
      </c>
      <c r="CM149" s="30" t="s">
        <v>111</v>
      </c>
      <c r="CN149" s="28"/>
      <c r="CO149" t="s">
        <v>785</v>
      </c>
      <c r="CP149">
        <f>IFERROR(VLOOKUP(H149,'Lista Lideres'!$A$1:$B$350,2,0),0)</f>
        <v>0</v>
      </c>
    </row>
    <row r="150" spans="1:94" ht="14.4" hidden="1" x14ac:dyDescent="0.3">
      <c r="A150" s="29">
        <v>45574.581945821759</v>
      </c>
      <c r="B150" s="30" t="s">
        <v>169</v>
      </c>
      <c r="C150" s="30" t="s">
        <v>783</v>
      </c>
      <c r="D150" s="30" t="s">
        <v>131</v>
      </c>
      <c r="E150" s="30" t="s">
        <v>554</v>
      </c>
      <c r="F150" s="30" t="s">
        <v>96</v>
      </c>
      <c r="G150" s="30" t="s">
        <v>555</v>
      </c>
      <c r="H150" s="30" t="s">
        <v>556</v>
      </c>
      <c r="I150" s="30" t="s">
        <v>100</v>
      </c>
      <c r="J150" s="30" t="s">
        <v>173</v>
      </c>
      <c r="K150" s="30" t="s">
        <v>191</v>
      </c>
      <c r="L150" s="79" t="s">
        <v>150</v>
      </c>
      <c r="M150" s="8" t="s">
        <v>104</v>
      </c>
      <c r="N150" s="79" t="s">
        <v>388</v>
      </c>
      <c r="O150" s="79" t="s">
        <v>105</v>
      </c>
      <c r="P150" s="79" t="s">
        <v>501</v>
      </c>
      <c r="Q150" s="110" t="s">
        <v>163</v>
      </c>
      <c r="R150" s="30" t="s">
        <v>109</v>
      </c>
      <c r="S150" s="30" t="s">
        <v>110</v>
      </c>
      <c r="T150" s="30" t="s">
        <v>110</v>
      </c>
      <c r="U150" s="30" t="s">
        <v>110</v>
      </c>
      <c r="V150" s="79" t="s">
        <v>126</v>
      </c>
      <c r="W150" s="79" t="s">
        <v>363</v>
      </c>
      <c r="X150" s="110" t="s">
        <v>202</v>
      </c>
      <c r="Y150" s="30" t="s">
        <v>110</v>
      </c>
      <c r="Z150" s="30" t="s">
        <v>110</v>
      </c>
      <c r="AA150" s="30" t="s">
        <v>110</v>
      </c>
      <c r="AB150" s="30" t="s">
        <v>110</v>
      </c>
      <c r="AC150" s="79" t="s">
        <v>110</v>
      </c>
      <c r="AD150" s="79" t="s">
        <v>166</v>
      </c>
      <c r="AE150" s="79" t="s">
        <v>138</v>
      </c>
      <c r="AF150" s="91" t="s">
        <v>110</v>
      </c>
      <c r="AG150" s="79" t="s">
        <v>110</v>
      </c>
      <c r="AH150" s="30" t="s">
        <v>110</v>
      </c>
      <c r="AI150" s="79" t="s">
        <v>110</v>
      </c>
      <c r="AJ150" s="79" t="s">
        <v>110</v>
      </c>
      <c r="AK150" s="79" t="s">
        <v>110</v>
      </c>
      <c r="AL150" s="30" t="s">
        <v>110</v>
      </c>
      <c r="AM150" s="30" t="s">
        <v>110</v>
      </c>
      <c r="AN150" s="30" t="s">
        <v>110</v>
      </c>
      <c r="AO150" s="79" t="s">
        <v>110</v>
      </c>
      <c r="AP150" s="30" t="s">
        <v>110</v>
      </c>
      <c r="AQ150" s="79" t="s">
        <v>126</v>
      </c>
      <c r="AR150" s="79" t="s">
        <v>110</v>
      </c>
      <c r="AS150" s="30" t="s">
        <v>110</v>
      </c>
      <c r="AT150" s="16" t="s">
        <v>110</v>
      </c>
      <c r="AU150" s="17" t="s">
        <v>110</v>
      </c>
      <c r="AV150" s="30" t="s">
        <v>110</v>
      </c>
      <c r="AW150" s="30" t="s">
        <v>110</v>
      </c>
      <c r="AX150" s="30" t="s">
        <v>110</v>
      </c>
      <c r="AY150" s="30" t="s">
        <v>110</v>
      </c>
      <c r="AZ150" s="79" t="s">
        <v>126</v>
      </c>
      <c r="BA150" s="79" t="s">
        <v>110</v>
      </c>
      <c r="BB150" s="79" t="s">
        <v>126</v>
      </c>
      <c r="BC150" s="79" t="s">
        <v>110</v>
      </c>
      <c r="BD150" s="91" t="s">
        <v>126</v>
      </c>
      <c r="BE150" s="79" t="s">
        <v>126</v>
      </c>
      <c r="BF150" s="79" t="s">
        <v>110</v>
      </c>
      <c r="BG150" s="30" t="s">
        <v>110</v>
      </c>
      <c r="BH150" s="79" t="s">
        <v>126</v>
      </c>
      <c r="BI150" s="30" t="s">
        <v>110</v>
      </c>
      <c r="BJ150" s="79" t="s">
        <v>110</v>
      </c>
      <c r="BK150" s="30" t="s">
        <v>110</v>
      </c>
      <c r="BL150" s="30" t="s">
        <v>126</v>
      </c>
      <c r="BM150" s="30" t="s">
        <v>110</v>
      </c>
      <c r="BN150" s="18" t="s">
        <v>110</v>
      </c>
      <c r="BO150" s="30" t="s">
        <v>110</v>
      </c>
      <c r="BP150" s="30" t="s">
        <v>110</v>
      </c>
      <c r="BQ150" s="30" t="s">
        <v>110</v>
      </c>
      <c r="BR150" s="30" t="s">
        <v>110</v>
      </c>
      <c r="BS150" s="79" t="s">
        <v>110</v>
      </c>
      <c r="BT150" s="30" t="s">
        <v>110</v>
      </c>
      <c r="BU150" s="30" t="s">
        <v>110</v>
      </c>
      <c r="BV150" s="30" t="s">
        <v>110</v>
      </c>
      <c r="BW150" s="30" t="s">
        <v>110</v>
      </c>
      <c r="BX150" s="30" t="s">
        <v>126</v>
      </c>
      <c r="BY150" s="79" t="s">
        <v>110</v>
      </c>
      <c r="BZ150" s="30" t="s">
        <v>110</v>
      </c>
      <c r="CA150" s="30" t="s">
        <v>110</v>
      </c>
      <c r="CB150" s="30" t="s">
        <v>110</v>
      </c>
      <c r="CC150" s="30" t="s">
        <v>110</v>
      </c>
      <c r="CD150" s="30" t="s">
        <v>110</v>
      </c>
      <c r="CE150" s="30" t="s">
        <v>110</v>
      </c>
      <c r="CF150" s="30" t="s">
        <v>110</v>
      </c>
      <c r="CG150" s="30" t="s">
        <v>110</v>
      </c>
      <c r="CH150" s="79" t="s">
        <v>110</v>
      </c>
      <c r="CI150" s="30" t="s">
        <v>110</v>
      </c>
      <c r="CJ150" s="30" t="s">
        <v>110</v>
      </c>
      <c r="CK150" s="30" t="s">
        <v>126</v>
      </c>
      <c r="CL150" s="30" t="s">
        <v>110</v>
      </c>
      <c r="CM150" s="30" t="s">
        <v>110</v>
      </c>
      <c r="CN150" s="31"/>
      <c r="CO150" t="s">
        <v>786</v>
      </c>
      <c r="CP150">
        <f>IFERROR(VLOOKUP(H150,'Lista Lideres'!$A$1:$B$350,2,0),0)</f>
        <v>1</v>
      </c>
    </row>
    <row r="151" spans="1:94" ht="13.8" hidden="1" x14ac:dyDescent="0.3">
      <c r="A151" s="25">
        <v>45573.147793518518</v>
      </c>
      <c r="B151" s="30" t="s">
        <v>169</v>
      </c>
      <c r="C151" s="26" t="s">
        <v>783</v>
      </c>
      <c r="D151" s="26" t="s">
        <v>93</v>
      </c>
      <c r="E151" s="26" t="s">
        <v>187</v>
      </c>
      <c r="F151" s="26" t="s">
        <v>97</v>
      </c>
      <c r="G151" s="26" t="s">
        <v>361</v>
      </c>
      <c r="H151" s="26" t="s">
        <v>557</v>
      </c>
      <c r="I151" s="26" t="s">
        <v>149</v>
      </c>
      <c r="J151" s="26" t="s">
        <v>173</v>
      </c>
      <c r="K151" s="26" t="s">
        <v>191</v>
      </c>
      <c r="L151" s="80" t="s">
        <v>213</v>
      </c>
      <c r="M151" s="8" t="s">
        <v>104</v>
      </c>
      <c r="N151" s="80" t="s">
        <v>388</v>
      </c>
      <c r="O151" s="80" t="s">
        <v>106</v>
      </c>
      <c r="P151" s="80" t="s">
        <v>175</v>
      </c>
      <c r="Q151" s="111" t="s">
        <v>108</v>
      </c>
      <c r="R151" s="26" t="s">
        <v>109</v>
      </c>
      <c r="S151" s="26" t="s">
        <v>119</v>
      </c>
      <c r="T151" s="26" t="s">
        <v>129</v>
      </c>
      <c r="U151" s="26" t="s">
        <v>119</v>
      </c>
      <c r="V151" s="80" t="s">
        <v>136</v>
      </c>
      <c r="W151" s="80" t="s">
        <v>152</v>
      </c>
      <c r="X151" s="111" t="s">
        <v>153</v>
      </c>
      <c r="Y151" s="26" t="s">
        <v>110</v>
      </c>
      <c r="Z151" s="26" t="s">
        <v>111</v>
      </c>
      <c r="AA151" s="26" t="s">
        <v>111</v>
      </c>
      <c r="AB151" s="26" t="s">
        <v>111</v>
      </c>
      <c r="AC151" s="80" t="s">
        <v>119</v>
      </c>
      <c r="AD151" s="80" t="s">
        <v>221</v>
      </c>
      <c r="AE151" s="80" t="s">
        <v>138</v>
      </c>
      <c r="AF151" s="92" t="s">
        <v>110</v>
      </c>
      <c r="AG151" s="80" t="s">
        <v>168</v>
      </c>
      <c r="AH151" s="26" t="s">
        <v>168</v>
      </c>
      <c r="AI151" s="80" t="s">
        <v>154</v>
      </c>
      <c r="AJ151" s="80" t="s">
        <v>197</v>
      </c>
      <c r="AK151" s="80" t="s">
        <v>225</v>
      </c>
      <c r="AL151" s="26" t="s">
        <v>168</v>
      </c>
      <c r="AM151" s="26" t="s">
        <v>128</v>
      </c>
      <c r="AN151" s="26" t="s">
        <v>123</v>
      </c>
      <c r="AO151" s="80" t="s">
        <v>123</v>
      </c>
      <c r="AP151" s="26" t="s">
        <v>178</v>
      </c>
      <c r="AQ151" s="80" t="s">
        <v>126</v>
      </c>
      <c r="AR151" s="80" t="s">
        <v>110</v>
      </c>
      <c r="AS151" s="26" t="s">
        <v>110</v>
      </c>
      <c r="AT151" s="9" t="s">
        <v>119</v>
      </c>
      <c r="AU151" s="10" t="s">
        <v>111</v>
      </c>
      <c r="AV151" s="26" t="s">
        <v>119</v>
      </c>
      <c r="AW151" s="26" t="s">
        <v>110</v>
      </c>
      <c r="AX151" s="26" t="s">
        <v>110</v>
      </c>
      <c r="AY151" s="26" t="s">
        <v>111</v>
      </c>
      <c r="AZ151" s="80" t="s">
        <v>124</v>
      </c>
      <c r="BA151" s="80" t="s">
        <v>111</v>
      </c>
      <c r="BB151" s="80" t="s">
        <v>139</v>
      </c>
      <c r="BC151" s="80" t="s">
        <v>110</v>
      </c>
      <c r="BD151" s="92" t="s">
        <v>168</v>
      </c>
      <c r="BE151" s="80" t="s">
        <v>140</v>
      </c>
      <c r="BF151" s="80" t="s">
        <v>141</v>
      </c>
      <c r="BG151" s="26" t="s">
        <v>110</v>
      </c>
      <c r="BH151" s="80" t="s">
        <v>125</v>
      </c>
      <c r="BI151" s="26" t="s">
        <v>111</v>
      </c>
      <c r="BJ151" s="80" t="s">
        <v>168</v>
      </c>
      <c r="BK151" s="26" t="s">
        <v>168</v>
      </c>
      <c r="BL151" s="26" t="s">
        <v>124</v>
      </c>
      <c r="BM151" s="26" t="s">
        <v>110</v>
      </c>
      <c r="BN151" s="11" t="s">
        <v>119</v>
      </c>
      <c r="BO151" s="26" t="s">
        <v>119</v>
      </c>
      <c r="BP151" s="26" t="s">
        <v>110</v>
      </c>
      <c r="BQ151" s="26" t="s">
        <v>119</v>
      </c>
      <c r="BR151" s="26" t="s">
        <v>110</v>
      </c>
      <c r="BS151" s="80" t="s">
        <v>111</v>
      </c>
      <c r="BT151" s="26" t="s">
        <v>110</v>
      </c>
      <c r="BU151" s="26" t="s">
        <v>110</v>
      </c>
      <c r="BV151" s="26" t="s">
        <v>119</v>
      </c>
      <c r="BW151" s="26" t="s">
        <v>128</v>
      </c>
      <c r="BX151" s="26" t="s">
        <v>142</v>
      </c>
      <c r="BY151" s="80" t="s">
        <v>110</v>
      </c>
      <c r="BZ151" s="26" t="s">
        <v>111</v>
      </c>
      <c r="CA151" s="26" t="s">
        <v>119</v>
      </c>
      <c r="CB151" s="26" t="s">
        <v>110</v>
      </c>
      <c r="CC151" s="26" t="s">
        <v>111</v>
      </c>
      <c r="CD151" s="26" t="s">
        <v>119</v>
      </c>
      <c r="CE151" s="26" t="s">
        <v>110</v>
      </c>
      <c r="CF151" s="26" t="s">
        <v>111</v>
      </c>
      <c r="CG151" s="26" t="s">
        <v>129</v>
      </c>
      <c r="CH151" s="80" t="s">
        <v>119</v>
      </c>
      <c r="CI151" s="26" t="s">
        <v>115</v>
      </c>
      <c r="CJ151" s="26" t="s">
        <v>119</v>
      </c>
      <c r="CK151" s="26" t="s">
        <v>203</v>
      </c>
      <c r="CL151" s="26" t="s">
        <v>129</v>
      </c>
      <c r="CM151" s="26" t="s">
        <v>110</v>
      </c>
      <c r="CN151" s="27" t="s">
        <v>558</v>
      </c>
      <c r="CO151" t="s">
        <v>785</v>
      </c>
      <c r="CP151">
        <f>IFERROR(VLOOKUP(H151,'Lista Lideres'!$A$1:$B$350,2,0),0)</f>
        <v>0</v>
      </c>
    </row>
    <row r="152" spans="1:94" ht="13.8" hidden="1" x14ac:dyDescent="0.3">
      <c r="A152" s="29">
        <v>45573.092828819441</v>
      </c>
      <c r="B152" s="30" t="s">
        <v>169</v>
      </c>
      <c r="C152" s="30" t="s">
        <v>783</v>
      </c>
      <c r="D152" s="30" t="s">
        <v>93</v>
      </c>
      <c r="E152" s="30" t="s">
        <v>236</v>
      </c>
      <c r="F152" s="30" t="s">
        <v>96</v>
      </c>
      <c r="G152" s="30" t="s">
        <v>205</v>
      </c>
      <c r="H152" s="30" t="s">
        <v>559</v>
      </c>
      <c r="I152" s="30" t="s">
        <v>161</v>
      </c>
      <c r="J152" s="30" t="s">
        <v>101</v>
      </c>
      <c r="K152" s="30" t="s">
        <v>102</v>
      </c>
      <c r="L152" s="79" t="s">
        <v>103</v>
      </c>
      <c r="M152" s="8" t="s">
        <v>104</v>
      </c>
      <c r="N152" s="79" t="s">
        <v>388</v>
      </c>
      <c r="O152" s="79" t="s">
        <v>106</v>
      </c>
      <c r="P152" s="79" t="s">
        <v>107</v>
      </c>
      <c r="Q152" s="110" t="s">
        <v>108</v>
      </c>
      <c r="R152" s="79" t="s">
        <v>184</v>
      </c>
      <c r="S152" s="30" t="s">
        <v>110</v>
      </c>
      <c r="T152" s="30" t="s">
        <v>119</v>
      </c>
      <c r="U152" s="30" t="s">
        <v>119</v>
      </c>
      <c r="V152" s="79" t="s">
        <v>112</v>
      </c>
      <c r="W152" s="79" t="s">
        <v>113</v>
      </c>
      <c r="X152" s="110" t="s">
        <v>235</v>
      </c>
      <c r="Y152" s="30" t="s">
        <v>111</v>
      </c>
      <c r="Z152" s="30" t="s">
        <v>115</v>
      </c>
      <c r="AA152" s="30" t="s">
        <v>110</v>
      </c>
      <c r="AB152" s="30" t="s">
        <v>111</v>
      </c>
      <c r="AC152" s="79" t="s">
        <v>111</v>
      </c>
      <c r="AD152" s="79" t="s">
        <v>137</v>
      </c>
      <c r="AE152" s="79" t="s">
        <v>138</v>
      </c>
      <c r="AF152" s="91" t="s">
        <v>119</v>
      </c>
      <c r="AG152" s="79" t="s">
        <v>111</v>
      </c>
      <c r="AH152" s="30" t="s">
        <v>122</v>
      </c>
      <c r="AI152" s="79" t="s">
        <v>122</v>
      </c>
      <c r="AJ152" s="79" t="s">
        <v>122</v>
      </c>
      <c r="AK152" s="79" t="s">
        <v>122</v>
      </c>
      <c r="AL152" s="30" t="s">
        <v>177</v>
      </c>
      <c r="AM152" s="30" t="s">
        <v>123</v>
      </c>
      <c r="AN152" s="30" t="s">
        <v>177</v>
      </c>
      <c r="AO152" s="79" t="s">
        <v>123</v>
      </c>
      <c r="AP152" s="30" t="s">
        <v>123</v>
      </c>
      <c r="AQ152" s="79" t="s">
        <v>126</v>
      </c>
      <c r="AR152" s="79" t="s">
        <v>110</v>
      </c>
      <c r="AS152" s="30" t="s">
        <v>119</v>
      </c>
      <c r="AT152" s="16" t="s">
        <v>111</v>
      </c>
      <c r="AU152" s="17" t="s">
        <v>111</v>
      </c>
      <c r="AV152" s="30" t="s">
        <v>119</v>
      </c>
      <c r="AW152" s="30" t="s">
        <v>119</v>
      </c>
      <c r="AX152" s="30" t="s">
        <v>110</v>
      </c>
      <c r="AY152" s="30" t="s">
        <v>120</v>
      </c>
      <c r="AZ152" s="79" t="s">
        <v>126</v>
      </c>
      <c r="BA152" s="79" t="s">
        <v>119</v>
      </c>
      <c r="BB152" s="79" t="s">
        <v>214</v>
      </c>
      <c r="BC152" s="79" t="s">
        <v>119</v>
      </c>
      <c r="BD152" s="91" t="s">
        <v>124</v>
      </c>
      <c r="BE152" s="79" t="s">
        <v>126</v>
      </c>
      <c r="BF152" s="79" t="s">
        <v>122</v>
      </c>
      <c r="BG152" s="30" t="s">
        <v>119</v>
      </c>
      <c r="BH152" s="79" t="s">
        <v>125</v>
      </c>
      <c r="BI152" s="30" t="s">
        <v>111</v>
      </c>
      <c r="BJ152" s="79" t="s">
        <v>119</v>
      </c>
      <c r="BK152" s="30" t="s">
        <v>122</v>
      </c>
      <c r="BL152" s="30" t="s">
        <v>126</v>
      </c>
      <c r="BM152" s="30" t="s">
        <v>110</v>
      </c>
      <c r="BN152" s="18" t="s">
        <v>115</v>
      </c>
      <c r="BO152" s="30" t="s">
        <v>111</v>
      </c>
      <c r="BP152" s="30" t="s">
        <v>120</v>
      </c>
      <c r="BQ152" s="30" t="s">
        <v>110</v>
      </c>
      <c r="BR152" s="30" t="s">
        <v>110</v>
      </c>
      <c r="BS152" s="79" t="s">
        <v>110</v>
      </c>
      <c r="BT152" s="30" t="s">
        <v>115</v>
      </c>
      <c r="BU152" s="30" t="s">
        <v>119</v>
      </c>
      <c r="BV152" s="30" t="s">
        <v>111</v>
      </c>
      <c r="BW152" s="30" t="s">
        <v>110</v>
      </c>
      <c r="BX152" s="30" t="s">
        <v>125</v>
      </c>
      <c r="BY152" s="79" t="s">
        <v>119</v>
      </c>
      <c r="BZ152" s="30" t="s">
        <v>111</v>
      </c>
      <c r="CA152" s="30" t="s">
        <v>119</v>
      </c>
      <c r="CB152" s="30" t="s">
        <v>119</v>
      </c>
      <c r="CC152" s="30" t="s">
        <v>110</v>
      </c>
      <c r="CD152" s="30" t="s">
        <v>110</v>
      </c>
      <c r="CE152" s="30" t="s">
        <v>209</v>
      </c>
      <c r="CF152" s="30" t="s">
        <v>110</v>
      </c>
      <c r="CG152" s="30" t="s">
        <v>129</v>
      </c>
      <c r="CH152" s="79" t="s">
        <v>119</v>
      </c>
      <c r="CI152" s="30" t="s">
        <v>115</v>
      </c>
      <c r="CJ152" s="30" t="s">
        <v>110</v>
      </c>
      <c r="CK152" s="30" t="s">
        <v>126</v>
      </c>
      <c r="CL152" s="30" t="s">
        <v>110</v>
      </c>
      <c r="CM152" s="30" t="s">
        <v>110</v>
      </c>
      <c r="CN152" s="27" t="s">
        <v>560</v>
      </c>
      <c r="CO152" t="s">
        <v>785</v>
      </c>
      <c r="CP152">
        <f>IFERROR(VLOOKUP(H152,'Lista Lideres'!$A$1:$B$350,2,0),0)</f>
        <v>0</v>
      </c>
    </row>
    <row r="153" spans="1:94" ht="14.4" hidden="1" x14ac:dyDescent="0.3">
      <c r="A153" s="25">
        <v>45562.642422245372</v>
      </c>
      <c r="B153" s="30" t="s">
        <v>169</v>
      </c>
      <c r="C153" s="26" t="s">
        <v>783</v>
      </c>
      <c r="D153" s="26" t="s">
        <v>93</v>
      </c>
      <c r="E153" s="26" t="s">
        <v>187</v>
      </c>
      <c r="F153" s="26" t="s">
        <v>171</v>
      </c>
      <c r="G153" s="26" t="s">
        <v>205</v>
      </c>
      <c r="H153" s="26" t="s">
        <v>205</v>
      </c>
      <c r="I153" s="26" t="s">
        <v>100</v>
      </c>
      <c r="J153" s="26" t="s">
        <v>196</v>
      </c>
      <c r="K153" s="26" t="s">
        <v>102</v>
      </c>
      <c r="L153" s="80" t="s">
        <v>135</v>
      </c>
      <c r="M153" s="8" t="s">
        <v>104</v>
      </c>
      <c r="N153" s="80" t="s">
        <v>388</v>
      </c>
      <c r="O153" s="80" t="s">
        <v>106</v>
      </c>
      <c r="P153" s="80" t="s">
        <v>107</v>
      </c>
      <c r="Q153" s="111" t="s">
        <v>108</v>
      </c>
      <c r="R153" s="26" t="s">
        <v>314</v>
      </c>
      <c r="S153" s="26" t="s">
        <v>110</v>
      </c>
      <c r="T153" s="26" t="s">
        <v>111</v>
      </c>
      <c r="U153" s="26" t="s">
        <v>119</v>
      </c>
      <c r="V153" s="80" t="s">
        <v>112</v>
      </c>
      <c r="W153" s="80" t="s">
        <v>113</v>
      </c>
      <c r="X153" s="111" t="s">
        <v>153</v>
      </c>
      <c r="Y153" s="26" t="s">
        <v>115</v>
      </c>
      <c r="Z153" s="26" t="s">
        <v>111</v>
      </c>
      <c r="AA153" s="26" t="s">
        <v>110</v>
      </c>
      <c r="AB153" s="26" t="s">
        <v>110</v>
      </c>
      <c r="AC153" s="80" t="s">
        <v>111</v>
      </c>
      <c r="AD153" s="80" t="s">
        <v>117</v>
      </c>
      <c r="AE153" s="80" t="s">
        <v>138</v>
      </c>
      <c r="AF153" s="92" t="s">
        <v>110</v>
      </c>
      <c r="AG153" s="80" t="s">
        <v>110</v>
      </c>
      <c r="AH153" s="26" t="s">
        <v>110</v>
      </c>
      <c r="AI153" s="80" t="s">
        <v>110</v>
      </c>
      <c r="AJ153" s="80" t="s">
        <v>110</v>
      </c>
      <c r="AK153" s="80" t="s">
        <v>110</v>
      </c>
      <c r="AL153" s="26" t="s">
        <v>110</v>
      </c>
      <c r="AM153" s="26" t="s">
        <v>128</v>
      </c>
      <c r="AN153" s="26" t="s">
        <v>110</v>
      </c>
      <c r="AO153" s="80" t="s">
        <v>110</v>
      </c>
      <c r="AP153" s="26" t="s">
        <v>110</v>
      </c>
      <c r="AQ153" s="80" t="s">
        <v>126</v>
      </c>
      <c r="AR153" s="80" t="s">
        <v>110</v>
      </c>
      <c r="AS153" s="26" t="s">
        <v>110</v>
      </c>
      <c r="AT153" s="9" t="s">
        <v>129</v>
      </c>
      <c r="AU153" s="10" t="s">
        <v>119</v>
      </c>
      <c r="AV153" s="26" t="s">
        <v>119</v>
      </c>
      <c r="AW153" s="26" t="s">
        <v>119</v>
      </c>
      <c r="AX153" s="26" t="s">
        <v>119</v>
      </c>
      <c r="AY153" s="26" t="s">
        <v>111</v>
      </c>
      <c r="AZ153" s="80" t="s">
        <v>124</v>
      </c>
      <c r="BA153" s="80" t="s">
        <v>111</v>
      </c>
      <c r="BB153" s="80" t="s">
        <v>126</v>
      </c>
      <c r="BC153" s="80" t="s">
        <v>111</v>
      </c>
      <c r="BD153" s="92" t="s">
        <v>125</v>
      </c>
      <c r="BE153" s="80" t="s">
        <v>126</v>
      </c>
      <c r="BF153" s="80" t="s">
        <v>110</v>
      </c>
      <c r="BG153" s="26" t="s">
        <v>110</v>
      </c>
      <c r="BH153" s="80" t="s">
        <v>125</v>
      </c>
      <c r="BI153" s="26" t="s">
        <v>111</v>
      </c>
      <c r="BJ153" s="80" t="s">
        <v>110</v>
      </c>
      <c r="BK153" s="26" t="s">
        <v>110</v>
      </c>
      <c r="BL153" s="26" t="s">
        <v>126</v>
      </c>
      <c r="BM153" s="26" t="s">
        <v>110</v>
      </c>
      <c r="BN153" s="11" t="s">
        <v>111</v>
      </c>
      <c r="BO153" s="26" t="s">
        <v>115</v>
      </c>
      <c r="BP153" s="26" t="s">
        <v>120</v>
      </c>
      <c r="BQ153" s="26" t="s">
        <v>110</v>
      </c>
      <c r="BR153" s="26" t="s">
        <v>110</v>
      </c>
      <c r="BS153" s="80" t="s">
        <v>110</v>
      </c>
      <c r="BT153" s="26" t="s">
        <v>111</v>
      </c>
      <c r="BU153" s="26" t="s">
        <v>111</v>
      </c>
      <c r="BV153" s="26" t="s">
        <v>110</v>
      </c>
      <c r="BW153" s="26" t="s">
        <v>110</v>
      </c>
      <c r="BX153" s="26" t="s">
        <v>126</v>
      </c>
      <c r="BY153" s="80" t="s">
        <v>111</v>
      </c>
      <c r="BZ153" s="26" t="s">
        <v>111</v>
      </c>
      <c r="CA153" s="26" t="s">
        <v>110</v>
      </c>
      <c r="CB153" s="26" t="s">
        <v>119</v>
      </c>
      <c r="CC153" s="26" t="s">
        <v>110</v>
      </c>
      <c r="CD153" s="26" t="s">
        <v>110</v>
      </c>
      <c r="CE153" s="26" t="s">
        <v>110</v>
      </c>
      <c r="CF153" s="26" t="s">
        <v>110</v>
      </c>
      <c r="CG153" s="26" t="s">
        <v>110</v>
      </c>
      <c r="CH153" s="80" t="s">
        <v>111</v>
      </c>
      <c r="CI153" s="26" t="s">
        <v>111</v>
      </c>
      <c r="CJ153" s="26" t="s">
        <v>110</v>
      </c>
      <c r="CK153" s="26" t="s">
        <v>126</v>
      </c>
      <c r="CL153" s="26" t="s">
        <v>110</v>
      </c>
      <c r="CM153" s="26" t="s">
        <v>111</v>
      </c>
      <c r="CN153" s="33"/>
      <c r="CO153" t="s">
        <v>786</v>
      </c>
      <c r="CP153">
        <f>IFERROR(VLOOKUP(H153,'Lista Lideres'!$A$1:$B$350,2,0),0)</f>
        <v>0</v>
      </c>
    </row>
    <row r="154" spans="1:94" ht="13.8" hidden="1" x14ac:dyDescent="0.3">
      <c r="A154" s="29">
        <v>45573.187603460647</v>
      </c>
      <c r="B154" s="30" t="s">
        <v>169</v>
      </c>
      <c r="C154" s="30" t="s">
        <v>783</v>
      </c>
      <c r="D154" s="30" t="s">
        <v>93</v>
      </c>
      <c r="E154" s="30" t="s">
        <v>187</v>
      </c>
      <c r="F154" s="30" t="s">
        <v>171</v>
      </c>
      <c r="G154" s="30" t="s">
        <v>98</v>
      </c>
      <c r="H154" s="30" t="s">
        <v>159</v>
      </c>
      <c r="I154" s="30" t="s">
        <v>195</v>
      </c>
      <c r="J154" s="30" t="s">
        <v>196</v>
      </c>
      <c r="K154" s="30" t="s">
        <v>102</v>
      </c>
      <c r="L154" s="79" t="s">
        <v>135</v>
      </c>
      <c r="M154" s="8" t="s">
        <v>104</v>
      </c>
      <c r="N154" s="79" t="s">
        <v>388</v>
      </c>
      <c r="O154" s="79" t="s">
        <v>106</v>
      </c>
      <c r="P154" s="79" t="s">
        <v>107</v>
      </c>
      <c r="Q154" s="110" t="s">
        <v>163</v>
      </c>
      <c r="R154" s="30" t="s">
        <v>109</v>
      </c>
      <c r="S154" s="30" t="s">
        <v>110</v>
      </c>
      <c r="T154" s="30" t="s">
        <v>110</v>
      </c>
      <c r="U154" s="30" t="s">
        <v>110</v>
      </c>
      <c r="V154" s="79" t="s">
        <v>126</v>
      </c>
      <c r="W154" s="79" t="s">
        <v>113</v>
      </c>
      <c r="X154" s="110" t="s">
        <v>165</v>
      </c>
      <c r="Y154" s="30" t="s">
        <v>111</v>
      </c>
      <c r="Z154" s="30" t="s">
        <v>110</v>
      </c>
      <c r="AA154" s="30" t="s">
        <v>111</v>
      </c>
      <c r="AB154" s="30" t="s">
        <v>119</v>
      </c>
      <c r="AC154" s="79" t="s">
        <v>116</v>
      </c>
      <c r="AD154" s="79" t="s">
        <v>137</v>
      </c>
      <c r="AE154" s="79" t="s">
        <v>185</v>
      </c>
      <c r="AF154" s="91" t="s">
        <v>110</v>
      </c>
      <c r="AG154" s="79" t="s">
        <v>111</v>
      </c>
      <c r="AH154" s="30" t="s">
        <v>110</v>
      </c>
      <c r="AI154" s="79" t="s">
        <v>154</v>
      </c>
      <c r="AJ154" s="79" t="s">
        <v>110</v>
      </c>
      <c r="AK154" s="79" t="s">
        <v>110</v>
      </c>
      <c r="AL154" s="30" t="s">
        <v>110</v>
      </c>
      <c r="AM154" s="30" t="s">
        <v>110</v>
      </c>
      <c r="AN154" s="30" t="s">
        <v>128</v>
      </c>
      <c r="AO154" s="79" t="s">
        <v>110</v>
      </c>
      <c r="AP154" s="30" t="s">
        <v>110</v>
      </c>
      <c r="AQ154" s="79" t="s">
        <v>126</v>
      </c>
      <c r="AR154" s="79" t="s">
        <v>110</v>
      </c>
      <c r="AS154" s="30" t="s">
        <v>119</v>
      </c>
      <c r="AT154" s="16" t="s">
        <v>119</v>
      </c>
      <c r="AU154" s="17" t="s">
        <v>119</v>
      </c>
      <c r="AV154" s="30" t="s">
        <v>111</v>
      </c>
      <c r="AW154" s="30" t="s">
        <v>110</v>
      </c>
      <c r="AX154" s="30" t="s">
        <v>110</v>
      </c>
      <c r="AY154" s="30" t="s">
        <v>120</v>
      </c>
      <c r="AZ154" s="79" t="s">
        <v>126</v>
      </c>
      <c r="BA154" s="79" t="s">
        <v>110</v>
      </c>
      <c r="BB154" s="79" t="s">
        <v>126</v>
      </c>
      <c r="BC154" s="79" t="s">
        <v>110</v>
      </c>
      <c r="BD154" s="91" t="s">
        <v>126</v>
      </c>
      <c r="BE154" s="79" t="s">
        <v>140</v>
      </c>
      <c r="BF154" s="79" t="s">
        <v>110</v>
      </c>
      <c r="BG154" s="30" t="s">
        <v>119</v>
      </c>
      <c r="BH154" s="79" t="s">
        <v>124</v>
      </c>
      <c r="BI154" s="30" t="s">
        <v>119</v>
      </c>
      <c r="BJ154" s="79" t="s">
        <v>110</v>
      </c>
      <c r="BK154" s="30" t="s">
        <v>110</v>
      </c>
      <c r="BL154" s="30" t="s">
        <v>126</v>
      </c>
      <c r="BM154" s="30" t="s">
        <v>110</v>
      </c>
      <c r="BN154" s="18" t="s">
        <v>111</v>
      </c>
      <c r="BO154" s="30" t="s">
        <v>119</v>
      </c>
      <c r="BP154" s="30" t="s">
        <v>120</v>
      </c>
      <c r="BQ154" s="30" t="s">
        <v>115</v>
      </c>
      <c r="BR154" s="30" t="s">
        <v>110</v>
      </c>
      <c r="BS154" s="79" t="s">
        <v>115</v>
      </c>
      <c r="BT154" s="30" t="s">
        <v>115</v>
      </c>
      <c r="BU154" s="30" t="s">
        <v>110</v>
      </c>
      <c r="BV154" s="30" t="s">
        <v>110</v>
      </c>
      <c r="BW154" s="30" t="s">
        <v>110</v>
      </c>
      <c r="BX154" s="30" t="s">
        <v>125</v>
      </c>
      <c r="BY154" s="79" t="s">
        <v>110</v>
      </c>
      <c r="BZ154" s="30" t="s">
        <v>115</v>
      </c>
      <c r="CA154" s="30" t="s">
        <v>110</v>
      </c>
      <c r="CB154" s="30" t="s">
        <v>110</v>
      </c>
      <c r="CC154" s="30" t="s">
        <v>110</v>
      </c>
      <c r="CD154" s="30" t="s">
        <v>110</v>
      </c>
      <c r="CE154" s="30" t="s">
        <v>116</v>
      </c>
      <c r="CF154" s="30" t="s">
        <v>111</v>
      </c>
      <c r="CG154" s="30" t="s">
        <v>119</v>
      </c>
      <c r="CH154" s="79" t="s">
        <v>110</v>
      </c>
      <c r="CI154" s="30" t="s">
        <v>111</v>
      </c>
      <c r="CJ154" s="30" t="s">
        <v>129</v>
      </c>
      <c r="CK154" s="30" t="s">
        <v>126</v>
      </c>
      <c r="CL154" s="30" t="s">
        <v>110</v>
      </c>
      <c r="CM154" s="30" t="s">
        <v>110</v>
      </c>
      <c r="CN154" s="27" t="s">
        <v>561</v>
      </c>
      <c r="CO154" t="s">
        <v>786</v>
      </c>
      <c r="CP154">
        <f>IFERROR(VLOOKUP(H154,'Lista Lideres'!$A$1:$B$350,2,0),0)</f>
        <v>0</v>
      </c>
    </row>
    <row r="155" spans="1:94" ht="14.4" hidden="1" x14ac:dyDescent="0.3">
      <c r="A155" s="25">
        <v>45574.644817083332</v>
      </c>
      <c r="B155" s="30" t="s">
        <v>169</v>
      </c>
      <c r="C155" s="26" t="s">
        <v>783</v>
      </c>
      <c r="D155" s="26" t="s">
        <v>93</v>
      </c>
      <c r="E155" s="26" t="s">
        <v>236</v>
      </c>
      <c r="F155" s="26" t="s">
        <v>171</v>
      </c>
      <c r="G155" s="26" t="s">
        <v>98</v>
      </c>
      <c r="H155" s="26" t="s">
        <v>559</v>
      </c>
      <c r="I155" s="26" t="s">
        <v>100</v>
      </c>
      <c r="J155" s="26" t="s">
        <v>196</v>
      </c>
      <c r="K155" s="26" t="s">
        <v>102</v>
      </c>
      <c r="L155" s="80" t="s">
        <v>103</v>
      </c>
      <c r="M155" s="8" t="s">
        <v>104</v>
      </c>
      <c r="N155" s="80" t="s">
        <v>388</v>
      </c>
      <c r="O155" s="80" t="s">
        <v>106</v>
      </c>
      <c r="P155" s="80" t="s">
        <v>175</v>
      </c>
      <c r="Q155" s="111" t="s">
        <v>163</v>
      </c>
      <c r="R155" s="26" t="s">
        <v>164</v>
      </c>
      <c r="S155" s="26" t="s">
        <v>120</v>
      </c>
      <c r="T155" s="26" t="s">
        <v>115</v>
      </c>
      <c r="U155" s="26" t="s">
        <v>111</v>
      </c>
      <c r="V155" s="80" t="s">
        <v>112</v>
      </c>
      <c r="W155" s="80" t="s">
        <v>113</v>
      </c>
      <c r="X155" s="111" t="s">
        <v>114</v>
      </c>
      <c r="Y155" s="26" t="s">
        <v>115</v>
      </c>
      <c r="Z155" s="26" t="s">
        <v>115</v>
      </c>
      <c r="AA155" s="26" t="s">
        <v>115</v>
      </c>
      <c r="AB155" s="26" t="s">
        <v>115</v>
      </c>
      <c r="AC155" s="80" t="s">
        <v>116</v>
      </c>
      <c r="AD155" s="80" t="s">
        <v>117</v>
      </c>
      <c r="AE155" s="80" t="s">
        <v>167</v>
      </c>
      <c r="AF155" s="92" t="s">
        <v>120</v>
      </c>
      <c r="AG155" s="80" t="s">
        <v>110</v>
      </c>
      <c r="AH155" s="26" t="s">
        <v>110</v>
      </c>
      <c r="AI155" s="80" t="s">
        <v>110</v>
      </c>
      <c r="AJ155" s="80" t="s">
        <v>110</v>
      </c>
      <c r="AK155" s="80" t="s">
        <v>110</v>
      </c>
      <c r="AL155" s="26" t="s">
        <v>110</v>
      </c>
      <c r="AM155" s="26" t="s">
        <v>110</v>
      </c>
      <c r="AN155" s="26" t="s">
        <v>110</v>
      </c>
      <c r="AO155" s="80" t="s">
        <v>110</v>
      </c>
      <c r="AP155" s="26" t="s">
        <v>110</v>
      </c>
      <c r="AQ155" s="80" t="s">
        <v>124</v>
      </c>
      <c r="AR155" s="80" t="s">
        <v>110</v>
      </c>
      <c r="AS155" s="26" t="s">
        <v>119</v>
      </c>
      <c r="AT155" s="9" t="s">
        <v>110</v>
      </c>
      <c r="AU155" s="10" t="s">
        <v>110</v>
      </c>
      <c r="AV155" s="26" t="s">
        <v>110</v>
      </c>
      <c r="AW155" s="26" t="s">
        <v>110</v>
      </c>
      <c r="AX155" s="26" t="s">
        <v>110</v>
      </c>
      <c r="AY155" s="26" t="s">
        <v>111</v>
      </c>
      <c r="AZ155" s="80" t="s">
        <v>126</v>
      </c>
      <c r="BA155" s="80" t="s">
        <v>110</v>
      </c>
      <c r="BB155" s="80" t="s">
        <v>126</v>
      </c>
      <c r="BC155" s="80" t="s">
        <v>110</v>
      </c>
      <c r="BD155" s="92" t="s">
        <v>126</v>
      </c>
      <c r="BE155" s="80" t="s">
        <v>126</v>
      </c>
      <c r="BF155" s="80" t="s">
        <v>110</v>
      </c>
      <c r="BG155" s="26" t="s">
        <v>111</v>
      </c>
      <c r="BH155" s="80" t="s">
        <v>125</v>
      </c>
      <c r="BI155" s="26" t="s">
        <v>111</v>
      </c>
      <c r="BJ155" s="80" t="s">
        <v>111</v>
      </c>
      <c r="BK155" s="26" t="s">
        <v>110</v>
      </c>
      <c r="BL155" s="26" t="s">
        <v>126</v>
      </c>
      <c r="BM155" s="26" t="s">
        <v>110</v>
      </c>
      <c r="BN155" s="11" t="s">
        <v>115</v>
      </c>
      <c r="BO155" s="26" t="s">
        <v>115</v>
      </c>
      <c r="BP155" s="26" t="s">
        <v>120</v>
      </c>
      <c r="BQ155" s="26" t="s">
        <v>111</v>
      </c>
      <c r="BR155" s="26" t="s">
        <v>111</v>
      </c>
      <c r="BS155" s="80" t="s">
        <v>115</v>
      </c>
      <c r="BT155" s="26" t="s">
        <v>115</v>
      </c>
      <c r="BU155" s="26" t="s">
        <v>115</v>
      </c>
      <c r="BV155" s="26" t="s">
        <v>110</v>
      </c>
      <c r="BW155" s="26" t="s">
        <v>178</v>
      </c>
      <c r="BX155" s="26" t="s">
        <v>203</v>
      </c>
      <c r="BY155" s="80" t="s">
        <v>115</v>
      </c>
      <c r="BZ155" s="26" t="s">
        <v>115</v>
      </c>
      <c r="CA155" s="26" t="s">
        <v>115</v>
      </c>
      <c r="CB155" s="26" t="s">
        <v>119</v>
      </c>
      <c r="CC155" s="26" t="s">
        <v>115</v>
      </c>
      <c r="CD155" s="26" t="s">
        <v>110</v>
      </c>
      <c r="CE155" s="26" t="s">
        <v>127</v>
      </c>
      <c r="CF155" s="26" t="s">
        <v>111</v>
      </c>
      <c r="CG155" s="26" t="s">
        <v>110</v>
      </c>
      <c r="CH155" s="80" t="s">
        <v>110</v>
      </c>
      <c r="CI155" s="26" t="s">
        <v>115</v>
      </c>
      <c r="CJ155" s="26" t="s">
        <v>119</v>
      </c>
      <c r="CK155" s="26" t="s">
        <v>124</v>
      </c>
      <c r="CL155" s="26" t="s">
        <v>115</v>
      </c>
      <c r="CM155" s="26" t="s">
        <v>120</v>
      </c>
      <c r="CN155" s="28"/>
      <c r="CO155" t="s">
        <v>786</v>
      </c>
      <c r="CP155">
        <f>IFERROR(VLOOKUP(H155,'Lista Lideres'!$A$1:$B$350,2,0),0)</f>
        <v>0</v>
      </c>
    </row>
    <row r="156" spans="1:94" ht="13.8" hidden="1" x14ac:dyDescent="0.3">
      <c r="A156" s="25">
        <v>45572.970528171296</v>
      </c>
      <c r="B156" s="30" t="s">
        <v>169</v>
      </c>
      <c r="C156" s="26" t="s">
        <v>783</v>
      </c>
      <c r="D156" s="26" t="s">
        <v>93</v>
      </c>
      <c r="E156" s="26" t="s">
        <v>236</v>
      </c>
      <c r="F156" s="26" t="s">
        <v>171</v>
      </c>
      <c r="G156" s="26" t="s">
        <v>562</v>
      </c>
      <c r="H156" s="26" t="s">
        <v>562</v>
      </c>
      <c r="I156" s="26" t="s">
        <v>100</v>
      </c>
      <c r="J156" s="26" t="s">
        <v>196</v>
      </c>
      <c r="K156" s="26" t="s">
        <v>102</v>
      </c>
      <c r="L156" s="80" t="s">
        <v>103</v>
      </c>
      <c r="M156" s="8" t="s">
        <v>104</v>
      </c>
      <c r="N156" s="80" t="s">
        <v>388</v>
      </c>
      <c r="O156" s="80" t="s">
        <v>106</v>
      </c>
      <c r="P156" s="80" t="s">
        <v>107</v>
      </c>
      <c r="Q156" s="111" t="s">
        <v>108</v>
      </c>
      <c r="R156" s="26" t="s">
        <v>176</v>
      </c>
      <c r="S156" s="26" t="s">
        <v>119</v>
      </c>
      <c r="T156" s="26" t="s">
        <v>119</v>
      </c>
      <c r="U156" s="26" t="s">
        <v>119</v>
      </c>
      <c r="V156" s="80" t="s">
        <v>126</v>
      </c>
      <c r="W156" s="80" t="s">
        <v>113</v>
      </c>
      <c r="X156" s="111" t="s">
        <v>153</v>
      </c>
      <c r="Y156" s="26" t="s">
        <v>115</v>
      </c>
      <c r="Z156" s="26" t="s">
        <v>115</v>
      </c>
      <c r="AA156" s="26" t="s">
        <v>111</v>
      </c>
      <c r="AB156" s="26" t="s">
        <v>111</v>
      </c>
      <c r="AC156" s="80" t="s">
        <v>116</v>
      </c>
      <c r="AD156" s="80" t="s">
        <v>117</v>
      </c>
      <c r="AE156" s="80" t="s">
        <v>167</v>
      </c>
      <c r="AF156" s="92" t="s">
        <v>110</v>
      </c>
      <c r="AG156" s="80" t="s">
        <v>119</v>
      </c>
      <c r="AH156" s="26" t="s">
        <v>128</v>
      </c>
      <c r="AI156" s="80" t="s">
        <v>128</v>
      </c>
      <c r="AJ156" s="80" t="s">
        <v>128</v>
      </c>
      <c r="AK156" s="80" t="s">
        <v>128</v>
      </c>
      <c r="AL156" s="26" t="s">
        <v>128</v>
      </c>
      <c r="AM156" s="26" t="s">
        <v>128</v>
      </c>
      <c r="AN156" s="26" t="s">
        <v>110</v>
      </c>
      <c r="AO156" s="80" t="s">
        <v>128</v>
      </c>
      <c r="AP156" s="26" t="s">
        <v>128</v>
      </c>
      <c r="AQ156" s="80" t="s">
        <v>124</v>
      </c>
      <c r="AR156" s="80" t="s">
        <v>111</v>
      </c>
      <c r="AS156" s="26" t="s">
        <v>111</v>
      </c>
      <c r="AT156" s="9" t="s">
        <v>129</v>
      </c>
      <c r="AU156" s="10" t="s">
        <v>115</v>
      </c>
      <c r="AV156" s="26" t="s">
        <v>119</v>
      </c>
      <c r="AW156" s="26" t="s">
        <v>119</v>
      </c>
      <c r="AX156" s="26" t="s">
        <v>119</v>
      </c>
      <c r="AY156" s="26" t="s">
        <v>120</v>
      </c>
      <c r="AZ156" s="80" t="s">
        <v>142</v>
      </c>
      <c r="BA156" s="80" t="s">
        <v>120</v>
      </c>
      <c r="BB156" s="80" t="s">
        <v>125</v>
      </c>
      <c r="BC156" s="80" t="s">
        <v>120</v>
      </c>
      <c r="BD156" s="92" t="s">
        <v>125</v>
      </c>
      <c r="BE156" s="80" t="s">
        <v>125</v>
      </c>
      <c r="BF156" s="80" t="s">
        <v>141</v>
      </c>
      <c r="BG156" s="26" t="s">
        <v>111</v>
      </c>
      <c r="BH156" s="80" t="s">
        <v>142</v>
      </c>
      <c r="BI156" s="26" t="s">
        <v>120</v>
      </c>
      <c r="BJ156" s="80" t="s">
        <v>119</v>
      </c>
      <c r="BK156" s="26" t="s">
        <v>128</v>
      </c>
      <c r="BL156" s="26" t="s">
        <v>125</v>
      </c>
      <c r="BM156" s="26" t="s">
        <v>110</v>
      </c>
      <c r="BN156" s="11" t="s">
        <v>115</v>
      </c>
      <c r="BO156" s="26" t="s">
        <v>115</v>
      </c>
      <c r="BP156" s="26" t="s">
        <v>120</v>
      </c>
      <c r="BQ156" s="26" t="s">
        <v>115</v>
      </c>
      <c r="BR156" s="26" t="s">
        <v>115</v>
      </c>
      <c r="BS156" s="80" t="s">
        <v>115</v>
      </c>
      <c r="BT156" s="26" t="s">
        <v>115</v>
      </c>
      <c r="BU156" s="26" t="s">
        <v>115</v>
      </c>
      <c r="BV156" s="26" t="s">
        <v>119</v>
      </c>
      <c r="BW156" s="26" t="s">
        <v>123</v>
      </c>
      <c r="BX156" s="26" t="s">
        <v>124</v>
      </c>
      <c r="BY156" s="80" t="s">
        <v>115</v>
      </c>
      <c r="BZ156" s="26" t="s">
        <v>115</v>
      </c>
      <c r="CA156" s="26" t="s">
        <v>111</v>
      </c>
      <c r="CB156" s="26" t="s">
        <v>129</v>
      </c>
      <c r="CC156" s="26" t="s">
        <v>115</v>
      </c>
      <c r="CD156" s="26" t="s">
        <v>119</v>
      </c>
      <c r="CE156" s="26" t="s">
        <v>116</v>
      </c>
      <c r="CF156" s="26" t="s">
        <v>111</v>
      </c>
      <c r="CG156" s="26" t="s">
        <v>119</v>
      </c>
      <c r="CH156" s="80" t="s">
        <v>111</v>
      </c>
      <c r="CI156" s="26" t="s">
        <v>111</v>
      </c>
      <c r="CJ156" s="26" t="s">
        <v>119</v>
      </c>
      <c r="CK156" s="26" t="s">
        <v>125</v>
      </c>
      <c r="CL156" s="26" t="s">
        <v>115</v>
      </c>
      <c r="CM156" s="26" t="s">
        <v>120</v>
      </c>
      <c r="CN156" s="27" t="s">
        <v>563</v>
      </c>
      <c r="CO156" t="s">
        <v>786</v>
      </c>
      <c r="CP156">
        <f>IFERROR(VLOOKUP(H156,'Lista Lideres'!$A$1:$B$350,2,0),0)</f>
        <v>0</v>
      </c>
    </row>
    <row r="157" spans="1:94" ht="13.8" hidden="1" x14ac:dyDescent="0.3">
      <c r="A157" s="29">
        <v>45573.631027824071</v>
      </c>
      <c r="B157" s="30" t="s">
        <v>169</v>
      </c>
      <c r="C157" s="30" t="s">
        <v>783</v>
      </c>
      <c r="D157" s="30" t="s">
        <v>131</v>
      </c>
      <c r="E157" s="30" t="s">
        <v>193</v>
      </c>
      <c r="F157" s="30" t="s">
        <v>171</v>
      </c>
      <c r="G157" s="30" t="s">
        <v>564</v>
      </c>
      <c r="H157" s="30" t="s">
        <v>565</v>
      </c>
      <c r="I157" s="30" t="s">
        <v>161</v>
      </c>
      <c r="J157" s="30" t="s">
        <v>101</v>
      </c>
      <c r="K157" s="30" t="s">
        <v>102</v>
      </c>
      <c r="L157" s="79" t="s">
        <v>162</v>
      </c>
      <c r="M157" s="8" t="s">
        <v>104</v>
      </c>
      <c r="N157" s="79" t="s">
        <v>388</v>
      </c>
      <c r="O157" s="79" t="s">
        <v>106</v>
      </c>
      <c r="P157" s="79" t="s">
        <v>107</v>
      </c>
      <c r="Q157" s="110" t="s">
        <v>108</v>
      </c>
      <c r="R157" s="30" t="s">
        <v>164</v>
      </c>
      <c r="S157" s="30" t="s">
        <v>110</v>
      </c>
      <c r="T157" s="30" t="s">
        <v>110</v>
      </c>
      <c r="U157" s="30" t="s">
        <v>111</v>
      </c>
      <c r="V157" s="79" t="s">
        <v>112</v>
      </c>
      <c r="W157" s="79" t="s">
        <v>113</v>
      </c>
      <c r="X157" s="110" t="s">
        <v>165</v>
      </c>
      <c r="Y157" s="30" t="s">
        <v>111</v>
      </c>
      <c r="Z157" s="30" t="s">
        <v>110</v>
      </c>
      <c r="AA157" s="30" t="s">
        <v>110</v>
      </c>
      <c r="AB157" s="30" t="s">
        <v>111</v>
      </c>
      <c r="AC157" s="79" t="s">
        <v>116</v>
      </c>
      <c r="AD157" s="79" t="s">
        <v>166</v>
      </c>
      <c r="AE157" s="79" t="s">
        <v>118</v>
      </c>
      <c r="AF157" s="91" t="s">
        <v>111</v>
      </c>
      <c r="AG157" s="79" t="s">
        <v>110</v>
      </c>
      <c r="AH157" s="30" t="s">
        <v>110</v>
      </c>
      <c r="AI157" s="79" t="s">
        <v>121</v>
      </c>
      <c r="AJ157" s="79" t="s">
        <v>128</v>
      </c>
      <c r="AK157" s="79" t="s">
        <v>121</v>
      </c>
      <c r="AL157" s="30" t="s">
        <v>110</v>
      </c>
      <c r="AM157" s="30" t="s">
        <v>128</v>
      </c>
      <c r="AN157" s="30" t="s">
        <v>123</v>
      </c>
      <c r="AO157" s="79" t="s">
        <v>110</v>
      </c>
      <c r="AP157" s="30" t="s">
        <v>123</v>
      </c>
      <c r="AQ157" s="79" t="s">
        <v>124</v>
      </c>
      <c r="AR157" s="79" t="s">
        <v>111</v>
      </c>
      <c r="AS157" s="30" t="s">
        <v>110</v>
      </c>
      <c r="AT157" s="16" t="s">
        <v>129</v>
      </c>
      <c r="AU157" s="17" t="s">
        <v>115</v>
      </c>
      <c r="AV157" s="30" t="s">
        <v>129</v>
      </c>
      <c r="AW157" s="30" t="s">
        <v>129</v>
      </c>
      <c r="AX157" s="30" t="s">
        <v>110</v>
      </c>
      <c r="AY157" s="30" t="s">
        <v>120</v>
      </c>
      <c r="AZ157" s="79" t="s">
        <v>126</v>
      </c>
      <c r="BA157" s="79" t="s">
        <v>111</v>
      </c>
      <c r="BB157" s="79" t="s">
        <v>126</v>
      </c>
      <c r="BC157" s="79" t="s">
        <v>110</v>
      </c>
      <c r="BD157" s="91" t="s">
        <v>126</v>
      </c>
      <c r="BE157" s="79" t="s">
        <v>126</v>
      </c>
      <c r="BF157" s="79" t="s">
        <v>110</v>
      </c>
      <c r="BG157" s="30" t="s">
        <v>110</v>
      </c>
      <c r="BH157" s="79" t="s">
        <v>142</v>
      </c>
      <c r="BI157" s="30" t="s">
        <v>120</v>
      </c>
      <c r="BJ157" s="79" t="s">
        <v>110</v>
      </c>
      <c r="BK157" s="30" t="s">
        <v>128</v>
      </c>
      <c r="BL157" s="30" t="s">
        <v>126</v>
      </c>
      <c r="BM157" s="30" t="s">
        <v>127</v>
      </c>
      <c r="BN157" s="18" t="s">
        <v>115</v>
      </c>
      <c r="BO157" s="30" t="s">
        <v>115</v>
      </c>
      <c r="BP157" s="30" t="s">
        <v>120</v>
      </c>
      <c r="BQ157" s="30" t="s">
        <v>115</v>
      </c>
      <c r="BR157" s="30" t="s">
        <v>110</v>
      </c>
      <c r="BS157" s="79" t="s">
        <v>115</v>
      </c>
      <c r="BT157" s="30" t="s">
        <v>115</v>
      </c>
      <c r="BU157" s="30" t="s">
        <v>115</v>
      </c>
      <c r="BV157" s="30" t="s">
        <v>110</v>
      </c>
      <c r="BW157" s="30" t="s">
        <v>110</v>
      </c>
      <c r="BX157" s="30" t="s">
        <v>124</v>
      </c>
      <c r="BY157" s="79" t="s">
        <v>110</v>
      </c>
      <c r="BZ157" s="30" t="s">
        <v>115</v>
      </c>
      <c r="CA157" s="30" t="s">
        <v>111</v>
      </c>
      <c r="CB157" s="30" t="s">
        <v>119</v>
      </c>
      <c r="CC157" s="30" t="s">
        <v>111</v>
      </c>
      <c r="CD157" s="30" t="s">
        <v>119</v>
      </c>
      <c r="CE157" s="30" t="s">
        <v>116</v>
      </c>
      <c r="CF157" s="30" t="s">
        <v>110</v>
      </c>
      <c r="CG157" s="30" t="s">
        <v>129</v>
      </c>
      <c r="CH157" s="79" t="s">
        <v>110</v>
      </c>
      <c r="CI157" s="30" t="s">
        <v>115</v>
      </c>
      <c r="CJ157" s="30" t="s">
        <v>119</v>
      </c>
      <c r="CK157" s="30" t="s">
        <v>126</v>
      </c>
      <c r="CL157" s="30" t="s">
        <v>110</v>
      </c>
      <c r="CM157" s="30" t="s">
        <v>111</v>
      </c>
      <c r="CN157" s="34" t="s">
        <v>566</v>
      </c>
      <c r="CO157" t="s">
        <v>785</v>
      </c>
      <c r="CP157">
        <f>IFERROR(VLOOKUP(H157,'Lista Lideres'!$A$1:$B$350,2,0),0)</f>
        <v>0</v>
      </c>
    </row>
    <row r="158" spans="1:94" ht="14.4" hidden="1" x14ac:dyDescent="0.3">
      <c r="A158" s="25">
        <v>45562.764146782407</v>
      </c>
      <c r="B158" s="30" t="s">
        <v>169</v>
      </c>
      <c r="C158" s="26" t="s">
        <v>783</v>
      </c>
      <c r="D158" s="26" t="s">
        <v>93</v>
      </c>
      <c r="E158" s="26" t="s">
        <v>567</v>
      </c>
      <c r="F158" s="26" t="s">
        <v>171</v>
      </c>
      <c r="G158" s="26" t="s">
        <v>568</v>
      </c>
      <c r="H158" s="26" t="s">
        <v>569</v>
      </c>
      <c r="I158" s="26" t="s">
        <v>161</v>
      </c>
      <c r="J158" s="26" t="s">
        <v>196</v>
      </c>
      <c r="K158" s="26" t="s">
        <v>174</v>
      </c>
      <c r="L158" s="80" t="s">
        <v>135</v>
      </c>
      <c r="M158" s="8" t="s">
        <v>104</v>
      </c>
      <c r="N158" s="80" t="s">
        <v>388</v>
      </c>
      <c r="O158" s="80" t="s">
        <v>282</v>
      </c>
      <c r="P158" s="80" t="s">
        <v>264</v>
      </c>
      <c r="Q158" s="111" t="s">
        <v>151</v>
      </c>
      <c r="R158" s="26" t="s">
        <v>164</v>
      </c>
      <c r="S158" s="26" t="s">
        <v>110</v>
      </c>
      <c r="T158" s="26" t="s">
        <v>110</v>
      </c>
      <c r="U158" s="26" t="s">
        <v>110</v>
      </c>
      <c r="V158" s="80" t="s">
        <v>112</v>
      </c>
      <c r="W158" s="80" t="s">
        <v>152</v>
      </c>
      <c r="X158" s="111" t="s">
        <v>114</v>
      </c>
      <c r="Y158" s="26" t="s">
        <v>115</v>
      </c>
      <c r="Z158" s="26" t="s">
        <v>115</v>
      </c>
      <c r="AA158" s="26" t="s">
        <v>115</v>
      </c>
      <c r="AB158" s="26" t="s">
        <v>110</v>
      </c>
      <c r="AC158" s="80" t="s">
        <v>110</v>
      </c>
      <c r="AD158" s="80" t="s">
        <v>117</v>
      </c>
      <c r="AE158" s="80" t="s">
        <v>167</v>
      </c>
      <c r="AF158" s="92" t="s">
        <v>110</v>
      </c>
      <c r="AG158" s="80" t="s">
        <v>129</v>
      </c>
      <c r="AH158" s="26" t="s">
        <v>121</v>
      </c>
      <c r="AI158" s="80" t="s">
        <v>110</v>
      </c>
      <c r="AJ158" s="80" t="s">
        <v>110</v>
      </c>
      <c r="AK158" s="80" t="s">
        <v>110</v>
      </c>
      <c r="AL158" s="26" t="s">
        <v>110</v>
      </c>
      <c r="AM158" s="26" t="s">
        <v>128</v>
      </c>
      <c r="AN158" s="26" t="s">
        <v>123</v>
      </c>
      <c r="AO158" s="80" t="s">
        <v>110</v>
      </c>
      <c r="AP158" s="26" t="s">
        <v>110</v>
      </c>
      <c r="AQ158" s="80" t="s">
        <v>126</v>
      </c>
      <c r="AR158" s="80" t="s">
        <v>110</v>
      </c>
      <c r="AS158" s="26" t="s">
        <v>110</v>
      </c>
      <c r="AT158" s="9" t="s">
        <v>119</v>
      </c>
      <c r="AU158" s="10" t="s">
        <v>110</v>
      </c>
      <c r="AV158" s="26" t="s">
        <v>110</v>
      </c>
      <c r="AW158" s="26" t="s">
        <v>119</v>
      </c>
      <c r="AX158" s="26" t="s">
        <v>110</v>
      </c>
      <c r="AY158" s="26" t="s">
        <v>120</v>
      </c>
      <c r="AZ158" s="80" t="s">
        <v>126</v>
      </c>
      <c r="BA158" s="80" t="s">
        <v>120</v>
      </c>
      <c r="BB158" s="80" t="s">
        <v>124</v>
      </c>
      <c r="BC158" s="80" t="s">
        <v>111</v>
      </c>
      <c r="BD158" s="92" t="s">
        <v>124</v>
      </c>
      <c r="BE158" s="80" t="s">
        <v>126</v>
      </c>
      <c r="BF158" s="80" t="s">
        <v>110</v>
      </c>
      <c r="BG158" s="26" t="s">
        <v>110</v>
      </c>
      <c r="BH158" s="80" t="s">
        <v>124</v>
      </c>
      <c r="BI158" s="26" t="s">
        <v>120</v>
      </c>
      <c r="BJ158" s="80" t="s">
        <v>110</v>
      </c>
      <c r="BK158" s="26" t="s">
        <v>110</v>
      </c>
      <c r="BL158" s="26" t="s">
        <v>126</v>
      </c>
      <c r="BM158" s="26" t="s">
        <v>127</v>
      </c>
      <c r="BN158" s="11" t="s">
        <v>115</v>
      </c>
      <c r="BO158" s="26" t="s">
        <v>111</v>
      </c>
      <c r="BP158" s="26" t="s">
        <v>111</v>
      </c>
      <c r="BQ158" s="26" t="s">
        <v>111</v>
      </c>
      <c r="BR158" s="26" t="s">
        <v>111</v>
      </c>
      <c r="BS158" s="80" t="s">
        <v>110</v>
      </c>
      <c r="BT158" s="26" t="s">
        <v>111</v>
      </c>
      <c r="BU158" s="26" t="s">
        <v>111</v>
      </c>
      <c r="BV158" s="26" t="s">
        <v>110</v>
      </c>
      <c r="BW158" s="26" t="s">
        <v>123</v>
      </c>
      <c r="BX158" s="26" t="s">
        <v>124</v>
      </c>
      <c r="BY158" s="80" t="s">
        <v>111</v>
      </c>
      <c r="BZ158" s="26" t="s">
        <v>111</v>
      </c>
      <c r="CA158" s="26" t="s">
        <v>110</v>
      </c>
      <c r="CB158" s="26" t="s">
        <v>110</v>
      </c>
      <c r="CC158" s="26" t="s">
        <v>119</v>
      </c>
      <c r="CD158" s="26" t="s">
        <v>110</v>
      </c>
      <c r="CE158" s="26" t="s">
        <v>127</v>
      </c>
      <c r="CF158" s="26" t="s">
        <v>110</v>
      </c>
      <c r="CG158" s="26" t="s">
        <v>119</v>
      </c>
      <c r="CH158" s="80" t="s">
        <v>110</v>
      </c>
      <c r="CI158" s="26" t="s">
        <v>115</v>
      </c>
      <c r="CJ158" s="26" t="s">
        <v>119</v>
      </c>
      <c r="CK158" s="26" t="s">
        <v>125</v>
      </c>
      <c r="CL158" s="26" t="s">
        <v>111</v>
      </c>
      <c r="CM158" s="26" t="s">
        <v>120</v>
      </c>
      <c r="CN158" s="28"/>
      <c r="CO158" t="s">
        <v>785</v>
      </c>
      <c r="CP158">
        <f>IFERROR(VLOOKUP(H158,'Lista Lideres'!$A$1:$B$350,2,0),0)</f>
        <v>1</v>
      </c>
    </row>
    <row r="159" spans="1:94" ht="13.8" hidden="1" x14ac:dyDescent="0.3">
      <c r="A159" s="29">
        <v>45565.799869953698</v>
      </c>
      <c r="B159" s="30" t="s">
        <v>169</v>
      </c>
      <c r="C159" s="30" t="s">
        <v>783</v>
      </c>
      <c r="D159" s="30" t="s">
        <v>131</v>
      </c>
      <c r="E159" s="30" t="s">
        <v>199</v>
      </c>
      <c r="F159" s="30" t="s">
        <v>96</v>
      </c>
      <c r="G159" s="30" t="s">
        <v>570</v>
      </c>
      <c r="H159" s="30" t="s">
        <v>571</v>
      </c>
      <c r="I159" s="30" t="s">
        <v>195</v>
      </c>
      <c r="J159" s="30" t="s">
        <v>101</v>
      </c>
      <c r="K159" s="30" t="s">
        <v>191</v>
      </c>
      <c r="L159" s="79" t="s">
        <v>135</v>
      </c>
      <c r="M159" s="8" t="s">
        <v>104</v>
      </c>
      <c r="N159" s="79" t="s">
        <v>388</v>
      </c>
      <c r="O159" s="79" t="s">
        <v>106</v>
      </c>
      <c r="P159" s="79" t="s">
        <v>107</v>
      </c>
      <c r="Q159" s="110" t="s">
        <v>108</v>
      </c>
      <c r="R159" s="79" t="s">
        <v>184</v>
      </c>
      <c r="S159" s="30" t="s">
        <v>110</v>
      </c>
      <c r="T159" s="30" t="s">
        <v>110</v>
      </c>
      <c r="U159" s="30" t="s">
        <v>110</v>
      </c>
      <c r="V159" s="79" t="s">
        <v>136</v>
      </c>
      <c r="W159" s="79" t="s">
        <v>152</v>
      </c>
      <c r="X159" s="110" t="s">
        <v>153</v>
      </c>
      <c r="Y159" s="30" t="s">
        <v>111</v>
      </c>
      <c r="Z159" s="30" t="s">
        <v>115</v>
      </c>
      <c r="AA159" s="30" t="s">
        <v>111</v>
      </c>
      <c r="AB159" s="30" t="s">
        <v>111</v>
      </c>
      <c r="AC159" s="79" t="s">
        <v>111</v>
      </c>
      <c r="AD159" s="79" t="s">
        <v>137</v>
      </c>
      <c r="AE159" s="79" t="s">
        <v>138</v>
      </c>
      <c r="AF159" s="91" t="s">
        <v>111</v>
      </c>
      <c r="AG159" s="79" t="s">
        <v>110</v>
      </c>
      <c r="AH159" s="30" t="s">
        <v>110</v>
      </c>
      <c r="AI159" s="79" t="s">
        <v>110</v>
      </c>
      <c r="AJ159" s="79" t="s">
        <v>197</v>
      </c>
      <c r="AK159" s="79" t="s">
        <v>121</v>
      </c>
      <c r="AL159" s="30" t="s">
        <v>122</v>
      </c>
      <c r="AM159" s="30" t="s">
        <v>110</v>
      </c>
      <c r="AN159" s="30" t="s">
        <v>123</v>
      </c>
      <c r="AO159" s="79" t="s">
        <v>110</v>
      </c>
      <c r="AP159" s="30" t="s">
        <v>110</v>
      </c>
      <c r="AQ159" s="79" t="s">
        <v>124</v>
      </c>
      <c r="AR159" s="79" t="s">
        <v>111</v>
      </c>
      <c r="AS159" s="30" t="s">
        <v>110</v>
      </c>
      <c r="AT159" s="16" t="s">
        <v>111</v>
      </c>
      <c r="AU159" s="17" t="s">
        <v>110</v>
      </c>
      <c r="AV159" s="30" t="s">
        <v>110</v>
      </c>
      <c r="AW159" s="30" t="s">
        <v>111</v>
      </c>
      <c r="AX159" s="30" t="s">
        <v>119</v>
      </c>
      <c r="AY159" s="30" t="s">
        <v>111</v>
      </c>
      <c r="AZ159" s="79" t="s">
        <v>125</v>
      </c>
      <c r="BA159" s="79" t="s">
        <v>120</v>
      </c>
      <c r="BB159" s="79" t="s">
        <v>125</v>
      </c>
      <c r="BC159" s="79" t="s">
        <v>120</v>
      </c>
      <c r="BD159" s="91" t="s">
        <v>126</v>
      </c>
      <c r="BE159" s="79" t="s">
        <v>126</v>
      </c>
      <c r="BF159" s="79" t="s">
        <v>141</v>
      </c>
      <c r="BG159" s="30" t="s">
        <v>110</v>
      </c>
      <c r="BH159" s="79" t="s">
        <v>125</v>
      </c>
      <c r="BI159" s="30" t="s">
        <v>111</v>
      </c>
      <c r="BJ159" s="79" t="s">
        <v>110</v>
      </c>
      <c r="BK159" s="30" t="s">
        <v>110</v>
      </c>
      <c r="BL159" s="30" t="s">
        <v>126</v>
      </c>
      <c r="BM159" s="30" t="s">
        <v>127</v>
      </c>
      <c r="BN159" s="18" t="s">
        <v>115</v>
      </c>
      <c r="BO159" s="30" t="s">
        <v>115</v>
      </c>
      <c r="BP159" s="30" t="s">
        <v>120</v>
      </c>
      <c r="BQ159" s="30" t="s">
        <v>110</v>
      </c>
      <c r="BR159" s="30" t="s">
        <v>111</v>
      </c>
      <c r="BS159" s="79" t="s">
        <v>110</v>
      </c>
      <c r="BT159" s="30" t="s">
        <v>115</v>
      </c>
      <c r="BU159" s="30" t="s">
        <v>115</v>
      </c>
      <c r="BV159" s="30" t="s">
        <v>110</v>
      </c>
      <c r="BW159" s="30" t="s">
        <v>110</v>
      </c>
      <c r="BX159" s="30" t="s">
        <v>126</v>
      </c>
      <c r="BY159" s="79" t="s">
        <v>111</v>
      </c>
      <c r="BZ159" s="30" t="s">
        <v>119</v>
      </c>
      <c r="CA159" s="30" t="s">
        <v>110</v>
      </c>
      <c r="CB159" s="30" t="s">
        <v>119</v>
      </c>
      <c r="CC159" s="30" t="s">
        <v>111</v>
      </c>
      <c r="CD159" s="30" t="s">
        <v>110</v>
      </c>
      <c r="CE159" s="30" t="s">
        <v>127</v>
      </c>
      <c r="CF159" s="30" t="s">
        <v>110</v>
      </c>
      <c r="CG159" s="30" t="s">
        <v>119</v>
      </c>
      <c r="CH159" s="79" t="s">
        <v>111</v>
      </c>
      <c r="CI159" s="30" t="s">
        <v>111</v>
      </c>
      <c r="CJ159" s="30" t="s">
        <v>119</v>
      </c>
      <c r="CK159" s="30" t="s">
        <v>126</v>
      </c>
      <c r="CL159" s="30" t="s">
        <v>110</v>
      </c>
      <c r="CM159" s="30" t="s">
        <v>111</v>
      </c>
      <c r="CN159" s="27" t="s">
        <v>572</v>
      </c>
      <c r="CO159" t="s">
        <v>786</v>
      </c>
      <c r="CP159">
        <f>IFERROR(VLOOKUP(H159,'Lista Lideres'!$A$1:$B$350,2,0),0)</f>
        <v>1</v>
      </c>
    </row>
    <row r="160" spans="1:94" ht="13.8" hidden="1" x14ac:dyDescent="0.3">
      <c r="A160" s="25">
        <v>45573.012349189812</v>
      </c>
      <c r="B160" s="30" t="s">
        <v>169</v>
      </c>
      <c r="C160" s="26" t="s">
        <v>783</v>
      </c>
      <c r="D160" s="26" t="s">
        <v>93</v>
      </c>
      <c r="E160" s="26" t="s">
        <v>193</v>
      </c>
      <c r="F160" s="26" t="s">
        <v>171</v>
      </c>
      <c r="G160" s="26" t="s">
        <v>573</v>
      </c>
      <c r="H160" s="26" t="s">
        <v>574</v>
      </c>
      <c r="I160" s="26" t="s">
        <v>190</v>
      </c>
      <c r="J160" s="26" t="s">
        <v>101</v>
      </c>
      <c r="K160" s="26" t="s">
        <v>191</v>
      </c>
      <c r="L160" s="80" t="s">
        <v>150</v>
      </c>
      <c r="M160" s="8" t="s">
        <v>104</v>
      </c>
      <c r="N160" s="80" t="s">
        <v>388</v>
      </c>
      <c r="O160" s="80" t="s">
        <v>106</v>
      </c>
      <c r="P160" s="80" t="s">
        <v>107</v>
      </c>
      <c r="Q160" s="111" t="s">
        <v>108</v>
      </c>
      <c r="R160" s="26" t="s">
        <v>164</v>
      </c>
      <c r="S160" s="26" t="s">
        <v>111</v>
      </c>
      <c r="T160" s="26" t="s">
        <v>110</v>
      </c>
      <c r="U160" s="26" t="s">
        <v>110</v>
      </c>
      <c r="V160" s="80" t="s">
        <v>126</v>
      </c>
      <c r="W160" s="80" t="s">
        <v>113</v>
      </c>
      <c r="X160" s="111" t="s">
        <v>165</v>
      </c>
      <c r="Y160" s="26" t="s">
        <v>115</v>
      </c>
      <c r="Z160" s="26" t="s">
        <v>115</v>
      </c>
      <c r="AA160" s="26" t="s">
        <v>111</v>
      </c>
      <c r="AB160" s="26" t="s">
        <v>111</v>
      </c>
      <c r="AC160" s="80" t="s">
        <v>116</v>
      </c>
      <c r="AD160" s="80" t="s">
        <v>137</v>
      </c>
      <c r="AE160" s="80" t="s">
        <v>118</v>
      </c>
      <c r="AF160" s="92" t="s">
        <v>120</v>
      </c>
      <c r="AG160" s="80" t="s">
        <v>119</v>
      </c>
      <c r="AH160" s="26" t="s">
        <v>128</v>
      </c>
      <c r="AI160" s="80" t="s">
        <v>110</v>
      </c>
      <c r="AJ160" s="80" t="s">
        <v>197</v>
      </c>
      <c r="AK160" s="80" t="s">
        <v>110</v>
      </c>
      <c r="AL160" s="26" t="s">
        <v>128</v>
      </c>
      <c r="AM160" s="26" t="s">
        <v>121</v>
      </c>
      <c r="AN160" s="26" t="s">
        <v>110</v>
      </c>
      <c r="AO160" s="80" t="s">
        <v>110</v>
      </c>
      <c r="AP160" s="26" t="s">
        <v>110</v>
      </c>
      <c r="AQ160" s="80" t="s">
        <v>124</v>
      </c>
      <c r="AR160" s="80" t="s">
        <v>111</v>
      </c>
      <c r="AS160" s="26" t="s">
        <v>111</v>
      </c>
      <c r="AT160" s="9" t="s">
        <v>129</v>
      </c>
      <c r="AU160" s="10" t="s">
        <v>110</v>
      </c>
      <c r="AV160" s="26" t="s">
        <v>129</v>
      </c>
      <c r="AW160" s="26" t="s">
        <v>129</v>
      </c>
      <c r="AX160" s="26" t="s">
        <v>110</v>
      </c>
      <c r="AY160" s="26" t="s">
        <v>120</v>
      </c>
      <c r="AZ160" s="80" t="s">
        <v>126</v>
      </c>
      <c r="BA160" s="80" t="s">
        <v>120</v>
      </c>
      <c r="BB160" s="80" t="s">
        <v>126</v>
      </c>
      <c r="BC160" s="80" t="s">
        <v>111</v>
      </c>
      <c r="BD160" s="92" t="s">
        <v>126</v>
      </c>
      <c r="BE160" s="80" t="s">
        <v>140</v>
      </c>
      <c r="BF160" s="80" t="s">
        <v>141</v>
      </c>
      <c r="BG160" s="26" t="s">
        <v>110</v>
      </c>
      <c r="BH160" s="80" t="s">
        <v>142</v>
      </c>
      <c r="BI160" s="26" t="s">
        <v>120</v>
      </c>
      <c r="BJ160" s="80" t="s">
        <v>110</v>
      </c>
      <c r="BK160" s="26" t="s">
        <v>128</v>
      </c>
      <c r="BL160" s="26" t="s">
        <v>125</v>
      </c>
      <c r="BM160" s="26" t="s">
        <v>186</v>
      </c>
      <c r="BN160" s="11" t="s">
        <v>115</v>
      </c>
      <c r="BO160" s="26" t="s">
        <v>115</v>
      </c>
      <c r="BP160" s="26" t="s">
        <v>120</v>
      </c>
      <c r="BQ160" s="26" t="s">
        <v>110</v>
      </c>
      <c r="BR160" s="26" t="s">
        <v>110</v>
      </c>
      <c r="BS160" s="80" t="s">
        <v>111</v>
      </c>
      <c r="BT160" s="26" t="s">
        <v>115</v>
      </c>
      <c r="BU160" s="26" t="s">
        <v>129</v>
      </c>
      <c r="BV160" s="26" t="s">
        <v>111</v>
      </c>
      <c r="BW160" s="26" t="s">
        <v>110</v>
      </c>
      <c r="BX160" s="26" t="s">
        <v>126</v>
      </c>
      <c r="BY160" s="80" t="s">
        <v>111</v>
      </c>
      <c r="BZ160" s="26" t="s">
        <v>115</v>
      </c>
      <c r="CA160" s="26" t="s">
        <v>110</v>
      </c>
      <c r="CB160" s="26" t="s">
        <v>119</v>
      </c>
      <c r="CC160" s="26" t="s">
        <v>111</v>
      </c>
      <c r="CD160" s="26" t="s">
        <v>119</v>
      </c>
      <c r="CE160" s="26" t="s">
        <v>116</v>
      </c>
      <c r="CF160" s="26" t="s">
        <v>110</v>
      </c>
      <c r="CG160" s="26" t="s">
        <v>110</v>
      </c>
      <c r="CH160" s="80" t="s">
        <v>111</v>
      </c>
      <c r="CI160" s="26" t="s">
        <v>111</v>
      </c>
      <c r="CJ160" s="26" t="s">
        <v>129</v>
      </c>
      <c r="CK160" s="26" t="s">
        <v>125</v>
      </c>
      <c r="CL160" s="26" t="s">
        <v>111</v>
      </c>
      <c r="CM160" s="26" t="s">
        <v>111</v>
      </c>
      <c r="CN160" s="32" t="s">
        <v>575</v>
      </c>
      <c r="CO160" t="s">
        <v>785</v>
      </c>
      <c r="CP160">
        <f>IFERROR(VLOOKUP(H160,'Lista Lideres'!$A$1:$B$350,2,0),0)</f>
        <v>1</v>
      </c>
    </row>
    <row r="161" spans="1:94" ht="14.4" hidden="1" x14ac:dyDescent="0.3">
      <c r="A161" s="29">
        <v>45572.977121412041</v>
      </c>
      <c r="B161" s="30" t="s">
        <v>169</v>
      </c>
      <c r="C161" s="30" t="s">
        <v>783</v>
      </c>
      <c r="D161" s="30" t="s">
        <v>93</v>
      </c>
      <c r="E161" s="30" t="s">
        <v>199</v>
      </c>
      <c r="F161" s="30" t="s">
        <v>146</v>
      </c>
      <c r="G161" s="30" t="s">
        <v>576</v>
      </c>
      <c r="H161" s="30" t="s">
        <v>577</v>
      </c>
      <c r="I161" s="30" t="s">
        <v>100</v>
      </c>
      <c r="J161" s="30" t="s">
        <v>173</v>
      </c>
      <c r="K161" s="30" t="s">
        <v>191</v>
      </c>
      <c r="L161" s="79" t="s">
        <v>150</v>
      </c>
      <c r="M161" s="8" t="s">
        <v>104</v>
      </c>
      <c r="N161" s="79" t="s">
        <v>388</v>
      </c>
      <c r="O161" s="79" t="s">
        <v>106</v>
      </c>
      <c r="P161" s="79" t="s">
        <v>264</v>
      </c>
      <c r="Q161" s="110" t="s">
        <v>163</v>
      </c>
      <c r="R161" s="30" t="s">
        <v>109</v>
      </c>
      <c r="S161" s="30" t="s">
        <v>119</v>
      </c>
      <c r="T161" s="30" t="s">
        <v>119</v>
      </c>
      <c r="U161" s="30" t="s">
        <v>119</v>
      </c>
      <c r="V161" s="79" t="s">
        <v>320</v>
      </c>
      <c r="W161" s="79" t="s">
        <v>152</v>
      </c>
      <c r="X161" s="110" t="s">
        <v>153</v>
      </c>
      <c r="Y161" s="30" t="s">
        <v>129</v>
      </c>
      <c r="Z161" s="30" t="s">
        <v>119</v>
      </c>
      <c r="AA161" s="30" t="s">
        <v>119</v>
      </c>
      <c r="AB161" s="30" t="s">
        <v>110</v>
      </c>
      <c r="AC161" s="79" t="s">
        <v>119</v>
      </c>
      <c r="AD161" s="79" t="s">
        <v>166</v>
      </c>
      <c r="AE161" s="79" t="s">
        <v>118</v>
      </c>
      <c r="AF161" s="91" t="s">
        <v>119</v>
      </c>
      <c r="AG161" s="79" t="s">
        <v>111</v>
      </c>
      <c r="AH161" s="30" t="s">
        <v>122</v>
      </c>
      <c r="AI161" s="79" t="s">
        <v>122</v>
      </c>
      <c r="AJ161" s="79" t="s">
        <v>110</v>
      </c>
      <c r="AK161" s="79" t="s">
        <v>110</v>
      </c>
      <c r="AL161" s="30" t="s">
        <v>110</v>
      </c>
      <c r="AM161" s="30" t="s">
        <v>123</v>
      </c>
      <c r="AN161" s="30" t="s">
        <v>123</v>
      </c>
      <c r="AO161" s="79" t="s">
        <v>123</v>
      </c>
      <c r="AP161" s="30" t="s">
        <v>110</v>
      </c>
      <c r="AQ161" s="79" t="s">
        <v>126</v>
      </c>
      <c r="AR161" s="79" t="s">
        <v>111</v>
      </c>
      <c r="AS161" s="30" t="s">
        <v>119</v>
      </c>
      <c r="AT161" s="16" t="s">
        <v>119</v>
      </c>
      <c r="AU161" s="17" t="s">
        <v>119</v>
      </c>
      <c r="AV161" s="30" t="s">
        <v>111</v>
      </c>
      <c r="AW161" s="30" t="s">
        <v>111</v>
      </c>
      <c r="AX161" s="30" t="s">
        <v>110</v>
      </c>
      <c r="AY161" s="30" t="s">
        <v>119</v>
      </c>
      <c r="AZ161" s="79" t="s">
        <v>126</v>
      </c>
      <c r="BA161" s="79" t="s">
        <v>110</v>
      </c>
      <c r="BB161" s="79" t="s">
        <v>126</v>
      </c>
      <c r="BC161" s="79" t="s">
        <v>111</v>
      </c>
      <c r="BD161" s="91" t="s">
        <v>124</v>
      </c>
      <c r="BE161" s="79" t="s">
        <v>126</v>
      </c>
      <c r="BF161" s="79" t="s">
        <v>110</v>
      </c>
      <c r="BG161" s="30" t="s">
        <v>119</v>
      </c>
      <c r="BH161" s="79" t="s">
        <v>124</v>
      </c>
      <c r="BI161" s="30" t="s">
        <v>111</v>
      </c>
      <c r="BJ161" s="79" t="s">
        <v>111</v>
      </c>
      <c r="BK161" s="30" t="s">
        <v>122</v>
      </c>
      <c r="BL161" s="30" t="s">
        <v>124</v>
      </c>
      <c r="BM161" s="30" t="s">
        <v>110</v>
      </c>
      <c r="BN161" s="18" t="s">
        <v>119</v>
      </c>
      <c r="BO161" s="30" t="s">
        <v>110</v>
      </c>
      <c r="BP161" s="30" t="s">
        <v>111</v>
      </c>
      <c r="BQ161" s="30" t="s">
        <v>119</v>
      </c>
      <c r="BR161" s="30" t="s">
        <v>119</v>
      </c>
      <c r="BS161" s="79" t="s">
        <v>110</v>
      </c>
      <c r="BT161" s="30" t="s">
        <v>111</v>
      </c>
      <c r="BU161" s="30" t="s">
        <v>110</v>
      </c>
      <c r="BV161" s="30" t="s">
        <v>119</v>
      </c>
      <c r="BW161" s="30" t="s">
        <v>128</v>
      </c>
      <c r="BX161" s="30" t="s">
        <v>125</v>
      </c>
      <c r="BY161" s="79" t="s">
        <v>110</v>
      </c>
      <c r="BZ161" s="30" t="s">
        <v>119</v>
      </c>
      <c r="CA161" s="30" t="s">
        <v>119</v>
      </c>
      <c r="CB161" s="30" t="s">
        <v>111</v>
      </c>
      <c r="CC161" s="30" t="s">
        <v>119</v>
      </c>
      <c r="CD161" s="30" t="s">
        <v>110</v>
      </c>
      <c r="CE161" s="30" t="s">
        <v>127</v>
      </c>
      <c r="CF161" s="30" t="s">
        <v>119</v>
      </c>
      <c r="CG161" s="30" t="s">
        <v>119</v>
      </c>
      <c r="CH161" s="79" t="s">
        <v>119</v>
      </c>
      <c r="CI161" s="30" t="s">
        <v>111</v>
      </c>
      <c r="CJ161" s="30" t="s">
        <v>119</v>
      </c>
      <c r="CK161" s="30" t="s">
        <v>124</v>
      </c>
      <c r="CL161" s="30" t="s">
        <v>119</v>
      </c>
      <c r="CM161" s="30" t="s">
        <v>110</v>
      </c>
      <c r="CN161" s="31"/>
      <c r="CO161" t="s">
        <v>786</v>
      </c>
      <c r="CP161">
        <f>IFERROR(VLOOKUP(H161,'Lista Lideres'!$A$1:$B$350,2,0),0)</f>
        <v>0</v>
      </c>
    </row>
    <row r="162" spans="1:94" ht="13.8" hidden="1" x14ac:dyDescent="0.3">
      <c r="A162" s="25">
        <v>45573.22399337963</v>
      </c>
      <c r="B162" s="30" t="s">
        <v>169</v>
      </c>
      <c r="C162" s="26" t="s">
        <v>783</v>
      </c>
      <c r="D162" s="26" t="s">
        <v>93</v>
      </c>
      <c r="E162" s="26" t="s">
        <v>170</v>
      </c>
      <c r="F162" s="26" t="s">
        <v>96</v>
      </c>
      <c r="G162" s="26" t="s">
        <v>578</v>
      </c>
      <c r="H162" s="26" t="s">
        <v>579</v>
      </c>
      <c r="I162" s="26" t="s">
        <v>195</v>
      </c>
      <c r="J162" s="26" t="s">
        <v>196</v>
      </c>
      <c r="K162" s="26" t="s">
        <v>102</v>
      </c>
      <c r="L162" s="80" t="s">
        <v>162</v>
      </c>
      <c r="M162" s="8" t="s">
        <v>104</v>
      </c>
      <c r="N162" s="80" t="s">
        <v>388</v>
      </c>
      <c r="O162" s="80" t="s">
        <v>106</v>
      </c>
      <c r="P162" s="80" t="s">
        <v>107</v>
      </c>
      <c r="Q162" s="111" t="s">
        <v>108</v>
      </c>
      <c r="R162" s="26" t="s">
        <v>164</v>
      </c>
      <c r="S162" s="26" t="s">
        <v>111</v>
      </c>
      <c r="T162" s="26" t="s">
        <v>115</v>
      </c>
      <c r="U162" s="26" t="s">
        <v>111</v>
      </c>
      <c r="V162" s="80" t="s">
        <v>112</v>
      </c>
      <c r="W162" s="80" t="s">
        <v>152</v>
      </c>
      <c r="X162" s="111" t="s">
        <v>165</v>
      </c>
      <c r="Y162" s="26" t="s">
        <v>111</v>
      </c>
      <c r="Z162" s="26" t="s">
        <v>115</v>
      </c>
      <c r="AA162" s="26" t="s">
        <v>115</v>
      </c>
      <c r="AB162" s="26" t="s">
        <v>110</v>
      </c>
      <c r="AC162" s="80" t="s">
        <v>116</v>
      </c>
      <c r="AD162" s="80" t="s">
        <v>117</v>
      </c>
      <c r="AE162" s="80" t="s">
        <v>167</v>
      </c>
      <c r="AF162" s="92" t="s">
        <v>120</v>
      </c>
      <c r="AG162" s="80" t="s">
        <v>110</v>
      </c>
      <c r="AH162" s="26" t="s">
        <v>110</v>
      </c>
      <c r="AI162" s="80" t="s">
        <v>110</v>
      </c>
      <c r="AJ162" s="80" t="s">
        <v>128</v>
      </c>
      <c r="AK162" s="80" t="s">
        <v>110</v>
      </c>
      <c r="AL162" s="26" t="s">
        <v>110</v>
      </c>
      <c r="AM162" s="26" t="s">
        <v>110</v>
      </c>
      <c r="AN162" s="26" t="s">
        <v>110</v>
      </c>
      <c r="AO162" s="80" t="s">
        <v>110</v>
      </c>
      <c r="AP162" s="26" t="s">
        <v>110</v>
      </c>
      <c r="AQ162" s="80" t="s">
        <v>124</v>
      </c>
      <c r="AR162" s="80" t="s">
        <v>115</v>
      </c>
      <c r="AS162" s="26" t="s">
        <v>115</v>
      </c>
      <c r="AT162" s="9" t="s">
        <v>129</v>
      </c>
      <c r="AU162" s="10" t="s">
        <v>115</v>
      </c>
      <c r="AV162" s="26" t="s">
        <v>110</v>
      </c>
      <c r="AW162" s="26" t="s">
        <v>110</v>
      </c>
      <c r="AX162" s="26" t="s">
        <v>110</v>
      </c>
      <c r="AY162" s="26" t="s">
        <v>120</v>
      </c>
      <c r="AZ162" s="80" t="s">
        <v>142</v>
      </c>
      <c r="BA162" s="80" t="s">
        <v>110</v>
      </c>
      <c r="BB162" s="80" t="s">
        <v>126</v>
      </c>
      <c r="BC162" s="80" t="s">
        <v>111</v>
      </c>
      <c r="BD162" s="92" t="s">
        <v>126</v>
      </c>
      <c r="BE162" s="80" t="s">
        <v>126</v>
      </c>
      <c r="BF162" s="80" t="s">
        <v>110</v>
      </c>
      <c r="BG162" s="26" t="s">
        <v>110</v>
      </c>
      <c r="BH162" s="80" t="s">
        <v>126</v>
      </c>
      <c r="BI162" s="26" t="s">
        <v>120</v>
      </c>
      <c r="BJ162" s="80" t="s">
        <v>110</v>
      </c>
      <c r="BK162" s="26" t="s">
        <v>110</v>
      </c>
      <c r="BL162" s="26" t="s">
        <v>126</v>
      </c>
      <c r="BM162" s="26" t="s">
        <v>186</v>
      </c>
      <c r="BN162" s="11" t="s">
        <v>115</v>
      </c>
      <c r="BO162" s="26" t="s">
        <v>111</v>
      </c>
      <c r="BP162" s="26" t="s">
        <v>120</v>
      </c>
      <c r="BQ162" s="26" t="s">
        <v>115</v>
      </c>
      <c r="BR162" s="26" t="s">
        <v>115</v>
      </c>
      <c r="BS162" s="80" t="s">
        <v>111</v>
      </c>
      <c r="BT162" s="26" t="s">
        <v>115</v>
      </c>
      <c r="BU162" s="26" t="s">
        <v>111</v>
      </c>
      <c r="BV162" s="26" t="s">
        <v>110</v>
      </c>
      <c r="BW162" s="26" t="s">
        <v>110</v>
      </c>
      <c r="BX162" s="26" t="s">
        <v>126</v>
      </c>
      <c r="BY162" s="80" t="s">
        <v>111</v>
      </c>
      <c r="BZ162" s="26" t="s">
        <v>115</v>
      </c>
      <c r="CA162" s="26" t="s">
        <v>110</v>
      </c>
      <c r="CB162" s="26" t="s">
        <v>129</v>
      </c>
      <c r="CC162" s="26" t="s">
        <v>110</v>
      </c>
      <c r="CD162" s="26" t="s">
        <v>110</v>
      </c>
      <c r="CE162" s="26" t="s">
        <v>127</v>
      </c>
      <c r="CF162" s="26" t="s">
        <v>110</v>
      </c>
      <c r="CG162" s="26" t="s">
        <v>110</v>
      </c>
      <c r="CH162" s="80" t="s">
        <v>110</v>
      </c>
      <c r="CI162" s="26" t="s">
        <v>115</v>
      </c>
      <c r="CJ162" s="26" t="s">
        <v>119</v>
      </c>
      <c r="CK162" s="26" t="s">
        <v>126</v>
      </c>
      <c r="CL162" s="26" t="s">
        <v>110</v>
      </c>
      <c r="CM162" s="26" t="s">
        <v>110</v>
      </c>
      <c r="CN162" s="27" t="s">
        <v>580</v>
      </c>
      <c r="CO162" t="s">
        <v>786</v>
      </c>
      <c r="CP162">
        <f>IFERROR(VLOOKUP(H162,'Lista Lideres'!$A$1:$B$350,2,0),0)</f>
        <v>0</v>
      </c>
    </row>
    <row r="163" spans="1:94" ht="13.8" hidden="1" x14ac:dyDescent="0.3">
      <c r="A163" s="29">
        <v>45572.950895717593</v>
      </c>
      <c r="B163" s="30" t="s">
        <v>169</v>
      </c>
      <c r="C163" s="30" t="s">
        <v>783</v>
      </c>
      <c r="D163" s="30" t="s">
        <v>93</v>
      </c>
      <c r="E163" s="30" t="s">
        <v>236</v>
      </c>
      <c r="F163" s="30" t="s">
        <v>97</v>
      </c>
      <c r="G163" s="30" t="s">
        <v>581</v>
      </c>
      <c r="H163" s="30" t="s">
        <v>98</v>
      </c>
      <c r="I163" s="30" t="s">
        <v>100</v>
      </c>
      <c r="J163" s="30" t="s">
        <v>101</v>
      </c>
      <c r="K163" s="30" t="s">
        <v>191</v>
      </c>
      <c r="L163" s="79" t="s">
        <v>150</v>
      </c>
      <c r="M163" s="8" t="s">
        <v>104</v>
      </c>
      <c r="N163" s="79" t="s">
        <v>388</v>
      </c>
      <c r="O163" s="79" t="s">
        <v>106</v>
      </c>
      <c r="P163" s="79" t="s">
        <v>107</v>
      </c>
      <c r="Q163" s="110" t="s">
        <v>108</v>
      </c>
      <c r="R163" s="30" t="s">
        <v>176</v>
      </c>
      <c r="S163" s="30" t="s">
        <v>110</v>
      </c>
      <c r="T163" s="30" t="s">
        <v>110</v>
      </c>
      <c r="U163" s="30" t="s">
        <v>110</v>
      </c>
      <c r="V163" s="79" t="s">
        <v>126</v>
      </c>
      <c r="W163" s="79" t="s">
        <v>113</v>
      </c>
      <c r="X163" s="110" t="s">
        <v>165</v>
      </c>
      <c r="Y163" s="30" t="s">
        <v>111</v>
      </c>
      <c r="Z163" s="30" t="s">
        <v>115</v>
      </c>
      <c r="AA163" s="30" t="s">
        <v>115</v>
      </c>
      <c r="AB163" s="30" t="s">
        <v>111</v>
      </c>
      <c r="AC163" s="79" t="s">
        <v>111</v>
      </c>
      <c r="AD163" s="79" t="s">
        <v>137</v>
      </c>
      <c r="AE163" s="79" t="s">
        <v>118</v>
      </c>
      <c r="AF163" s="91" t="s">
        <v>111</v>
      </c>
      <c r="AG163" s="79" t="s">
        <v>110</v>
      </c>
      <c r="AH163" s="30" t="s">
        <v>168</v>
      </c>
      <c r="AI163" s="79" t="s">
        <v>154</v>
      </c>
      <c r="AJ163" s="79" t="s">
        <v>197</v>
      </c>
      <c r="AK163" s="79" t="s">
        <v>225</v>
      </c>
      <c r="AL163" s="30" t="s">
        <v>168</v>
      </c>
      <c r="AM163" s="30" t="s">
        <v>123</v>
      </c>
      <c r="AN163" s="30" t="s">
        <v>110</v>
      </c>
      <c r="AO163" s="79" t="s">
        <v>123</v>
      </c>
      <c r="AP163" s="30" t="s">
        <v>110</v>
      </c>
      <c r="AQ163" s="79" t="s">
        <v>203</v>
      </c>
      <c r="AR163" s="79" t="s">
        <v>115</v>
      </c>
      <c r="AS163" s="30" t="s">
        <v>115</v>
      </c>
      <c r="AT163" s="16" t="s">
        <v>129</v>
      </c>
      <c r="AU163" s="17" t="s">
        <v>115</v>
      </c>
      <c r="AV163" s="30" t="s">
        <v>168</v>
      </c>
      <c r="AW163" s="30" t="s">
        <v>129</v>
      </c>
      <c r="AX163" s="30" t="s">
        <v>120</v>
      </c>
      <c r="AY163" s="30" t="s">
        <v>120</v>
      </c>
      <c r="AZ163" s="79" t="s">
        <v>142</v>
      </c>
      <c r="BA163" s="79" t="s">
        <v>111</v>
      </c>
      <c r="BB163" s="79" t="s">
        <v>139</v>
      </c>
      <c r="BC163" s="79" t="s">
        <v>120</v>
      </c>
      <c r="BD163" s="91" t="s">
        <v>125</v>
      </c>
      <c r="BE163" s="79" t="s">
        <v>140</v>
      </c>
      <c r="BF163" s="79" t="s">
        <v>141</v>
      </c>
      <c r="BG163" s="30" t="s">
        <v>110</v>
      </c>
      <c r="BH163" s="79" t="s">
        <v>142</v>
      </c>
      <c r="BI163" s="30" t="s">
        <v>120</v>
      </c>
      <c r="BJ163" s="79" t="s">
        <v>129</v>
      </c>
      <c r="BK163" s="30" t="s">
        <v>121</v>
      </c>
      <c r="BL163" s="30" t="s">
        <v>124</v>
      </c>
      <c r="BM163" s="30" t="s">
        <v>110</v>
      </c>
      <c r="BN163" s="18" t="s">
        <v>115</v>
      </c>
      <c r="BO163" s="30" t="s">
        <v>115</v>
      </c>
      <c r="BP163" s="30" t="s">
        <v>120</v>
      </c>
      <c r="BQ163" s="30" t="s">
        <v>115</v>
      </c>
      <c r="BR163" s="30" t="s">
        <v>115</v>
      </c>
      <c r="BS163" s="79" t="s">
        <v>115</v>
      </c>
      <c r="BT163" s="30" t="s">
        <v>115</v>
      </c>
      <c r="BU163" s="30" t="s">
        <v>115</v>
      </c>
      <c r="BV163" s="30" t="s">
        <v>120</v>
      </c>
      <c r="BW163" s="30" t="s">
        <v>110</v>
      </c>
      <c r="BX163" s="30" t="s">
        <v>126</v>
      </c>
      <c r="BY163" s="79" t="s">
        <v>111</v>
      </c>
      <c r="BZ163" s="30" t="s">
        <v>115</v>
      </c>
      <c r="CA163" s="30" t="s">
        <v>115</v>
      </c>
      <c r="CB163" s="30" t="s">
        <v>129</v>
      </c>
      <c r="CC163" s="30" t="s">
        <v>115</v>
      </c>
      <c r="CD163" s="30" t="s">
        <v>115</v>
      </c>
      <c r="CE163" s="30" t="s">
        <v>116</v>
      </c>
      <c r="CF163" s="30" t="s">
        <v>111</v>
      </c>
      <c r="CG163" s="30" t="s">
        <v>119</v>
      </c>
      <c r="CH163" s="79" t="s">
        <v>115</v>
      </c>
      <c r="CI163" s="30" t="s">
        <v>115</v>
      </c>
      <c r="CJ163" s="30" t="s">
        <v>110</v>
      </c>
      <c r="CK163" s="30" t="s">
        <v>124</v>
      </c>
      <c r="CL163" s="30" t="s">
        <v>110</v>
      </c>
      <c r="CM163" s="30" t="s">
        <v>120</v>
      </c>
      <c r="CN163" s="27" t="s">
        <v>582</v>
      </c>
      <c r="CO163" t="s">
        <v>786</v>
      </c>
      <c r="CP163">
        <f>IFERROR(VLOOKUP(H163,'Lista Lideres'!$A$1:$B$350,2,0),0)</f>
        <v>0</v>
      </c>
    </row>
    <row r="164" spans="1:94" ht="13.8" hidden="1" x14ac:dyDescent="0.3">
      <c r="A164" s="25">
        <v>45561.694988043979</v>
      </c>
      <c r="B164" s="30" t="s">
        <v>169</v>
      </c>
      <c r="C164" s="26" t="s">
        <v>783</v>
      </c>
      <c r="D164" s="26" t="s">
        <v>93</v>
      </c>
      <c r="E164" s="26" t="s">
        <v>236</v>
      </c>
      <c r="F164" s="26" t="s">
        <v>171</v>
      </c>
      <c r="G164" s="26" t="s">
        <v>583</v>
      </c>
      <c r="H164" s="26" t="s">
        <v>584</v>
      </c>
      <c r="I164" s="26" t="s">
        <v>100</v>
      </c>
      <c r="J164" s="26" t="s">
        <v>101</v>
      </c>
      <c r="K164" s="26" t="s">
        <v>102</v>
      </c>
      <c r="L164" s="80" t="s">
        <v>150</v>
      </c>
      <c r="M164" s="8" t="s">
        <v>104</v>
      </c>
      <c r="N164" s="80" t="s">
        <v>388</v>
      </c>
      <c r="O164" s="80" t="s">
        <v>282</v>
      </c>
      <c r="P164" s="80" t="s">
        <v>107</v>
      </c>
      <c r="Q164" s="111" t="s">
        <v>151</v>
      </c>
      <c r="R164" s="26" t="s">
        <v>164</v>
      </c>
      <c r="S164" s="26" t="s">
        <v>111</v>
      </c>
      <c r="T164" s="26" t="s">
        <v>110</v>
      </c>
      <c r="U164" s="26" t="s">
        <v>110</v>
      </c>
      <c r="V164" s="80" t="s">
        <v>112</v>
      </c>
      <c r="W164" s="80" t="s">
        <v>363</v>
      </c>
      <c r="X164" s="111" t="s">
        <v>165</v>
      </c>
      <c r="Y164" s="26" t="s">
        <v>111</v>
      </c>
      <c r="Z164" s="26" t="s">
        <v>115</v>
      </c>
      <c r="AA164" s="26" t="s">
        <v>111</v>
      </c>
      <c r="AB164" s="26" t="s">
        <v>111</v>
      </c>
      <c r="AC164" s="80" t="s">
        <v>111</v>
      </c>
      <c r="AD164" s="80" t="s">
        <v>137</v>
      </c>
      <c r="AE164" s="80" t="s">
        <v>118</v>
      </c>
      <c r="AF164" s="92" t="s">
        <v>111</v>
      </c>
      <c r="AG164" s="80" t="s">
        <v>120</v>
      </c>
      <c r="AH164" s="26" t="s">
        <v>177</v>
      </c>
      <c r="AI164" s="80" t="s">
        <v>110</v>
      </c>
      <c r="AJ164" s="80" t="s">
        <v>110</v>
      </c>
      <c r="AK164" s="80" t="s">
        <v>225</v>
      </c>
      <c r="AL164" s="26" t="s">
        <v>177</v>
      </c>
      <c r="AM164" s="26" t="s">
        <v>128</v>
      </c>
      <c r="AN164" s="26" t="s">
        <v>128</v>
      </c>
      <c r="AO164" s="80" t="s">
        <v>128</v>
      </c>
      <c r="AP164" s="26" t="s">
        <v>128</v>
      </c>
      <c r="AQ164" s="80" t="s">
        <v>124</v>
      </c>
      <c r="AR164" s="80" t="s">
        <v>111</v>
      </c>
      <c r="AS164" s="26" t="s">
        <v>111</v>
      </c>
      <c r="AT164" s="9" t="s">
        <v>119</v>
      </c>
      <c r="AU164" s="10" t="s">
        <v>115</v>
      </c>
      <c r="AV164" s="26" t="s">
        <v>115</v>
      </c>
      <c r="AW164" s="26" t="s">
        <v>129</v>
      </c>
      <c r="AX164" s="26" t="s">
        <v>129</v>
      </c>
      <c r="AY164" s="26" t="s">
        <v>120</v>
      </c>
      <c r="AZ164" s="80" t="s">
        <v>126</v>
      </c>
      <c r="BA164" s="80" t="s">
        <v>111</v>
      </c>
      <c r="BB164" s="80" t="s">
        <v>139</v>
      </c>
      <c r="BC164" s="80" t="s">
        <v>120</v>
      </c>
      <c r="BD164" s="92" t="s">
        <v>125</v>
      </c>
      <c r="BE164" s="80" t="s">
        <v>140</v>
      </c>
      <c r="BF164" s="80" t="s">
        <v>141</v>
      </c>
      <c r="BG164" s="26" t="s">
        <v>110</v>
      </c>
      <c r="BH164" s="80" t="s">
        <v>125</v>
      </c>
      <c r="BI164" s="26" t="s">
        <v>119</v>
      </c>
      <c r="BJ164" s="80" t="s">
        <v>119</v>
      </c>
      <c r="BK164" s="26" t="s">
        <v>128</v>
      </c>
      <c r="BL164" s="26" t="s">
        <v>125</v>
      </c>
      <c r="BM164" s="26" t="s">
        <v>186</v>
      </c>
      <c r="BN164" s="11" t="s">
        <v>115</v>
      </c>
      <c r="BO164" s="26" t="s">
        <v>111</v>
      </c>
      <c r="BP164" s="26" t="s">
        <v>111</v>
      </c>
      <c r="BQ164" s="26" t="s">
        <v>115</v>
      </c>
      <c r="BR164" s="26" t="s">
        <v>115</v>
      </c>
      <c r="BS164" s="80" t="s">
        <v>115</v>
      </c>
      <c r="BT164" s="26" t="s">
        <v>115</v>
      </c>
      <c r="BU164" s="26" t="s">
        <v>115</v>
      </c>
      <c r="BV164" s="26" t="s">
        <v>120</v>
      </c>
      <c r="BW164" s="26" t="s">
        <v>178</v>
      </c>
      <c r="BX164" s="26" t="s">
        <v>124</v>
      </c>
      <c r="BY164" s="80" t="s">
        <v>111</v>
      </c>
      <c r="BZ164" s="26" t="s">
        <v>115</v>
      </c>
      <c r="CA164" s="26" t="s">
        <v>111</v>
      </c>
      <c r="CB164" s="26" t="s">
        <v>111</v>
      </c>
      <c r="CC164" s="26" t="s">
        <v>111</v>
      </c>
      <c r="CD164" s="26" t="s">
        <v>111</v>
      </c>
      <c r="CE164" s="26" t="s">
        <v>127</v>
      </c>
      <c r="CF164" s="26" t="s">
        <v>111</v>
      </c>
      <c r="CG164" s="26" t="s">
        <v>111</v>
      </c>
      <c r="CH164" s="80" t="s">
        <v>111</v>
      </c>
      <c r="CI164" s="26" t="s">
        <v>111</v>
      </c>
      <c r="CJ164" s="26" t="s">
        <v>111</v>
      </c>
      <c r="CK164" s="26" t="s">
        <v>125</v>
      </c>
      <c r="CL164" s="26" t="s">
        <v>115</v>
      </c>
      <c r="CM164" s="26" t="s">
        <v>120</v>
      </c>
      <c r="CN164" s="27" t="s">
        <v>585</v>
      </c>
      <c r="CO164" t="s">
        <v>786</v>
      </c>
      <c r="CP164">
        <f>IFERROR(VLOOKUP(H164,'Lista Lideres'!$A$1:$B$350,2,0),0)</f>
        <v>1</v>
      </c>
    </row>
    <row r="165" spans="1:94" ht="13.8" hidden="1" x14ac:dyDescent="0.3">
      <c r="A165" s="29">
        <v>45561.720638634259</v>
      </c>
      <c r="B165" s="30" t="s">
        <v>169</v>
      </c>
      <c r="C165" s="30" t="s">
        <v>783</v>
      </c>
      <c r="D165" s="30" t="s">
        <v>93</v>
      </c>
      <c r="E165" s="30" t="s">
        <v>265</v>
      </c>
      <c r="F165" s="30" t="s">
        <v>97</v>
      </c>
      <c r="G165" s="30" t="s">
        <v>586</v>
      </c>
      <c r="H165" s="30" t="s">
        <v>587</v>
      </c>
      <c r="I165" s="30" t="s">
        <v>190</v>
      </c>
      <c r="J165" s="30" t="s">
        <v>101</v>
      </c>
      <c r="K165" s="30" t="s">
        <v>102</v>
      </c>
      <c r="L165" s="79" t="s">
        <v>103</v>
      </c>
      <c r="M165" s="8" t="s">
        <v>104</v>
      </c>
      <c r="N165" s="79" t="s">
        <v>388</v>
      </c>
      <c r="O165" s="79" t="s">
        <v>282</v>
      </c>
      <c r="P165" s="79" t="s">
        <v>264</v>
      </c>
      <c r="Q165" s="110" t="s">
        <v>163</v>
      </c>
      <c r="R165" s="30" t="s">
        <v>109</v>
      </c>
      <c r="S165" s="30" t="s">
        <v>129</v>
      </c>
      <c r="T165" s="30" t="s">
        <v>110</v>
      </c>
      <c r="U165" s="30" t="s">
        <v>119</v>
      </c>
      <c r="V165" s="79" t="s">
        <v>320</v>
      </c>
      <c r="W165" s="79" t="s">
        <v>113</v>
      </c>
      <c r="X165" s="110" t="s">
        <v>153</v>
      </c>
      <c r="Y165" s="30" t="s">
        <v>129</v>
      </c>
      <c r="Z165" s="30" t="s">
        <v>119</v>
      </c>
      <c r="AA165" s="30" t="s">
        <v>119</v>
      </c>
      <c r="AB165" s="30" t="s">
        <v>119</v>
      </c>
      <c r="AC165" s="79" t="s">
        <v>110</v>
      </c>
      <c r="AD165" s="79" t="s">
        <v>166</v>
      </c>
      <c r="AE165" s="79" t="s">
        <v>138</v>
      </c>
      <c r="AF165" s="91" t="s">
        <v>111</v>
      </c>
      <c r="AG165" s="79" t="s">
        <v>119</v>
      </c>
      <c r="AH165" s="30" t="s">
        <v>177</v>
      </c>
      <c r="AI165" s="79" t="s">
        <v>110</v>
      </c>
      <c r="AJ165" s="79" t="s">
        <v>110</v>
      </c>
      <c r="AK165" s="79" t="s">
        <v>110</v>
      </c>
      <c r="AL165" s="30" t="s">
        <v>122</v>
      </c>
      <c r="AM165" s="30" t="s">
        <v>123</v>
      </c>
      <c r="AN165" s="30" t="s">
        <v>177</v>
      </c>
      <c r="AO165" s="79" t="s">
        <v>123</v>
      </c>
      <c r="AP165" s="30" t="s">
        <v>110</v>
      </c>
      <c r="AQ165" s="79" t="s">
        <v>126</v>
      </c>
      <c r="AR165" s="79" t="s">
        <v>110</v>
      </c>
      <c r="AS165" s="30" t="s">
        <v>110</v>
      </c>
      <c r="AT165" s="16" t="s">
        <v>111</v>
      </c>
      <c r="AU165" s="17" t="s">
        <v>119</v>
      </c>
      <c r="AV165" s="30" t="s">
        <v>110</v>
      </c>
      <c r="AW165" s="30" t="s">
        <v>115</v>
      </c>
      <c r="AX165" s="30" t="s">
        <v>110</v>
      </c>
      <c r="AY165" s="30" t="s">
        <v>120</v>
      </c>
      <c r="AZ165" s="79" t="s">
        <v>126</v>
      </c>
      <c r="BA165" s="79" t="s">
        <v>111</v>
      </c>
      <c r="BB165" s="79" t="s">
        <v>126</v>
      </c>
      <c r="BC165" s="79" t="s">
        <v>111</v>
      </c>
      <c r="BD165" s="91" t="s">
        <v>214</v>
      </c>
      <c r="BE165" s="79" t="s">
        <v>126</v>
      </c>
      <c r="BF165" s="79" t="s">
        <v>110</v>
      </c>
      <c r="BG165" s="30" t="s">
        <v>119</v>
      </c>
      <c r="BH165" s="79" t="s">
        <v>124</v>
      </c>
      <c r="BI165" s="30" t="s">
        <v>129</v>
      </c>
      <c r="BJ165" s="79" t="s">
        <v>111</v>
      </c>
      <c r="BK165" s="30" t="s">
        <v>122</v>
      </c>
      <c r="BL165" s="30" t="s">
        <v>124</v>
      </c>
      <c r="BM165" s="30" t="s">
        <v>209</v>
      </c>
      <c r="BN165" s="18" t="s">
        <v>110</v>
      </c>
      <c r="BO165" s="30" t="s">
        <v>129</v>
      </c>
      <c r="BP165" s="30" t="s">
        <v>120</v>
      </c>
      <c r="BQ165" s="30" t="s">
        <v>111</v>
      </c>
      <c r="BR165" s="30" t="s">
        <v>111</v>
      </c>
      <c r="BS165" s="79" t="s">
        <v>110</v>
      </c>
      <c r="BT165" s="30" t="s">
        <v>119</v>
      </c>
      <c r="BU165" s="30" t="s">
        <v>119</v>
      </c>
      <c r="BV165" s="30" t="s">
        <v>110</v>
      </c>
      <c r="BW165" s="30" t="s">
        <v>110</v>
      </c>
      <c r="BX165" s="30" t="s">
        <v>203</v>
      </c>
      <c r="BY165" s="79" t="s">
        <v>129</v>
      </c>
      <c r="BZ165" s="30" t="s">
        <v>115</v>
      </c>
      <c r="CA165" s="30" t="s">
        <v>110</v>
      </c>
      <c r="CB165" s="30" t="s">
        <v>111</v>
      </c>
      <c r="CC165" s="30" t="s">
        <v>129</v>
      </c>
      <c r="CD165" s="30" t="s">
        <v>115</v>
      </c>
      <c r="CE165" s="30" t="s">
        <v>110</v>
      </c>
      <c r="CF165" s="30" t="s">
        <v>129</v>
      </c>
      <c r="CG165" s="30" t="s">
        <v>119</v>
      </c>
      <c r="CH165" s="79" t="s">
        <v>129</v>
      </c>
      <c r="CI165" s="30" t="s">
        <v>115</v>
      </c>
      <c r="CJ165" s="30" t="s">
        <v>111</v>
      </c>
      <c r="CK165" s="30" t="s">
        <v>124</v>
      </c>
      <c r="CL165" s="30" t="s">
        <v>119</v>
      </c>
      <c r="CM165" s="30" t="s">
        <v>110</v>
      </c>
      <c r="CN165" s="27" t="s">
        <v>588</v>
      </c>
      <c r="CO165" t="s">
        <v>785</v>
      </c>
      <c r="CP165">
        <f>IFERROR(VLOOKUP(H165,'Lista Lideres'!$A$1:$B$350,2,0),0)</f>
        <v>0</v>
      </c>
    </row>
    <row r="166" spans="1:94" ht="14.4" hidden="1" x14ac:dyDescent="0.3">
      <c r="A166" s="25">
        <v>45569.875840925924</v>
      </c>
      <c r="B166" s="30" t="s">
        <v>169</v>
      </c>
      <c r="C166" s="26" t="s">
        <v>783</v>
      </c>
      <c r="D166" s="26" t="s">
        <v>93</v>
      </c>
      <c r="E166" s="26" t="s">
        <v>589</v>
      </c>
      <c r="F166" s="26" t="s">
        <v>96</v>
      </c>
      <c r="G166" s="26" t="s">
        <v>590</v>
      </c>
      <c r="H166" s="26" t="s">
        <v>591</v>
      </c>
      <c r="I166" s="26" t="s">
        <v>195</v>
      </c>
      <c r="J166" s="26" t="s">
        <v>101</v>
      </c>
      <c r="K166" s="26" t="s">
        <v>102</v>
      </c>
      <c r="L166" s="80" t="s">
        <v>162</v>
      </c>
      <c r="M166" s="8" t="s">
        <v>104</v>
      </c>
      <c r="N166" s="80" t="s">
        <v>388</v>
      </c>
      <c r="O166" s="80" t="s">
        <v>106</v>
      </c>
      <c r="P166" s="80" t="s">
        <v>107</v>
      </c>
      <c r="Q166" s="111" t="s">
        <v>163</v>
      </c>
      <c r="R166" s="26" t="s">
        <v>314</v>
      </c>
      <c r="S166" s="26" t="s">
        <v>110</v>
      </c>
      <c r="T166" s="26" t="s">
        <v>110</v>
      </c>
      <c r="U166" s="26" t="s">
        <v>110</v>
      </c>
      <c r="V166" s="80" t="s">
        <v>112</v>
      </c>
      <c r="W166" s="80" t="s">
        <v>113</v>
      </c>
      <c r="X166" s="111" t="s">
        <v>114</v>
      </c>
      <c r="Y166" s="26" t="s">
        <v>115</v>
      </c>
      <c r="Z166" s="26" t="s">
        <v>115</v>
      </c>
      <c r="AA166" s="26" t="s">
        <v>115</v>
      </c>
      <c r="AB166" s="26" t="s">
        <v>115</v>
      </c>
      <c r="AC166" s="80" t="s">
        <v>111</v>
      </c>
      <c r="AD166" s="80" t="s">
        <v>166</v>
      </c>
      <c r="AE166" s="80" t="s">
        <v>167</v>
      </c>
      <c r="AF166" s="92" t="s">
        <v>120</v>
      </c>
      <c r="AG166" s="80" t="s">
        <v>168</v>
      </c>
      <c r="AH166" s="26" t="s">
        <v>168</v>
      </c>
      <c r="AI166" s="80" t="s">
        <v>121</v>
      </c>
      <c r="AJ166" s="80" t="s">
        <v>121</v>
      </c>
      <c r="AK166" s="80" t="s">
        <v>121</v>
      </c>
      <c r="AL166" s="26" t="s">
        <v>121</v>
      </c>
      <c r="AM166" s="26" t="s">
        <v>121</v>
      </c>
      <c r="AN166" s="26" t="s">
        <v>110</v>
      </c>
      <c r="AO166" s="80" t="s">
        <v>121</v>
      </c>
      <c r="AP166" s="26" t="s">
        <v>121</v>
      </c>
      <c r="AQ166" s="80" t="s">
        <v>203</v>
      </c>
      <c r="AR166" s="80" t="s">
        <v>115</v>
      </c>
      <c r="AS166" s="26" t="s">
        <v>115</v>
      </c>
      <c r="AT166" s="9" t="s">
        <v>129</v>
      </c>
      <c r="AU166" s="10" t="s">
        <v>115</v>
      </c>
      <c r="AV166" s="26" t="s">
        <v>129</v>
      </c>
      <c r="AW166" s="26" t="s">
        <v>129</v>
      </c>
      <c r="AX166" s="26" t="s">
        <v>129</v>
      </c>
      <c r="AY166" s="26" t="s">
        <v>120</v>
      </c>
      <c r="AZ166" s="80" t="s">
        <v>142</v>
      </c>
      <c r="BA166" s="80" t="s">
        <v>120</v>
      </c>
      <c r="BB166" s="80" t="s">
        <v>139</v>
      </c>
      <c r="BC166" s="80" t="s">
        <v>120</v>
      </c>
      <c r="BD166" s="92" t="s">
        <v>214</v>
      </c>
      <c r="BE166" s="80" t="s">
        <v>140</v>
      </c>
      <c r="BF166" s="80" t="s">
        <v>128</v>
      </c>
      <c r="BG166" s="26" t="s">
        <v>120</v>
      </c>
      <c r="BH166" s="80" t="s">
        <v>125</v>
      </c>
      <c r="BI166" s="26" t="s">
        <v>120</v>
      </c>
      <c r="BJ166" s="80" t="s">
        <v>110</v>
      </c>
      <c r="BK166" s="26" t="s">
        <v>121</v>
      </c>
      <c r="BL166" s="26" t="s">
        <v>142</v>
      </c>
      <c r="BM166" s="26" t="s">
        <v>186</v>
      </c>
      <c r="BN166" s="11" t="s">
        <v>115</v>
      </c>
      <c r="BO166" s="26" t="s">
        <v>115</v>
      </c>
      <c r="BP166" s="26" t="s">
        <v>120</v>
      </c>
      <c r="BQ166" s="26" t="s">
        <v>115</v>
      </c>
      <c r="BR166" s="26" t="s">
        <v>115</v>
      </c>
      <c r="BS166" s="80" t="s">
        <v>115</v>
      </c>
      <c r="BT166" s="26" t="s">
        <v>115</v>
      </c>
      <c r="BU166" s="26" t="s">
        <v>129</v>
      </c>
      <c r="BV166" s="26" t="s">
        <v>119</v>
      </c>
      <c r="BW166" s="26" t="s">
        <v>110</v>
      </c>
      <c r="BX166" s="26" t="s">
        <v>203</v>
      </c>
      <c r="BY166" s="80" t="s">
        <v>115</v>
      </c>
      <c r="BZ166" s="26" t="s">
        <v>115</v>
      </c>
      <c r="CA166" s="26" t="s">
        <v>115</v>
      </c>
      <c r="CB166" s="26" t="s">
        <v>129</v>
      </c>
      <c r="CC166" s="26" t="s">
        <v>110</v>
      </c>
      <c r="CD166" s="26" t="s">
        <v>110</v>
      </c>
      <c r="CE166" s="26" t="s">
        <v>116</v>
      </c>
      <c r="CF166" s="26" t="s">
        <v>115</v>
      </c>
      <c r="CG166" s="26" t="s">
        <v>110</v>
      </c>
      <c r="CH166" s="80" t="s">
        <v>110</v>
      </c>
      <c r="CI166" s="26" t="s">
        <v>115</v>
      </c>
      <c r="CJ166" s="26" t="s">
        <v>110</v>
      </c>
      <c r="CK166" s="26" t="s">
        <v>125</v>
      </c>
      <c r="CL166" s="26" t="s">
        <v>115</v>
      </c>
      <c r="CM166" s="26" t="s">
        <v>120</v>
      </c>
      <c r="CN166" s="28"/>
      <c r="CO166" t="s">
        <v>786</v>
      </c>
      <c r="CP166">
        <f>IFERROR(VLOOKUP(H166,'Lista Lideres'!$A$1:$B$350,2,0),0)</f>
        <v>1</v>
      </c>
    </row>
    <row r="167" spans="1:94" ht="14.4" hidden="1" x14ac:dyDescent="0.3">
      <c r="A167" s="29">
        <v>45562.046408738424</v>
      </c>
      <c r="B167" s="30" t="s">
        <v>169</v>
      </c>
      <c r="C167" s="30" t="s">
        <v>783</v>
      </c>
      <c r="D167" s="30" t="s">
        <v>93</v>
      </c>
      <c r="E167" s="30" t="s">
        <v>180</v>
      </c>
      <c r="F167" s="30" t="s">
        <v>96</v>
      </c>
      <c r="G167" s="30" t="s">
        <v>592</v>
      </c>
      <c r="H167" s="30" t="s">
        <v>528</v>
      </c>
      <c r="I167" s="30" t="s">
        <v>100</v>
      </c>
      <c r="J167" s="30" t="s">
        <v>196</v>
      </c>
      <c r="K167" s="30" t="s">
        <v>102</v>
      </c>
      <c r="L167" s="79" t="s">
        <v>162</v>
      </c>
      <c r="M167" s="8" t="s">
        <v>104</v>
      </c>
      <c r="N167" s="79" t="s">
        <v>388</v>
      </c>
      <c r="O167" s="79" t="s">
        <v>106</v>
      </c>
      <c r="P167" s="79" t="s">
        <v>107</v>
      </c>
      <c r="Q167" s="110" t="s">
        <v>108</v>
      </c>
      <c r="R167" s="30" t="s">
        <v>109</v>
      </c>
      <c r="S167" s="30" t="s">
        <v>111</v>
      </c>
      <c r="T167" s="30" t="s">
        <v>110</v>
      </c>
      <c r="U167" s="30" t="s">
        <v>110</v>
      </c>
      <c r="V167" s="79" t="s">
        <v>126</v>
      </c>
      <c r="W167" s="79" t="s">
        <v>152</v>
      </c>
      <c r="X167" s="110" t="s">
        <v>165</v>
      </c>
      <c r="Y167" s="30" t="s">
        <v>111</v>
      </c>
      <c r="Z167" s="30" t="s">
        <v>111</v>
      </c>
      <c r="AA167" s="30" t="s">
        <v>111</v>
      </c>
      <c r="AB167" s="30" t="s">
        <v>111</v>
      </c>
      <c r="AC167" s="79" t="s">
        <v>110</v>
      </c>
      <c r="AD167" s="79" t="s">
        <v>137</v>
      </c>
      <c r="AE167" s="79" t="s">
        <v>118</v>
      </c>
      <c r="AF167" s="91" t="s">
        <v>110</v>
      </c>
      <c r="AG167" s="79" t="s">
        <v>110</v>
      </c>
      <c r="AH167" s="30" t="s">
        <v>110</v>
      </c>
      <c r="AI167" s="79" t="s">
        <v>110</v>
      </c>
      <c r="AJ167" s="79" t="s">
        <v>110</v>
      </c>
      <c r="AK167" s="79" t="s">
        <v>110</v>
      </c>
      <c r="AL167" s="30" t="s">
        <v>110</v>
      </c>
      <c r="AM167" s="30" t="s">
        <v>110</v>
      </c>
      <c r="AN167" s="30" t="s">
        <v>110</v>
      </c>
      <c r="AO167" s="79" t="s">
        <v>110</v>
      </c>
      <c r="AP167" s="30" t="s">
        <v>110</v>
      </c>
      <c r="AQ167" s="79" t="s">
        <v>126</v>
      </c>
      <c r="AR167" s="79" t="s">
        <v>110</v>
      </c>
      <c r="AS167" s="30" t="s">
        <v>110</v>
      </c>
      <c r="AT167" s="16" t="s">
        <v>110</v>
      </c>
      <c r="AU167" s="17" t="s">
        <v>110</v>
      </c>
      <c r="AV167" s="30" t="s">
        <v>110</v>
      </c>
      <c r="AW167" s="30" t="s">
        <v>110</v>
      </c>
      <c r="AX167" s="30" t="s">
        <v>110</v>
      </c>
      <c r="AY167" s="30" t="s">
        <v>110</v>
      </c>
      <c r="AZ167" s="79" t="s">
        <v>126</v>
      </c>
      <c r="BA167" s="79" t="s">
        <v>110</v>
      </c>
      <c r="BB167" s="79" t="s">
        <v>126</v>
      </c>
      <c r="BC167" s="79" t="s">
        <v>110</v>
      </c>
      <c r="BD167" s="91" t="s">
        <v>126</v>
      </c>
      <c r="BE167" s="79" t="s">
        <v>126</v>
      </c>
      <c r="BF167" s="79" t="s">
        <v>110</v>
      </c>
      <c r="BG167" s="30" t="s">
        <v>110</v>
      </c>
      <c r="BH167" s="79" t="s">
        <v>126</v>
      </c>
      <c r="BI167" s="30" t="s">
        <v>110</v>
      </c>
      <c r="BJ167" s="79" t="s">
        <v>110</v>
      </c>
      <c r="BK167" s="30" t="s">
        <v>110</v>
      </c>
      <c r="BL167" s="30" t="s">
        <v>126</v>
      </c>
      <c r="BM167" s="30" t="s">
        <v>110</v>
      </c>
      <c r="BN167" s="18" t="s">
        <v>111</v>
      </c>
      <c r="BO167" s="30" t="s">
        <v>111</v>
      </c>
      <c r="BP167" s="30" t="s">
        <v>111</v>
      </c>
      <c r="BQ167" s="30" t="s">
        <v>110</v>
      </c>
      <c r="BR167" s="30" t="s">
        <v>110</v>
      </c>
      <c r="BS167" s="79" t="s">
        <v>111</v>
      </c>
      <c r="BT167" s="30" t="s">
        <v>115</v>
      </c>
      <c r="BU167" s="30" t="s">
        <v>110</v>
      </c>
      <c r="BV167" s="30" t="s">
        <v>110</v>
      </c>
      <c r="BW167" s="30" t="s">
        <v>110</v>
      </c>
      <c r="BX167" s="30" t="s">
        <v>126</v>
      </c>
      <c r="BY167" s="79" t="s">
        <v>110</v>
      </c>
      <c r="BZ167" s="30" t="s">
        <v>111</v>
      </c>
      <c r="CA167" s="30" t="s">
        <v>110</v>
      </c>
      <c r="CB167" s="30" t="s">
        <v>119</v>
      </c>
      <c r="CC167" s="30" t="s">
        <v>110</v>
      </c>
      <c r="CD167" s="30" t="s">
        <v>110</v>
      </c>
      <c r="CE167" s="30" t="s">
        <v>110</v>
      </c>
      <c r="CF167" s="30" t="s">
        <v>110</v>
      </c>
      <c r="CG167" s="30" t="s">
        <v>119</v>
      </c>
      <c r="CH167" s="79" t="s">
        <v>110</v>
      </c>
      <c r="CI167" s="30" t="s">
        <v>110</v>
      </c>
      <c r="CJ167" s="30" t="s">
        <v>110</v>
      </c>
      <c r="CK167" s="30" t="s">
        <v>126</v>
      </c>
      <c r="CL167" s="30" t="s">
        <v>110</v>
      </c>
      <c r="CM167" s="30" t="s">
        <v>110</v>
      </c>
      <c r="CN167" s="28"/>
      <c r="CO167" t="s">
        <v>786</v>
      </c>
      <c r="CP167">
        <f>IFERROR(VLOOKUP(H167,'Lista Lideres'!$A$1:$B$350,2,0),0)</f>
        <v>0</v>
      </c>
    </row>
    <row r="168" spans="1:94" ht="13.8" hidden="1" x14ac:dyDescent="0.3">
      <c r="A168" s="25">
        <v>45573.032017430553</v>
      </c>
      <c r="B168" s="30" t="s">
        <v>169</v>
      </c>
      <c r="C168" s="26" t="s">
        <v>783</v>
      </c>
      <c r="D168" s="26" t="s">
        <v>93</v>
      </c>
      <c r="E168" s="26" t="s">
        <v>199</v>
      </c>
      <c r="F168" s="26" t="s">
        <v>171</v>
      </c>
      <c r="G168" s="26" t="s">
        <v>160</v>
      </c>
      <c r="H168" s="26" t="s">
        <v>160</v>
      </c>
      <c r="I168" s="26" t="s">
        <v>100</v>
      </c>
      <c r="J168" s="26" t="s">
        <v>196</v>
      </c>
      <c r="K168" s="26" t="s">
        <v>102</v>
      </c>
      <c r="L168" s="80" t="s">
        <v>103</v>
      </c>
      <c r="M168" s="8" t="s">
        <v>104</v>
      </c>
      <c r="N168" s="80" t="s">
        <v>388</v>
      </c>
      <c r="O168" s="80" t="s">
        <v>106</v>
      </c>
      <c r="P168" s="80" t="s">
        <v>107</v>
      </c>
      <c r="Q168" s="111" t="s">
        <v>108</v>
      </c>
      <c r="R168" s="26" t="s">
        <v>176</v>
      </c>
      <c r="S168" s="26" t="s">
        <v>110</v>
      </c>
      <c r="T168" s="26" t="s">
        <v>110</v>
      </c>
      <c r="U168" s="26" t="s">
        <v>111</v>
      </c>
      <c r="V168" s="80" t="s">
        <v>126</v>
      </c>
      <c r="W168" s="80" t="s">
        <v>113</v>
      </c>
      <c r="X168" s="111" t="s">
        <v>165</v>
      </c>
      <c r="Y168" s="26" t="s">
        <v>115</v>
      </c>
      <c r="Z168" s="26" t="s">
        <v>111</v>
      </c>
      <c r="AA168" s="26" t="s">
        <v>111</v>
      </c>
      <c r="AB168" s="26" t="s">
        <v>111</v>
      </c>
      <c r="AC168" s="80" t="s">
        <v>111</v>
      </c>
      <c r="AD168" s="80" t="s">
        <v>166</v>
      </c>
      <c r="AE168" s="80" t="s">
        <v>118</v>
      </c>
      <c r="AF168" s="92" t="s">
        <v>110</v>
      </c>
      <c r="AG168" s="80" t="s">
        <v>110</v>
      </c>
      <c r="AH168" s="26" t="s">
        <v>110</v>
      </c>
      <c r="AI168" s="80" t="s">
        <v>110</v>
      </c>
      <c r="AJ168" s="80" t="s">
        <v>110</v>
      </c>
      <c r="AK168" s="80" t="s">
        <v>110</v>
      </c>
      <c r="AL168" s="26" t="s">
        <v>110</v>
      </c>
      <c r="AM168" s="26" t="s">
        <v>110</v>
      </c>
      <c r="AN168" s="26" t="s">
        <v>110</v>
      </c>
      <c r="AO168" s="80" t="s">
        <v>110</v>
      </c>
      <c r="AP168" s="26" t="s">
        <v>110</v>
      </c>
      <c r="AQ168" s="80" t="s">
        <v>126</v>
      </c>
      <c r="AR168" s="80" t="s">
        <v>110</v>
      </c>
      <c r="AS168" s="26" t="s">
        <v>110</v>
      </c>
      <c r="AT168" s="9" t="s">
        <v>129</v>
      </c>
      <c r="AU168" s="10" t="s">
        <v>111</v>
      </c>
      <c r="AV168" s="26" t="s">
        <v>129</v>
      </c>
      <c r="AW168" s="26" t="s">
        <v>129</v>
      </c>
      <c r="AX168" s="26" t="s">
        <v>110</v>
      </c>
      <c r="AY168" s="26" t="s">
        <v>110</v>
      </c>
      <c r="AZ168" s="80" t="s">
        <v>126</v>
      </c>
      <c r="BA168" s="80" t="s">
        <v>111</v>
      </c>
      <c r="BB168" s="80" t="s">
        <v>139</v>
      </c>
      <c r="BC168" s="80" t="s">
        <v>120</v>
      </c>
      <c r="BD168" s="92" t="s">
        <v>142</v>
      </c>
      <c r="BE168" s="80" t="s">
        <v>142</v>
      </c>
      <c r="BF168" s="80" t="s">
        <v>141</v>
      </c>
      <c r="BG168" s="26" t="s">
        <v>110</v>
      </c>
      <c r="BH168" s="80" t="s">
        <v>142</v>
      </c>
      <c r="BI168" s="26" t="s">
        <v>110</v>
      </c>
      <c r="BJ168" s="80" t="s">
        <v>110</v>
      </c>
      <c r="BK168" s="26" t="s">
        <v>121</v>
      </c>
      <c r="BL168" s="26" t="s">
        <v>126</v>
      </c>
      <c r="BM168" s="26" t="s">
        <v>110</v>
      </c>
      <c r="BN168" s="11" t="s">
        <v>115</v>
      </c>
      <c r="BO168" s="26" t="s">
        <v>115</v>
      </c>
      <c r="BP168" s="26" t="s">
        <v>120</v>
      </c>
      <c r="BQ168" s="26" t="s">
        <v>115</v>
      </c>
      <c r="BR168" s="26" t="s">
        <v>115</v>
      </c>
      <c r="BS168" s="80" t="s">
        <v>115</v>
      </c>
      <c r="BT168" s="26" t="s">
        <v>115</v>
      </c>
      <c r="BU168" s="26" t="s">
        <v>115</v>
      </c>
      <c r="BV168" s="26" t="s">
        <v>110</v>
      </c>
      <c r="BW168" s="26" t="s">
        <v>110</v>
      </c>
      <c r="BX168" s="26" t="s">
        <v>126</v>
      </c>
      <c r="BY168" s="80" t="s">
        <v>111</v>
      </c>
      <c r="BZ168" s="26" t="s">
        <v>115</v>
      </c>
      <c r="CA168" s="26" t="s">
        <v>110</v>
      </c>
      <c r="CB168" s="26" t="s">
        <v>110</v>
      </c>
      <c r="CC168" s="26" t="s">
        <v>110</v>
      </c>
      <c r="CD168" s="26" t="s">
        <v>111</v>
      </c>
      <c r="CE168" s="26" t="s">
        <v>110</v>
      </c>
      <c r="CF168" s="26" t="s">
        <v>110</v>
      </c>
      <c r="CG168" s="26" t="s">
        <v>110</v>
      </c>
      <c r="CH168" s="80" t="s">
        <v>110</v>
      </c>
      <c r="CI168" s="26" t="s">
        <v>110</v>
      </c>
      <c r="CJ168" s="26" t="s">
        <v>129</v>
      </c>
      <c r="CK168" s="26" t="s">
        <v>126</v>
      </c>
      <c r="CL168" s="26" t="s">
        <v>115</v>
      </c>
      <c r="CM168" s="26" t="s">
        <v>120</v>
      </c>
      <c r="CN168" s="27" t="s">
        <v>593</v>
      </c>
      <c r="CO168" t="s">
        <v>786</v>
      </c>
      <c r="CP168">
        <f>IFERROR(VLOOKUP(H168,'Lista Lideres'!$A$1:$B$350,2,0),0)</f>
        <v>0</v>
      </c>
    </row>
    <row r="169" spans="1:94" ht="13.8" hidden="1" x14ac:dyDescent="0.3">
      <c r="A169" s="29">
        <v>45561.847621365741</v>
      </c>
      <c r="B169" s="30" t="s">
        <v>169</v>
      </c>
      <c r="C169" s="30" t="s">
        <v>783</v>
      </c>
      <c r="D169" s="30" t="s">
        <v>93</v>
      </c>
      <c r="E169" s="30" t="s">
        <v>199</v>
      </c>
      <c r="F169" s="30" t="s">
        <v>96</v>
      </c>
      <c r="G169" s="30" t="s">
        <v>594</v>
      </c>
      <c r="H169" s="30" t="s">
        <v>594</v>
      </c>
      <c r="I169" s="30" t="s">
        <v>100</v>
      </c>
      <c r="J169" s="30" t="s">
        <v>101</v>
      </c>
      <c r="K169" s="30" t="s">
        <v>102</v>
      </c>
      <c r="L169" s="79" t="s">
        <v>103</v>
      </c>
      <c r="M169" s="8" t="s">
        <v>104</v>
      </c>
      <c r="N169" s="79" t="s">
        <v>388</v>
      </c>
      <c r="O169" s="79" t="s">
        <v>106</v>
      </c>
      <c r="P169" s="79" t="s">
        <v>175</v>
      </c>
      <c r="Q169" s="110" t="s">
        <v>108</v>
      </c>
      <c r="R169" s="30" t="s">
        <v>164</v>
      </c>
      <c r="S169" s="30" t="s">
        <v>111</v>
      </c>
      <c r="T169" s="30" t="s">
        <v>111</v>
      </c>
      <c r="U169" s="30" t="s">
        <v>111</v>
      </c>
      <c r="V169" s="79" t="s">
        <v>126</v>
      </c>
      <c r="W169" s="79" t="s">
        <v>113</v>
      </c>
      <c r="X169" s="110" t="s">
        <v>153</v>
      </c>
      <c r="Y169" s="30" t="s">
        <v>115</v>
      </c>
      <c r="Z169" s="30" t="s">
        <v>111</v>
      </c>
      <c r="AA169" s="30" t="s">
        <v>110</v>
      </c>
      <c r="AB169" s="30" t="s">
        <v>111</v>
      </c>
      <c r="AC169" s="79" t="s">
        <v>110</v>
      </c>
      <c r="AD169" s="79" t="s">
        <v>137</v>
      </c>
      <c r="AE169" s="79" t="s">
        <v>118</v>
      </c>
      <c r="AF169" s="91" t="s">
        <v>110</v>
      </c>
      <c r="AG169" s="79" t="s">
        <v>111</v>
      </c>
      <c r="AH169" s="30" t="s">
        <v>110</v>
      </c>
      <c r="AI169" s="79" t="s">
        <v>121</v>
      </c>
      <c r="AJ169" s="79" t="s">
        <v>121</v>
      </c>
      <c r="AK169" s="79" t="s">
        <v>121</v>
      </c>
      <c r="AL169" s="30" t="s">
        <v>110</v>
      </c>
      <c r="AM169" s="30" t="s">
        <v>110</v>
      </c>
      <c r="AN169" s="30" t="s">
        <v>177</v>
      </c>
      <c r="AO169" s="79" t="s">
        <v>123</v>
      </c>
      <c r="AP169" s="30" t="s">
        <v>110</v>
      </c>
      <c r="AQ169" s="79" t="s">
        <v>125</v>
      </c>
      <c r="AR169" s="79" t="s">
        <v>110</v>
      </c>
      <c r="AS169" s="30" t="s">
        <v>111</v>
      </c>
      <c r="AT169" s="16" t="s">
        <v>129</v>
      </c>
      <c r="AU169" s="17" t="s">
        <v>110</v>
      </c>
      <c r="AV169" s="30" t="s">
        <v>119</v>
      </c>
      <c r="AW169" s="30" t="s">
        <v>129</v>
      </c>
      <c r="AX169" s="30" t="s">
        <v>110</v>
      </c>
      <c r="AY169" s="30" t="s">
        <v>120</v>
      </c>
      <c r="AZ169" s="79" t="s">
        <v>126</v>
      </c>
      <c r="BA169" s="79" t="s">
        <v>120</v>
      </c>
      <c r="BB169" s="79" t="s">
        <v>142</v>
      </c>
      <c r="BC169" s="79" t="s">
        <v>111</v>
      </c>
      <c r="BD169" s="91" t="s">
        <v>142</v>
      </c>
      <c r="BE169" s="79" t="s">
        <v>125</v>
      </c>
      <c r="BF169" s="79" t="s">
        <v>128</v>
      </c>
      <c r="BG169" s="30" t="s">
        <v>119</v>
      </c>
      <c r="BH169" s="79" t="s">
        <v>142</v>
      </c>
      <c r="BI169" s="30" t="s">
        <v>111</v>
      </c>
      <c r="BJ169" s="79" t="s">
        <v>111</v>
      </c>
      <c r="BK169" s="30" t="s">
        <v>110</v>
      </c>
      <c r="BL169" s="30" t="s">
        <v>126</v>
      </c>
      <c r="BM169" s="30" t="s">
        <v>110</v>
      </c>
      <c r="BN169" s="18" t="s">
        <v>110</v>
      </c>
      <c r="BO169" s="30" t="s">
        <v>115</v>
      </c>
      <c r="BP169" s="30" t="s">
        <v>120</v>
      </c>
      <c r="BQ169" s="30" t="s">
        <v>110</v>
      </c>
      <c r="BR169" s="30" t="s">
        <v>110</v>
      </c>
      <c r="BS169" s="79" t="s">
        <v>110</v>
      </c>
      <c r="BT169" s="30" t="s">
        <v>111</v>
      </c>
      <c r="BU169" s="30" t="s">
        <v>111</v>
      </c>
      <c r="BV169" s="30" t="s">
        <v>110</v>
      </c>
      <c r="BW169" s="30" t="s">
        <v>128</v>
      </c>
      <c r="BX169" s="30" t="s">
        <v>125</v>
      </c>
      <c r="BY169" s="79" t="s">
        <v>111</v>
      </c>
      <c r="BZ169" s="30" t="s">
        <v>111</v>
      </c>
      <c r="CA169" s="30" t="s">
        <v>110</v>
      </c>
      <c r="CB169" s="30" t="s">
        <v>129</v>
      </c>
      <c r="CC169" s="30" t="s">
        <v>110</v>
      </c>
      <c r="CD169" s="30" t="s">
        <v>110</v>
      </c>
      <c r="CE169" s="30" t="s">
        <v>127</v>
      </c>
      <c r="CF169" s="30" t="s">
        <v>110</v>
      </c>
      <c r="CG169" s="30" t="s">
        <v>129</v>
      </c>
      <c r="CH169" s="79" t="s">
        <v>110</v>
      </c>
      <c r="CI169" s="30" t="s">
        <v>115</v>
      </c>
      <c r="CJ169" s="30" t="s">
        <v>129</v>
      </c>
      <c r="CK169" s="30" t="s">
        <v>126</v>
      </c>
      <c r="CL169" s="30" t="s">
        <v>110</v>
      </c>
      <c r="CM169" s="30" t="s">
        <v>111</v>
      </c>
      <c r="CN169" s="27" t="s">
        <v>595</v>
      </c>
      <c r="CO169" t="s">
        <v>786</v>
      </c>
      <c r="CP169">
        <f>IFERROR(VLOOKUP(H169,'Lista Lideres'!$A$1:$B$350,2,0),0)</f>
        <v>0</v>
      </c>
    </row>
    <row r="170" spans="1:94" ht="13.8" hidden="1" x14ac:dyDescent="0.3">
      <c r="A170" s="25">
        <v>45573.97276819445</v>
      </c>
      <c r="B170" s="30" t="s">
        <v>169</v>
      </c>
      <c r="C170" s="26" t="s">
        <v>783</v>
      </c>
      <c r="D170" s="26" t="s">
        <v>93</v>
      </c>
      <c r="E170" s="26" t="s">
        <v>211</v>
      </c>
      <c r="F170" s="26" t="s">
        <v>97</v>
      </c>
      <c r="G170" s="26" t="s">
        <v>212</v>
      </c>
      <c r="H170" s="26" t="s">
        <v>596</v>
      </c>
      <c r="I170" s="26" t="s">
        <v>100</v>
      </c>
      <c r="J170" s="26" t="s">
        <v>196</v>
      </c>
      <c r="K170" s="26" t="s">
        <v>102</v>
      </c>
      <c r="L170" s="80" t="s">
        <v>135</v>
      </c>
      <c r="M170" s="8" t="s">
        <v>104</v>
      </c>
      <c r="N170" s="80" t="s">
        <v>388</v>
      </c>
      <c r="O170" s="80" t="s">
        <v>106</v>
      </c>
      <c r="P170" s="80" t="s">
        <v>107</v>
      </c>
      <c r="Q170" s="111" t="s">
        <v>163</v>
      </c>
      <c r="R170" s="26" t="s">
        <v>109</v>
      </c>
      <c r="S170" s="26" t="s">
        <v>110</v>
      </c>
      <c r="T170" s="26" t="s">
        <v>119</v>
      </c>
      <c r="U170" s="26" t="s">
        <v>110</v>
      </c>
      <c r="V170" s="80" t="s">
        <v>136</v>
      </c>
      <c r="W170" s="80" t="s">
        <v>113</v>
      </c>
      <c r="X170" s="111" t="s">
        <v>153</v>
      </c>
      <c r="Y170" s="26" t="s">
        <v>115</v>
      </c>
      <c r="Z170" s="26" t="s">
        <v>111</v>
      </c>
      <c r="AA170" s="26" t="s">
        <v>115</v>
      </c>
      <c r="AB170" s="26" t="s">
        <v>111</v>
      </c>
      <c r="AC170" s="80" t="s">
        <v>111</v>
      </c>
      <c r="AD170" s="80" t="s">
        <v>137</v>
      </c>
      <c r="AE170" s="80" t="s">
        <v>138</v>
      </c>
      <c r="AF170" s="92" t="s">
        <v>110</v>
      </c>
      <c r="AG170" s="80" t="s">
        <v>119</v>
      </c>
      <c r="AH170" s="26" t="s">
        <v>168</v>
      </c>
      <c r="AI170" s="80" t="s">
        <v>110</v>
      </c>
      <c r="AJ170" s="80" t="s">
        <v>110</v>
      </c>
      <c r="AK170" s="80" t="s">
        <v>110</v>
      </c>
      <c r="AL170" s="26" t="s">
        <v>168</v>
      </c>
      <c r="AM170" s="26" t="s">
        <v>128</v>
      </c>
      <c r="AN170" s="26" t="s">
        <v>110</v>
      </c>
      <c r="AO170" s="80" t="s">
        <v>110</v>
      </c>
      <c r="AP170" s="26" t="s">
        <v>110</v>
      </c>
      <c r="AQ170" s="80" t="s">
        <v>126</v>
      </c>
      <c r="AR170" s="80" t="s">
        <v>110</v>
      </c>
      <c r="AS170" s="26" t="s">
        <v>110</v>
      </c>
      <c r="AT170" s="9" t="s">
        <v>129</v>
      </c>
      <c r="AU170" s="10" t="s">
        <v>111</v>
      </c>
      <c r="AV170" s="26" t="s">
        <v>110</v>
      </c>
      <c r="AW170" s="26" t="s">
        <v>110</v>
      </c>
      <c r="AX170" s="26" t="s">
        <v>111</v>
      </c>
      <c r="AY170" s="26" t="s">
        <v>111</v>
      </c>
      <c r="AZ170" s="80" t="s">
        <v>126</v>
      </c>
      <c r="BA170" s="80" t="s">
        <v>111</v>
      </c>
      <c r="BB170" s="80" t="s">
        <v>124</v>
      </c>
      <c r="BC170" s="80" t="s">
        <v>110</v>
      </c>
      <c r="BD170" s="92" t="s">
        <v>126</v>
      </c>
      <c r="BE170" s="80" t="s">
        <v>126</v>
      </c>
      <c r="BF170" s="80" t="s">
        <v>141</v>
      </c>
      <c r="BG170" s="26" t="s">
        <v>110</v>
      </c>
      <c r="BH170" s="80" t="s">
        <v>124</v>
      </c>
      <c r="BI170" s="26" t="s">
        <v>111</v>
      </c>
      <c r="BJ170" s="80" t="s">
        <v>110</v>
      </c>
      <c r="BK170" s="26" t="s">
        <v>110</v>
      </c>
      <c r="BL170" s="26" t="s">
        <v>126</v>
      </c>
      <c r="BM170" s="26" t="s">
        <v>127</v>
      </c>
      <c r="BN170" s="11" t="s">
        <v>111</v>
      </c>
      <c r="BO170" s="26" t="s">
        <v>111</v>
      </c>
      <c r="BP170" s="26" t="s">
        <v>120</v>
      </c>
      <c r="BQ170" s="26" t="s">
        <v>110</v>
      </c>
      <c r="BR170" s="26" t="s">
        <v>110</v>
      </c>
      <c r="BS170" s="80" t="s">
        <v>111</v>
      </c>
      <c r="BT170" s="26" t="s">
        <v>111</v>
      </c>
      <c r="BU170" s="26" t="s">
        <v>111</v>
      </c>
      <c r="BV170" s="26" t="s">
        <v>110</v>
      </c>
      <c r="BW170" s="26" t="s">
        <v>110</v>
      </c>
      <c r="BX170" s="26" t="s">
        <v>126</v>
      </c>
      <c r="BY170" s="80" t="s">
        <v>110</v>
      </c>
      <c r="BZ170" s="26" t="s">
        <v>119</v>
      </c>
      <c r="CA170" s="26" t="s">
        <v>119</v>
      </c>
      <c r="CB170" s="26" t="s">
        <v>119</v>
      </c>
      <c r="CC170" s="26" t="s">
        <v>110</v>
      </c>
      <c r="CD170" s="26" t="s">
        <v>110</v>
      </c>
      <c r="CE170" s="26" t="s">
        <v>127</v>
      </c>
      <c r="CF170" s="26" t="s">
        <v>110</v>
      </c>
      <c r="CG170" s="26" t="s">
        <v>110</v>
      </c>
      <c r="CH170" s="80" t="s">
        <v>110</v>
      </c>
      <c r="CI170" s="26" t="s">
        <v>111</v>
      </c>
      <c r="CJ170" s="26" t="s">
        <v>119</v>
      </c>
      <c r="CK170" s="26" t="s">
        <v>126</v>
      </c>
      <c r="CL170" s="26" t="s">
        <v>111</v>
      </c>
      <c r="CM170" s="26" t="s">
        <v>120</v>
      </c>
      <c r="CN170" s="27" t="s">
        <v>597</v>
      </c>
      <c r="CO170" t="s">
        <v>786</v>
      </c>
      <c r="CP170">
        <f>IFERROR(VLOOKUP(H170,'Lista Lideres'!$A$1:$B$350,2,0),0)</f>
        <v>0</v>
      </c>
    </row>
    <row r="171" spans="1:94" ht="14.4" hidden="1" x14ac:dyDescent="0.3">
      <c r="A171" s="39">
        <v>45561.873254062499</v>
      </c>
      <c r="B171" s="36" t="s">
        <v>252</v>
      </c>
      <c r="C171" s="36" t="s">
        <v>783</v>
      </c>
      <c r="D171" s="36" t="s">
        <v>93</v>
      </c>
      <c r="E171" s="36" t="s">
        <v>598</v>
      </c>
      <c r="F171" s="36" t="s">
        <v>146</v>
      </c>
      <c r="G171" s="36" t="s">
        <v>349</v>
      </c>
      <c r="H171" s="36" t="s">
        <v>349</v>
      </c>
      <c r="I171" s="36" t="s">
        <v>100</v>
      </c>
      <c r="J171" s="36" t="s">
        <v>101</v>
      </c>
      <c r="K171" s="36" t="s">
        <v>102</v>
      </c>
      <c r="L171" s="82" t="s">
        <v>135</v>
      </c>
      <c r="M171" s="8" t="s">
        <v>104</v>
      </c>
      <c r="N171" s="82" t="s">
        <v>388</v>
      </c>
      <c r="O171" s="82" t="s">
        <v>106</v>
      </c>
      <c r="P171" s="82" t="s">
        <v>107</v>
      </c>
      <c r="Q171" s="113" t="s">
        <v>163</v>
      </c>
      <c r="R171" s="36" t="s">
        <v>109</v>
      </c>
      <c r="S171" s="36" t="s">
        <v>119</v>
      </c>
      <c r="T171" s="36" t="s">
        <v>129</v>
      </c>
      <c r="U171" s="36" t="s">
        <v>119</v>
      </c>
      <c r="V171" s="82" t="s">
        <v>126</v>
      </c>
      <c r="W171" s="82" t="s">
        <v>113</v>
      </c>
      <c r="X171" s="113" t="s">
        <v>153</v>
      </c>
      <c r="Y171" s="36" t="s">
        <v>206</v>
      </c>
      <c r="Z171" s="36" t="s">
        <v>119</v>
      </c>
      <c r="AA171" s="36" t="s">
        <v>119</v>
      </c>
      <c r="AB171" s="36" t="s">
        <v>110</v>
      </c>
      <c r="AC171" s="82" t="s">
        <v>119</v>
      </c>
      <c r="AD171" s="82" t="s">
        <v>166</v>
      </c>
      <c r="AE171" s="82" t="s">
        <v>118</v>
      </c>
      <c r="AF171" s="94" t="s">
        <v>119</v>
      </c>
      <c r="AG171" s="82" t="s">
        <v>110</v>
      </c>
      <c r="AH171" s="36" t="s">
        <v>110</v>
      </c>
      <c r="AI171" s="82" t="s">
        <v>110</v>
      </c>
      <c r="AJ171" s="82" t="s">
        <v>110</v>
      </c>
      <c r="AK171" s="82" t="s">
        <v>110</v>
      </c>
      <c r="AL171" s="36" t="s">
        <v>122</v>
      </c>
      <c r="AM171" s="36" t="s">
        <v>123</v>
      </c>
      <c r="AN171" s="36" t="s">
        <v>123</v>
      </c>
      <c r="AO171" s="82" t="s">
        <v>123</v>
      </c>
      <c r="AP171" s="36" t="s">
        <v>123</v>
      </c>
      <c r="AQ171" s="82" t="s">
        <v>125</v>
      </c>
      <c r="AR171" s="82" t="s">
        <v>110</v>
      </c>
      <c r="AS171" s="36" t="s">
        <v>110</v>
      </c>
      <c r="AT171" s="16" t="s">
        <v>129</v>
      </c>
      <c r="AU171" s="17" t="s">
        <v>110</v>
      </c>
      <c r="AV171" s="36" t="s">
        <v>119</v>
      </c>
      <c r="AW171" s="36" t="s">
        <v>119</v>
      </c>
      <c r="AX171" s="36" t="s">
        <v>110</v>
      </c>
      <c r="AY171" s="36" t="s">
        <v>111</v>
      </c>
      <c r="AZ171" s="82" t="s">
        <v>124</v>
      </c>
      <c r="BA171" s="82" t="s">
        <v>110</v>
      </c>
      <c r="BB171" s="82" t="s">
        <v>126</v>
      </c>
      <c r="BC171" s="82" t="s">
        <v>110</v>
      </c>
      <c r="BD171" s="94" t="s">
        <v>124</v>
      </c>
      <c r="BE171" s="82" t="s">
        <v>126</v>
      </c>
      <c r="BF171" s="82" t="s">
        <v>110</v>
      </c>
      <c r="BG171" s="36" t="s">
        <v>119</v>
      </c>
      <c r="BH171" s="82" t="s">
        <v>142</v>
      </c>
      <c r="BI171" s="36" t="s">
        <v>111</v>
      </c>
      <c r="BJ171" s="82" t="s">
        <v>111</v>
      </c>
      <c r="BK171" s="36" t="s">
        <v>122</v>
      </c>
      <c r="BL171" s="36" t="s">
        <v>124</v>
      </c>
      <c r="BM171" s="36" t="s">
        <v>209</v>
      </c>
      <c r="BN171" s="18" t="s">
        <v>111</v>
      </c>
      <c r="BO171" s="36" t="s">
        <v>111</v>
      </c>
      <c r="BP171" s="36" t="s">
        <v>120</v>
      </c>
      <c r="BQ171" s="36" t="s">
        <v>119</v>
      </c>
      <c r="BR171" s="36" t="s">
        <v>119</v>
      </c>
      <c r="BS171" s="82" t="s">
        <v>110</v>
      </c>
      <c r="BT171" s="36" t="s">
        <v>111</v>
      </c>
      <c r="BU171" s="36" t="s">
        <v>110</v>
      </c>
      <c r="BV171" s="36" t="s">
        <v>119</v>
      </c>
      <c r="BW171" s="36" t="s">
        <v>110</v>
      </c>
      <c r="BX171" s="36" t="s">
        <v>142</v>
      </c>
      <c r="BY171" s="82" t="s">
        <v>110</v>
      </c>
      <c r="BZ171" s="36" t="s">
        <v>115</v>
      </c>
      <c r="CA171" s="36" t="s">
        <v>129</v>
      </c>
      <c r="CB171" s="36" t="s">
        <v>111</v>
      </c>
      <c r="CC171" s="36" t="s">
        <v>129</v>
      </c>
      <c r="CD171" s="36" t="s">
        <v>110</v>
      </c>
      <c r="CE171" s="36" t="s">
        <v>209</v>
      </c>
      <c r="CF171" s="36" t="s">
        <v>129</v>
      </c>
      <c r="CG171" s="36" t="s">
        <v>129</v>
      </c>
      <c r="CH171" s="82" t="s">
        <v>119</v>
      </c>
      <c r="CI171" s="36" t="s">
        <v>111</v>
      </c>
      <c r="CJ171" s="36" t="s">
        <v>129</v>
      </c>
      <c r="CK171" s="36" t="s">
        <v>124</v>
      </c>
      <c r="CL171" s="36" t="s">
        <v>129</v>
      </c>
      <c r="CM171" s="36" t="s">
        <v>110</v>
      </c>
      <c r="CN171" s="45"/>
      <c r="CO171" t="s">
        <v>786</v>
      </c>
      <c r="CP171">
        <f>IFERROR(VLOOKUP(H171,'Lista Lideres'!$A$1:$B$350,2,0),0)</f>
        <v>0</v>
      </c>
    </row>
    <row r="172" spans="1:94" ht="13.8" hidden="1" x14ac:dyDescent="0.3">
      <c r="A172" s="35">
        <v>45569.421199178236</v>
      </c>
      <c r="B172" s="36" t="s">
        <v>252</v>
      </c>
      <c r="C172" s="37" t="s">
        <v>783</v>
      </c>
      <c r="D172" s="37" t="s">
        <v>131</v>
      </c>
      <c r="E172" s="37" t="s">
        <v>599</v>
      </c>
      <c r="F172" s="37" t="s">
        <v>171</v>
      </c>
      <c r="G172" s="37" t="s">
        <v>600</v>
      </c>
      <c r="H172" s="37" t="s">
        <v>601</v>
      </c>
      <c r="I172" s="37" t="s">
        <v>100</v>
      </c>
      <c r="J172" s="37" t="s">
        <v>101</v>
      </c>
      <c r="K172" s="37" t="s">
        <v>102</v>
      </c>
      <c r="L172" s="81" t="s">
        <v>135</v>
      </c>
      <c r="M172" s="8" t="s">
        <v>104</v>
      </c>
      <c r="N172" s="81" t="s">
        <v>388</v>
      </c>
      <c r="O172" s="81" t="s">
        <v>106</v>
      </c>
      <c r="P172" s="81" t="s">
        <v>107</v>
      </c>
      <c r="Q172" s="112" t="s">
        <v>108</v>
      </c>
      <c r="R172" s="37" t="s">
        <v>109</v>
      </c>
      <c r="S172" s="37" t="s">
        <v>110</v>
      </c>
      <c r="T172" s="37" t="s">
        <v>110</v>
      </c>
      <c r="U172" s="37" t="s">
        <v>111</v>
      </c>
      <c r="V172" s="81" t="s">
        <v>112</v>
      </c>
      <c r="W172" s="81" t="s">
        <v>113</v>
      </c>
      <c r="X172" s="112" t="s">
        <v>153</v>
      </c>
      <c r="Y172" s="37" t="s">
        <v>111</v>
      </c>
      <c r="Z172" s="37" t="s">
        <v>111</v>
      </c>
      <c r="AA172" s="37" t="s">
        <v>111</v>
      </c>
      <c r="AB172" s="37" t="s">
        <v>110</v>
      </c>
      <c r="AC172" s="81" t="s">
        <v>119</v>
      </c>
      <c r="AD172" s="81" t="s">
        <v>221</v>
      </c>
      <c r="AE172" s="81" t="s">
        <v>138</v>
      </c>
      <c r="AF172" s="93" t="s">
        <v>111</v>
      </c>
      <c r="AG172" s="81" t="s">
        <v>119</v>
      </c>
      <c r="AH172" s="37" t="s">
        <v>128</v>
      </c>
      <c r="AI172" s="81" t="s">
        <v>128</v>
      </c>
      <c r="AJ172" s="81" t="s">
        <v>128</v>
      </c>
      <c r="AK172" s="81" t="s">
        <v>128</v>
      </c>
      <c r="AL172" s="37" t="s">
        <v>110</v>
      </c>
      <c r="AM172" s="37" t="s">
        <v>128</v>
      </c>
      <c r="AN172" s="37" t="s">
        <v>123</v>
      </c>
      <c r="AO172" s="81" t="s">
        <v>123</v>
      </c>
      <c r="AP172" s="37" t="s">
        <v>123</v>
      </c>
      <c r="AQ172" s="81" t="s">
        <v>126</v>
      </c>
      <c r="AR172" s="81" t="s">
        <v>111</v>
      </c>
      <c r="AS172" s="37" t="s">
        <v>110</v>
      </c>
      <c r="AT172" s="9" t="s">
        <v>110</v>
      </c>
      <c r="AU172" s="10" t="s">
        <v>111</v>
      </c>
      <c r="AV172" s="37" t="s">
        <v>119</v>
      </c>
      <c r="AW172" s="37" t="s">
        <v>119</v>
      </c>
      <c r="AX172" s="37" t="s">
        <v>119</v>
      </c>
      <c r="AY172" s="37" t="s">
        <v>111</v>
      </c>
      <c r="AZ172" s="81" t="s">
        <v>124</v>
      </c>
      <c r="BA172" s="81" t="s">
        <v>111</v>
      </c>
      <c r="BB172" s="81" t="s">
        <v>142</v>
      </c>
      <c r="BC172" s="81" t="s">
        <v>110</v>
      </c>
      <c r="BD172" s="93" t="s">
        <v>125</v>
      </c>
      <c r="BE172" s="81" t="s">
        <v>126</v>
      </c>
      <c r="BF172" s="81" t="s">
        <v>121</v>
      </c>
      <c r="BG172" s="37" t="s">
        <v>111</v>
      </c>
      <c r="BH172" s="81" t="s">
        <v>126</v>
      </c>
      <c r="BI172" s="37" t="s">
        <v>111</v>
      </c>
      <c r="BJ172" s="81" t="s">
        <v>111</v>
      </c>
      <c r="BK172" s="37" t="s">
        <v>122</v>
      </c>
      <c r="BL172" s="37" t="s">
        <v>126</v>
      </c>
      <c r="BM172" s="37" t="s">
        <v>127</v>
      </c>
      <c r="BN172" s="11" t="s">
        <v>111</v>
      </c>
      <c r="BO172" s="37" t="s">
        <v>111</v>
      </c>
      <c r="BP172" s="37" t="s">
        <v>111</v>
      </c>
      <c r="BQ172" s="37" t="s">
        <v>111</v>
      </c>
      <c r="BR172" s="37" t="s">
        <v>111</v>
      </c>
      <c r="BS172" s="81" t="s">
        <v>111</v>
      </c>
      <c r="BT172" s="37" t="s">
        <v>111</v>
      </c>
      <c r="BU172" s="37" t="s">
        <v>111</v>
      </c>
      <c r="BV172" s="37" t="s">
        <v>111</v>
      </c>
      <c r="BW172" s="37" t="s">
        <v>178</v>
      </c>
      <c r="BX172" s="37" t="s">
        <v>125</v>
      </c>
      <c r="BY172" s="81" t="s">
        <v>111</v>
      </c>
      <c r="BZ172" s="37" t="s">
        <v>110</v>
      </c>
      <c r="CA172" s="37" t="s">
        <v>111</v>
      </c>
      <c r="CB172" s="37" t="s">
        <v>119</v>
      </c>
      <c r="CC172" s="37" t="s">
        <v>119</v>
      </c>
      <c r="CD172" s="37" t="s">
        <v>110</v>
      </c>
      <c r="CE172" s="37" t="s">
        <v>110</v>
      </c>
      <c r="CF172" s="37" t="s">
        <v>119</v>
      </c>
      <c r="CG172" s="37" t="s">
        <v>129</v>
      </c>
      <c r="CH172" s="81" t="s">
        <v>119</v>
      </c>
      <c r="CI172" s="37" t="s">
        <v>111</v>
      </c>
      <c r="CJ172" s="37" t="s">
        <v>110</v>
      </c>
      <c r="CK172" s="37" t="s">
        <v>126</v>
      </c>
      <c r="CL172" s="37" t="s">
        <v>110</v>
      </c>
      <c r="CM172" s="37" t="s">
        <v>111</v>
      </c>
      <c r="CN172" s="40" t="s">
        <v>602</v>
      </c>
      <c r="CO172" t="s">
        <v>786</v>
      </c>
      <c r="CP172">
        <f>IFERROR(VLOOKUP(H172,'Lista Lideres'!$A$1:$B$350,2,0),0)</f>
        <v>0</v>
      </c>
    </row>
    <row r="173" spans="1:94" ht="14.4" hidden="1" x14ac:dyDescent="0.3">
      <c r="A173" s="39">
        <v>45578.775452604168</v>
      </c>
      <c r="B173" s="36" t="s">
        <v>252</v>
      </c>
      <c r="C173" s="36" t="s">
        <v>783</v>
      </c>
      <c r="D173" s="36" t="s">
        <v>93</v>
      </c>
      <c r="E173" s="36" t="s">
        <v>394</v>
      </c>
      <c r="F173" s="36" t="s">
        <v>171</v>
      </c>
      <c r="G173" s="36" t="s">
        <v>603</v>
      </c>
      <c r="H173" s="36" t="s">
        <v>603</v>
      </c>
      <c r="I173" s="36" t="s">
        <v>100</v>
      </c>
      <c r="J173" s="36" t="s">
        <v>196</v>
      </c>
      <c r="K173" s="36" t="s">
        <v>102</v>
      </c>
      <c r="L173" s="82" t="s">
        <v>135</v>
      </c>
      <c r="M173" s="8" t="s">
        <v>104</v>
      </c>
      <c r="N173" s="82" t="s">
        <v>388</v>
      </c>
      <c r="O173" s="82" t="s">
        <v>106</v>
      </c>
      <c r="P173" s="82" t="s">
        <v>107</v>
      </c>
      <c r="Q173" s="113" t="s">
        <v>151</v>
      </c>
      <c r="R173" s="36" t="s">
        <v>176</v>
      </c>
      <c r="S173" s="36" t="s">
        <v>110</v>
      </c>
      <c r="T173" s="36" t="s">
        <v>110</v>
      </c>
      <c r="U173" s="36" t="s">
        <v>110</v>
      </c>
      <c r="V173" s="82" t="s">
        <v>126</v>
      </c>
      <c r="W173" s="82" t="s">
        <v>113</v>
      </c>
      <c r="X173" s="113" t="s">
        <v>114</v>
      </c>
      <c r="Y173" s="36" t="s">
        <v>110</v>
      </c>
      <c r="Z173" s="36" t="s">
        <v>110</v>
      </c>
      <c r="AA173" s="36" t="s">
        <v>110</v>
      </c>
      <c r="AB173" s="36" t="s">
        <v>115</v>
      </c>
      <c r="AC173" s="82" t="s">
        <v>119</v>
      </c>
      <c r="AD173" s="82" t="s">
        <v>166</v>
      </c>
      <c r="AE173" s="82" t="s">
        <v>138</v>
      </c>
      <c r="AF173" s="94" t="s">
        <v>110</v>
      </c>
      <c r="AG173" s="82" t="s">
        <v>120</v>
      </c>
      <c r="AH173" s="36" t="s">
        <v>110</v>
      </c>
      <c r="AI173" s="82" t="s">
        <v>110</v>
      </c>
      <c r="AJ173" s="82" t="s">
        <v>110</v>
      </c>
      <c r="AK173" s="82" t="s">
        <v>110</v>
      </c>
      <c r="AL173" s="36" t="s">
        <v>110</v>
      </c>
      <c r="AM173" s="36" t="s">
        <v>110</v>
      </c>
      <c r="AN173" s="36" t="s">
        <v>110</v>
      </c>
      <c r="AO173" s="82" t="s">
        <v>110</v>
      </c>
      <c r="AP173" s="36" t="s">
        <v>110</v>
      </c>
      <c r="AQ173" s="82" t="s">
        <v>126</v>
      </c>
      <c r="AR173" s="82" t="s">
        <v>110</v>
      </c>
      <c r="AS173" s="36" t="s">
        <v>110</v>
      </c>
      <c r="AT173" s="16" t="s">
        <v>119</v>
      </c>
      <c r="AU173" s="17" t="s">
        <v>110</v>
      </c>
      <c r="AV173" s="36" t="s">
        <v>110</v>
      </c>
      <c r="AW173" s="36" t="s">
        <v>110</v>
      </c>
      <c r="AX173" s="36" t="s">
        <v>110</v>
      </c>
      <c r="AY173" s="36" t="s">
        <v>111</v>
      </c>
      <c r="AZ173" s="82" t="s">
        <v>126</v>
      </c>
      <c r="BA173" s="82" t="s">
        <v>110</v>
      </c>
      <c r="BB173" s="82" t="s">
        <v>126</v>
      </c>
      <c r="BC173" s="82" t="s">
        <v>110</v>
      </c>
      <c r="BD173" s="94" t="s">
        <v>126</v>
      </c>
      <c r="BE173" s="82" t="s">
        <v>126</v>
      </c>
      <c r="BF173" s="82" t="s">
        <v>110</v>
      </c>
      <c r="BG173" s="36" t="s">
        <v>110</v>
      </c>
      <c r="BH173" s="82" t="s">
        <v>126</v>
      </c>
      <c r="BI173" s="36" t="s">
        <v>120</v>
      </c>
      <c r="BJ173" s="82" t="s">
        <v>110</v>
      </c>
      <c r="BK173" s="36" t="s">
        <v>110</v>
      </c>
      <c r="BL173" s="36" t="s">
        <v>126</v>
      </c>
      <c r="BM173" s="36" t="s">
        <v>110</v>
      </c>
      <c r="BN173" s="18" t="s">
        <v>110</v>
      </c>
      <c r="BO173" s="36" t="s">
        <v>115</v>
      </c>
      <c r="BP173" s="36" t="s">
        <v>120</v>
      </c>
      <c r="BQ173" s="36" t="s">
        <v>110</v>
      </c>
      <c r="BR173" s="36" t="s">
        <v>110</v>
      </c>
      <c r="BS173" s="82" t="s">
        <v>110</v>
      </c>
      <c r="BT173" s="36" t="s">
        <v>110</v>
      </c>
      <c r="BU173" s="36" t="s">
        <v>110</v>
      </c>
      <c r="BV173" s="36" t="s">
        <v>110</v>
      </c>
      <c r="BW173" s="36" t="s">
        <v>110</v>
      </c>
      <c r="BX173" s="36" t="s">
        <v>126</v>
      </c>
      <c r="BY173" s="82" t="s">
        <v>110</v>
      </c>
      <c r="BZ173" s="36" t="s">
        <v>111</v>
      </c>
      <c r="CA173" s="36" t="s">
        <v>110</v>
      </c>
      <c r="CB173" s="36" t="s">
        <v>110</v>
      </c>
      <c r="CC173" s="36" t="s">
        <v>110</v>
      </c>
      <c r="CD173" s="36" t="s">
        <v>110</v>
      </c>
      <c r="CE173" s="36" t="s">
        <v>209</v>
      </c>
      <c r="CF173" s="36" t="s">
        <v>110</v>
      </c>
      <c r="CG173" s="36" t="s">
        <v>129</v>
      </c>
      <c r="CH173" s="82" t="s">
        <v>110</v>
      </c>
      <c r="CI173" s="36" t="s">
        <v>110</v>
      </c>
      <c r="CJ173" s="36" t="s">
        <v>111</v>
      </c>
      <c r="CK173" s="36" t="s">
        <v>126</v>
      </c>
      <c r="CL173" s="36" t="s">
        <v>110</v>
      </c>
      <c r="CM173" s="36" t="s">
        <v>111</v>
      </c>
      <c r="CN173" s="45"/>
      <c r="CO173" t="s">
        <v>786</v>
      </c>
      <c r="CP173">
        <f>IFERROR(VLOOKUP(H173,'Lista Lideres'!$A$1:$B$350,2,0),0)</f>
        <v>0</v>
      </c>
    </row>
    <row r="174" spans="1:94" ht="14.4" hidden="1" x14ac:dyDescent="0.3">
      <c r="A174" s="35">
        <v>45573.621944560189</v>
      </c>
      <c r="B174" s="36" t="s">
        <v>252</v>
      </c>
      <c r="C174" s="37" t="s">
        <v>783</v>
      </c>
      <c r="D174" s="37" t="s">
        <v>93</v>
      </c>
      <c r="E174" s="37" t="s">
        <v>300</v>
      </c>
      <c r="F174" s="37" t="s">
        <v>96</v>
      </c>
      <c r="G174" s="37" t="s">
        <v>386</v>
      </c>
      <c r="H174" s="37" t="s">
        <v>386</v>
      </c>
      <c r="I174" s="37" t="s">
        <v>149</v>
      </c>
      <c r="J174" s="37" t="s">
        <v>173</v>
      </c>
      <c r="K174" s="37" t="s">
        <v>191</v>
      </c>
      <c r="L174" s="81" t="s">
        <v>162</v>
      </c>
      <c r="M174" s="8" t="s">
        <v>104</v>
      </c>
      <c r="N174" s="81" t="s">
        <v>388</v>
      </c>
      <c r="O174" s="81" t="s">
        <v>106</v>
      </c>
      <c r="P174" s="81" t="s">
        <v>107</v>
      </c>
      <c r="Q174" s="112" t="s">
        <v>108</v>
      </c>
      <c r="R174" s="37" t="s">
        <v>109</v>
      </c>
      <c r="S174" s="37" t="s">
        <v>110</v>
      </c>
      <c r="T174" s="37" t="s">
        <v>110</v>
      </c>
      <c r="U174" s="37" t="s">
        <v>110</v>
      </c>
      <c r="V174" s="81" t="s">
        <v>126</v>
      </c>
      <c r="W174" s="81" t="s">
        <v>152</v>
      </c>
      <c r="X174" s="112" t="s">
        <v>153</v>
      </c>
      <c r="Y174" s="37" t="s">
        <v>115</v>
      </c>
      <c r="Z174" s="37" t="s">
        <v>115</v>
      </c>
      <c r="AA174" s="37" t="s">
        <v>111</v>
      </c>
      <c r="AB174" s="37" t="s">
        <v>115</v>
      </c>
      <c r="AC174" s="81" t="s">
        <v>111</v>
      </c>
      <c r="AD174" s="81" t="s">
        <v>117</v>
      </c>
      <c r="AE174" s="81" t="s">
        <v>167</v>
      </c>
      <c r="AF174" s="93" t="s">
        <v>119</v>
      </c>
      <c r="AG174" s="81" t="s">
        <v>110</v>
      </c>
      <c r="AH174" s="37" t="s">
        <v>110</v>
      </c>
      <c r="AI174" s="81" t="s">
        <v>154</v>
      </c>
      <c r="AJ174" s="81" t="s">
        <v>128</v>
      </c>
      <c r="AK174" s="81" t="s">
        <v>121</v>
      </c>
      <c r="AL174" s="37" t="s">
        <v>168</v>
      </c>
      <c r="AM174" s="37" t="s">
        <v>110</v>
      </c>
      <c r="AN174" s="37" t="s">
        <v>123</v>
      </c>
      <c r="AO174" s="81" t="s">
        <v>123</v>
      </c>
      <c r="AP174" s="37" t="s">
        <v>110</v>
      </c>
      <c r="AQ174" s="81" t="s">
        <v>126</v>
      </c>
      <c r="AR174" s="81" t="s">
        <v>110</v>
      </c>
      <c r="AS174" s="37" t="s">
        <v>110</v>
      </c>
      <c r="AT174" s="9" t="s">
        <v>115</v>
      </c>
      <c r="AU174" s="10" t="s">
        <v>115</v>
      </c>
      <c r="AV174" s="37" t="s">
        <v>111</v>
      </c>
      <c r="AW174" s="37" t="s">
        <v>110</v>
      </c>
      <c r="AX174" s="37" t="s">
        <v>110</v>
      </c>
      <c r="AY174" s="37" t="s">
        <v>120</v>
      </c>
      <c r="AZ174" s="81" t="s">
        <v>126</v>
      </c>
      <c r="BA174" s="81" t="s">
        <v>120</v>
      </c>
      <c r="BB174" s="81" t="s">
        <v>139</v>
      </c>
      <c r="BC174" s="81" t="s">
        <v>111</v>
      </c>
      <c r="BD174" s="93" t="s">
        <v>126</v>
      </c>
      <c r="BE174" s="81" t="s">
        <v>126</v>
      </c>
      <c r="BF174" s="81" t="s">
        <v>110</v>
      </c>
      <c r="BG174" s="37" t="s">
        <v>111</v>
      </c>
      <c r="BH174" s="81" t="s">
        <v>142</v>
      </c>
      <c r="BI174" s="37" t="s">
        <v>120</v>
      </c>
      <c r="BJ174" s="81" t="s">
        <v>168</v>
      </c>
      <c r="BK174" s="37" t="s">
        <v>122</v>
      </c>
      <c r="BL174" s="37" t="s">
        <v>126</v>
      </c>
      <c r="BM174" s="37" t="s">
        <v>110</v>
      </c>
      <c r="BN174" s="11" t="s">
        <v>115</v>
      </c>
      <c r="BO174" s="37" t="s">
        <v>115</v>
      </c>
      <c r="BP174" s="37" t="s">
        <v>120</v>
      </c>
      <c r="BQ174" s="37" t="s">
        <v>110</v>
      </c>
      <c r="BR174" s="37" t="s">
        <v>110</v>
      </c>
      <c r="BS174" s="81" t="s">
        <v>111</v>
      </c>
      <c r="BT174" s="37" t="s">
        <v>110</v>
      </c>
      <c r="BU174" s="37" t="s">
        <v>110</v>
      </c>
      <c r="BV174" s="37" t="s">
        <v>110</v>
      </c>
      <c r="BW174" s="37" t="s">
        <v>123</v>
      </c>
      <c r="BX174" s="37" t="s">
        <v>124</v>
      </c>
      <c r="BY174" s="81" t="s">
        <v>110</v>
      </c>
      <c r="BZ174" s="37" t="s">
        <v>119</v>
      </c>
      <c r="CA174" s="37" t="s">
        <v>110</v>
      </c>
      <c r="CB174" s="37" t="s">
        <v>110</v>
      </c>
      <c r="CC174" s="37" t="s">
        <v>111</v>
      </c>
      <c r="CD174" s="37" t="s">
        <v>129</v>
      </c>
      <c r="CE174" s="37" t="s">
        <v>110</v>
      </c>
      <c r="CF174" s="37" t="s">
        <v>110</v>
      </c>
      <c r="CG174" s="37" t="s">
        <v>119</v>
      </c>
      <c r="CH174" s="81" t="s">
        <v>110</v>
      </c>
      <c r="CI174" s="37" t="s">
        <v>115</v>
      </c>
      <c r="CJ174" s="37" t="s">
        <v>129</v>
      </c>
      <c r="CK174" s="37" t="s">
        <v>125</v>
      </c>
      <c r="CL174" s="37" t="s">
        <v>111</v>
      </c>
      <c r="CM174" s="37" t="s">
        <v>111</v>
      </c>
      <c r="CN174" s="38"/>
      <c r="CO174" t="s">
        <v>785</v>
      </c>
      <c r="CP174">
        <f>IFERROR(VLOOKUP(H174,'Lista Lideres'!$A$1:$B$350,2,0),0)</f>
        <v>0</v>
      </c>
    </row>
    <row r="175" spans="1:94" ht="14.4" hidden="1" x14ac:dyDescent="0.3">
      <c r="A175" s="39">
        <v>45566.700750254633</v>
      </c>
      <c r="B175" s="36" t="s">
        <v>252</v>
      </c>
      <c r="C175" s="36" t="s">
        <v>783</v>
      </c>
      <c r="D175" s="36" t="s">
        <v>93</v>
      </c>
      <c r="E175" s="36" t="s">
        <v>604</v>
      </c>
      <c r="F175" s="36" t="s">
        <v>171</v>
      </c>
      <c r="G175" s="36" t="s">
        <v>386</v>
      </c>
      <c r="H175" s="36" t="s">
        <v>605</v>
      </c>
      <c r="I175" s="36" t="s">
        <v>149</v>
      </c>
      <c r="J175" s="36" t="s">
        <v>173</v>
      </c>
      <c r="K175" s="36" t="s">
        <v>191</v>
      </c>
      <c r="L175" s="82" t="s">
        <v>135</v>
      </c>
      <c r="M175" s="8" t="s">
        <v>104</v>
      </c>
      <c r="N175" s="82" t="s">
        <v>388</v>
      </c>
      <c r="O175" s="82" t="s">
        <v>106</v>
      </c>
      <c r="P175" s="82" t="s">
        <v>107</v>
      </c>
      <c r="Q175" s="113" t="s">
        <v>108</v>
      </c>
      <c r="R175" s="36" t="s">
        <v>176</v>
      </c>
      <c r="S175" s="36" t="s">
        <v>110</v>
      </c>
      <c r="T175" s="36" t="s">
        <v>110</v>
      </c>
      <c r="U175" s="36" t="s">
        <v>110</v>
      </c>
      <c r="V175" s="82" t="s">
        <v>112</v>
      </c>
      <c r="W175" s="82" t="s">
        <v>152</v>
      </c>
      <c r="X175" s="113" t="s">
        <v>114</v>
      </c>
      <c r="Y175" s="36" t="s">
        <v>111</v>
      </c>
      <c r="Z175" s="36" t="s">
        <v>111</v>
      </c>
      <c r="AA175" s="36" t="s">
        <v>111</v>
      </c>
      <c r="AB175" s="36" t="s">
        <v>110</v>
      </c>
      <c r="AC175" s="82" t="s">
        <v>110</v>
      </c>
      <c r="AD175" s="82" t="s">
        <v>166</v>
      </c>
      <c r="AE175" s="82" t="s">
        <v>138</v>
      </c>
      <c r="AF175" s="94" t="s">
        <v>110</v>
      </c>
      <c r="AG175" s="82" t="s">
        <v>110</v>
      </c>
      <c r="AH175" s="36" t="s">
        <v>110</v>
      </c>
      <c r="AI175" s="82" t="s">
        <v>154</v>
      </c>
      <c r="AJ175" s="82" t="s">
        <v>197</v>
      </c>
      <c r="AK175" s="82" t="s">
        <v>225</v>
      </c>
      <c r="AL175" s="36" t="s">
        <v>110</v>
      </c>
      <c r="AM175" s="36" t="s">
        <v>110</v>
      </c>
      <c r="AN175" s="36" t="s">
        <v>123</v>
      </c>
      <c r="AO175" s="82" t="s">
        <v>123</v>
      </c>
      <c r="AP175" s="36" t="s">
        <v>110</v>
      </c>
      <c r="AQ175" s="82" t="s">
        <v>126</v>
      </c>
      <c r="AR175" s="82" t="s">
        <v>111</v>
      </c>
      <c r="AS175" s="36" t="s">
        <v>110</v>
      </c>
      <c r="AT175" s="16" t="s">
        <v>119</v>
      </c>
      <c r="AU175" s="17" t="s">
        <v>110</v>
      </c>
      <c r="AV175" s="36" t="s">
        <v>110</v>
      </c>
      <c r="AW175" s="36" t="s">
        <v>119</v>
      </c>
      <c r="AX175" s="36" t="s">
        <v>110</v>
      </c>
      <c r="AY175" s="36" t="s">
        <v>111</v>
      </c>
      <c r="AZ175" s="82" t="s">
        <v>126</v>
      </c>
      <c r="BA175" s="82" t="s">
        <v>111</v>
      </c>
      <c r="BB175" s="82" t="s">
        <v>139</v>
      </c>
      <c r="BC175" s="82" t="s">
        <v>110</v>
      </c>
      <c r="BD175" s="94" t="s">
        <v>126</v>
      </c>
      <c r="BE175" s="82" t="s">
        <v>140</v>
      </c>
      <c r="BF175" s="82" t="s">
        <v>141</v>
      </c>
      <c r="BG175" s="36" t="s">
        <v>110</v>
      </c>
      <c r="BH175" s="82" t="s">
        <v>124</v>
      </c>
      <c r="BI175" s="36" t="s">
        <v>111</v>
      </c>
      <c r="BJ175" s="82" t="s">
        <v>110</v>
      </c>
      <c r="BK175" s="36" t="s">
        <v>110</v>
      </c>
      <c r="BL175" s="36" t="s">
        <v>126</v>
      </c>
      <c r="BM175" s="36" t="s">
        <v>110</v>
      </c>
      <c r="BN175" s="18" t="s">
        <v>110</v>
      </c>
      <c r="BO175" s="36" t="s">
        <v>110</v>
      </c>
      <c r="BP175" s="36" t="s">
        <v>111</v>
      </c>
      <c r="BQ175" s="36" t="s">
        <v>110</v>
      </c>
      <c r="BR175" s="36" t="s">
        <v>110</v>
      </c>
      <c r="BS175" s="82" t="s">
        <v>110</v>
      </c>
      <c r="BT175" s="36" t="s">
        <v>110</v>
      </c>
      <c r="BU175" s="36" t="s">
        <v>110</v>
      </c>
      <c r="BV175" s="36" t="s">
        <v>110</v>
      </c>
      <c r="BW175" s="36" t="s">
        <v>110</v>
      </c>
      <c r="BX175" s="36" t="s">
        <v>126</v>
      </c>
      <c r="BY175" s="82" t="s">
        <v>110</v>
      </c>
      <c r="BZ175" s="36" t="s">
        <v>111</v>
      </c>
      <c r="CA175" s="36" t="s">
        <v>110</v>
      </c>
      <c r="CB175" s="36" t="s">
        <v>110</v>
      </c>
      <c r="CC175" s="36" t="s">
        <v>110</v>
      </c>
      <c r="CD175" s="36" t="s">
        <v>110</v>
      </c>
      <c r="CE175" s="36" t="s">
        <v>110</v>
      </c>
      <c r="CF175" s="36" t="s">
        <v>110</v>
      </c>
      <c r="CG175" s="36" t="s">
        <v>119</v>
      </c>
      <c r="CH175" s="82" t="s">
        <v>110</v>
      </c>
      <c r="CI175" s="36" t="s">
        <v>110</v>
      </c>
      <c r="CJ175" s="36" t="s">
        <v>110</v>
      </c>
      <c r="CK175" s="36" t="s">
        <v>126</v>
      </c>
      <c r="CL175" s="36" t="s">
        <v>110</v>
      </c>
      <c r="CM175" s="36" t="s">
        <v>110</v>
      </c>
      <c r="CN175" s="41"/>
      <c r="CO175" t="s">
        <v>785</v>
      </c>
      <c r="CP175">
        <f>IFERROR(VLOOKUP(H175,'Lista Lideres'!$A$1:$B$350,2,0),0)</f>
        <v>1</v>
      </c>
    </row>
    <row r="176" spans="1:94" ht="13.8" hidden="1" x14ac:dyDescent="0.3">
      <c r="A176" s="35">
        <v>45560.648459444448</v>
      </c>
      <c r="B176" s="36" t="s">
        <v>252</v>
      </c>
      <c r="C176" s="37" t="s">
        <v>783</v>
      </c>
      <c r="D176" s="37" t="s">
        <v>93</v>
      </c>
      <c r="E176" s="37" t="s">
        <v>606</v>
      </c>
      <c r="F176" s="37" t="s">
        <v>146</v>
      </c>
      <c r="G176" s="37" t="s">
        <v>607</v>
      </c>
      <c r="H176" s="37" t="s">
        <v>607</v>
      </c>
      <c r="I176" s="37" t="s">
        <v>100</v>
      </c>
      <c r="J176" s="37" t="s">
        <v>101</v>
      </c>
      <c r="K176" s="37" t="s">
        <v>102</v>
      </c>
      <c r="L176" s="81" t="s">
        <v>103</v>
      </c>
      <c r="M176" s="8" t="s">
        <v>104</v>
      </c>
      <c r="N176" s="81" t="s">
        <v>388</v>
      </c>
      <c r="O176" s="81" t="s">
        <v>282</v>
      </c>
      <c r="P176" s="81" t="s">
        <v>175</v>
      </c>
      <c r="Q176" s="112" t="s">
        <v>108</v>
      </c>
      <c r="R176" s="37" t="s">
        <v>176</v>
      </c>
      <c r="S176" s="37" t="s">
        <v>111</v>
      </c>
      <c r="T176" s="37" t="s">
        <v>111</v>
      </c>
      <c r="U176" s="37" t="s">
        <v>110</v>
      </c>
      <c r="V176" s="81" t="s">
        <v>112</v>
      </c>
      <c r="W176" s="81" t="s">
        <v>113</v>
      </c>
      <c r="X176" s="112" t="s">
        <v>153</v>
      </c>
      <c r="Y176" s="37" t="s">
        <v>111</v>
      </c>
      <c r="Z176" s="37" t="s">
        <v>111</v>
      </c>
      <c r="AA176" s="37" t="s">
        <v>111</v>
      </c>
      <c r="AB176" s="37" t="s">
        <v>115</v>
      </c>
      <c r="AC176" s="81" t="s">
        <v>110</v>
      </c>
      <c r="AD176" s="81" t="s">
        <v>137</v>
      </c>
      <c r="AE176" s="81" t="s">
        <v>118</v>
      </c>
      <c r="AF176" s="93" t="s">
        <v>111</v>
      </c>
      <c r="AG176" s="81" t="s">
        <v>110</v>
      </c>
      <c r="AH176" s="37" t="s">
        <v>122</v>
      </c>
      <c r="AI176" s="81" t="s">
        <v>110</v>
      </c>
      <c r="AJ176" s="81" t="s">
        <v>110</v>
      </c>
      <c r="AK176" s="81" t="s">
        <v>110</v>
      </c>
      <c r="AL176" s="37" t="s">
        <v>122</v>
      </c>
      <c r="AM176" s="37" t="s">
        <v>123</v>
      </c>
      <c r="AN176" s="37" t="s">
        <v>128</v>
      </c>
      <c r="AO176" s="81" t="s">
        <v>123</v>
      </c>
      <c r="AP176" s="37" t="s">
        <v>123</v>
      </c>
      <c r="AQ176" s="81" t="s">
        <v>124</v>
      </c>
      <c r="AR176" s="81" t="s">
        <v>111</v>
      </c>
      <c r="AS176" s="37" t="s">
        <v>110</v>
      </c>
      <c r="AT176" s="9" t="s">
        <v>119</v>
      </c>
      <c r="AU176" s="10" t="s">
        <v>111</v>
      </c>
      <c r="AV176" s="37" t="s">
        <v>119</v>
      </c>
      <c r="AW176" s="37" t="s">
        <v>119</v>
      </c>
      <c r="AX176" s="37" t="s">
        <v>110</v>
      </c>
      <c r="AY176" s="37" t="s">
        <v>120</v>
      </c>
      <c r="AZ176" s="81" t="s">
        <v>126</v>
      </c>
      <c r="BA176" s="81" t="s">
        <v>111</v>
      </c>
      <c r="BB176" s="81" t="s">
        <v>126</v>
      </c>
      <c r="BC176" s="81" t="s">
        <v>111</v>
      </c>
      <c r="BD176" s="93" t="s">
        <v>124</v>
      </c>
      <c r="BE176" s="81" t="s">
        <v>126</v>
      </c>
      <c r="BF176" s="81" t="s">
        <v>110</v>
      </c>
      <c r="BG176" s="37" t="s">
        <v>110</v>
      </c>
      <c r="BH176" s="81" t="s">
        <v>125</v>
      </c>
      <c r="BI176" s="37" t="s">
        <v>111</v>
      </c>
      <c r="BJ176" s="81" t="s">
        <v>110</v>
      </c>
      <c r="BK176" s="37" t="s">
        <v>110</v>
      </c>
      <c r="BL176" s="37" t="s">
        <v>126</v>
      </c>
      <c r="BM176" s="37" t="s">
        <v>127</v>
      </c>
      <c r="BN176" s="11" t="s">
        <v>111</v>
      </c>
      <c r="BO176" s="37" t="s">
        <v>115</v>
      </c>
      <c r="BP176" s="37" t="s">
        <v>120</v>
      </c>
      <c r="BQ176" s="37" t="s">
        <v>111</v>
      </c>
      <c r="BR176" s="37" t="s">
        <v>111</v>
      </c>
      <c r="BS176" s="81" t="s">
        <v>110</v>
      </c>
      <c r="BT176" s="37" t="s">
        <v>111</v>
      </c>
      <c r="BU176" s="37" t="s">
        <v>111</v>
      </c>
      <c r="BV176" s="37" t="s">
        <v>110</v>
      </c>
      <c r="BW176" s="37" t="s">
        <v>123</v>
      </c>
      <c r="BX176" s="37" t="s">
        <v>126</v>
      </c>
      <c r="BY176" s="81" t="s">
        <v>111</v>
      </c>
      <c r="BZ176" s="37" t="s">
        <v>115</v>
      </c>
      <c r="CA176" s="37" t="s">
        <v>110</v>
      </c>
      <c r="CB176" s="37" t="s">
        <v>119</v>
      </c>
      <c r="CC176" s="37" t="s">
        <v>111</v>
      </c>
      <c r="CD176" s="37" t="s">
        <v>119</v>
      </c>
      <c r="CE176" s="37" t="s">
        <v>127</v>
      </c>
      <c r="CF176" s="37" t="s">
        <v>110</v>
      </c>
      <c r="CG176" s="37" t="s">
        <v>119</v>
      </c>
      <c r="CH176" s="81" t="s">
        <v>111</v>
      </c>
      <c r="CI176" s="37" t="s">
        <v>111</v>
      </c>
      <c r="CJ176" s="37" t="s">
        <v>119</v>
      </c>
      <c r="CK176" s="37" t="s">
        <v>126</v>
      </c>
      <c r="CL176" s="37" t="s">
        <v>110</v>
      </c>
      <c r="CM176" s="37" t="s">
        <v>111</v>
      </c>
      <c r="CN176" s="40" t="s">
        <v>608</v>
      </c>
      <c r="CO176" t="s">
        <v>786</v>
      </c>
      <c r="CP176">
        <f>IFERROR(VLOOKUP(H176,'Lista Lideres'!$A$1:$B$350,2,0),0)</f>
        <v>0</v>
      </c>
    </row>
    <row r="177" spans="1:94" ht="14.4" hidden="1" x14ac:dyDescent="0.3">
      <c r="A177" s="39">
        <v>45577.492692372689</v>
      </c>
      <c r="B177" s="36" t="s">
        <v>252</v>
      </c>
      <c r="C177" s="36" t="s">
        <v>783</v>
      </c>
      <c r="D177" s="36" t="s">
        <v>93</v>
      </c>
      <c r="E177" s="36" t="s">
        <v>204</v>
      </c>
      <c r="F177" s="36" t="s">
        <v>171</v>
      </c>
      <c r="G177" s="36" t="s">
        <v>212</v>
      </c>
      <c r="H177" s="36" t="s">
        <v>609</v>
      </c>
      <c r="I177" s="36" t="s">
        <v>100</v>
      </c>
      <c r="J177" s="36" t="s">
        <v>101</v>
      </c>
      <c r="K177" s="36" t="s">
        <v>102</v>
      </c>
      <c r="L177" s="82" t="s">
        <v>162</v>
      </c>
      <c r="M177" s="8" t="s">
        <v>104</v>
      </c>
      <c r="N177" s="82" t="s">
        <v>388</v>
      </c>
      <c r="O177" s="82" t="s">
        <v>282</v>
      </c>
      <c r="P177" s="82" t="s">
        <v>175</v>
      </c>
      <c r="Q177" s="113" t="s">
        <v>108</v>
      </c>
      <c r="R177" s="36" t="s">
        <v>109</v>
      </c>
      <c r="S177" s="36" t="s">
        <v>110</v>
      </c>
      <c r="T177" s="36" t="s">
        <v>110</v>
      </c>
      <c r="U177" s="36" t="s">
        <v>110</v>
      </c>
      <c r="V177" s="82" t="s">
        <v>112</v>
      </c>
      <c r="W177" s="82" t="s">
        <v>113</v>
      </c>
      <c r="X177" s="113" t="s">
        <v>153</v>
      </c>
      <c r="Y177" s="36" t="s">
        <v>111</v>
      </c>
      <c r="Z177" s="36" t="s">
        <v>110</v>
      </c>
      <c r="AA177" s="36" t="s">
        <v>110</v>
      </c>
      <c r="AB177" s="36" t="s">
        <v>119</v>
      </c>
      <c r="AC177" s="82" t="s">
        <v>110</v>
      </c>
      <c r="AD177" s="82" t="s">
        <v>166</v>
      </c>
      <c r="AE177" s="82" t="s">
        <v>138</v>
      </c>
      <c r="AF177" s="94" t="s">
        <v>110</v>
      </c>
      <c r="AG177" s="82" t="s">
        <v>119</v>
      </c>
      <c r="AH177" s="36" t="s">
        <v>110</v>
      </c>
      <c r="AI177" s="82" t="s">
        <v>121</v>
      </c>
      <c r="AJ177" s="82" t="s">
        <v>128</v>
      </c>
      <c r="AK177" s="82" t="s">
        <v>110</v>
      </c>
      <c r="AL177" s="36" t="s">
        <v>110</v>
      </c>
      <c r="AM177" s="36" t="s">
        <v>110</v>
      </c>
      <c r="AN177" s="36" t="s">
        <v>110</v>
      </c>
      <c r="AO177" s="82" t="s">
        <v>110</v>
      </c>
      <c r="AP177" s="36" t="s">
        <v>110</v>
      </c>
      <c r="AQ177" s="82" t="s">
        <v>126</v>
      </c>
      <c r="AR177" s="82" t="s">
        <v>110</v>
      </c>
      <c r="AS177" s="36" t="s">
        <v>110</v>
      </c>
      <c r="AT177" s="16" t="s">
        <v>111</v>
      </c>
      <c r="AU177" s="17" t="s">
        <v>110</v>
      </c>
      <c r="AV177" s="36" t="s">
        <v>119</v>
      </c>
      <c r="AW177" s="36" t="s">
        <v>111</v>
      </c>
      <c r="AX177" s="36" t="s">
        <v>111</v>
      </c>
      <c r="AY177" s="36" t="s">
        <v>120</v>
      </c>
      <c r="AZ177" s="82" t="s">
        <v>126</v>
      </c>
      <c r="BA177" s="82" t="s">
        <v>111</v>
      </c>
      <c r="BB177" s="82" t="s">
        <v>126</v>
      </c>
      <c r="BC177" s="82" t="s">
        <v>111</v>
      </c>
      <c r="BD177" s="94" t="s">
        <v>125</v>
      </c>
      <c r="BE177" s="82" t="s">
        <v>126</v>
      </c>
      <c r="BF177" s="82" t="s">
        <v>128</v>
      </c>
      <c r="BG177" s="36" t="s">
        <v>110</v>
      </c>
      <c r="BH177" s="82" t="s">
        <v>124</v>
      </c>
      <c r="BI177" s="36" t="s">
        <v>111</v>
      </c>
      <c r="BJ177" s="82" t="s">
        <v>110</v>
      </c>
      <c r="BK177" s="36" t="s">
        <v>122</v>
      </c>
      <c r="BL177" s="36" t="s">
        <v>124</v>
      </c>
      <c r="BM177" s="36" t="s">
        <v>110</v>
      </c>
      <c r="BN177" s="18" t="s">
        <v>111</v>
      </c>
      <c r="BO177" s="36" t="s">
        <v>110</v>
      </c>
      <c r="BP177" s="36" t="s">
        <v>111</v>
      </c>
      <c r="BQ177" s="36" t="s">
        <v>110</v>
      </c>
      <c r="BR177" s="36" t="s">
        <v>111</v>
      </c>
      <c r="BS177" s="82" t="s">
        <v>111</v>
      </c>
      <c r="BT177" s="36" t="s">
        <v>111</v>
      </c>
      <c r="BU177" s="36" t="s">
        <v>110</v>
      </c>
      <c r="BV177" s="36" t="s">
        <v>111</v>
      </c>
      <c r="BW177" s="36" t="s">
        <v>110</v>
      </c>
      <c r="BX177" s="36" t="s">
        <v>126</v>
      </c>
      <c r="BY177" s="82" t="s">
        <v>111</v>
      </c>
      <c r="BZ177" s="36" t="s">
        <v>115</v>
      </c>
      <c r="CA177" s="36" t="s">
        <v>111</v>
      </c>
      <c r="CB177" s="36" t="s">
        <v>119</v>
      </c>
      <c r="CC177" s="36" t="s">
        <v>111</v>
      </c>
      <c r="CD177" s="36" t="s">
        <v>119</v>
      </c>
      <c r="CE177" s="36" t="s">
        <v>110</v>
      </c>
      <c r="CF177" s="36" t="s">
        <v>110</v>
      </c>
      <c r="CG177" s="36" t="s">
        <v>119</v>
      </c>
      <c r="CH177" s="82" t="s">
        <v>110</v>
      </c>
      <c r="CI177" s="36" t="s">
        <v>115</v>
      </c>
      <c r="CJ177" s="36" t="s">
        <v>119</v>
      </c>
      <c r="CK177" s="36" t="s">
        <v>126</v>
      </c>
      <c r="CL177" s="36" t="s">
        <v>110</v>
      </c>
      <c r="CM177" s="36" t="s">
        <v>111</v>
      </c>
      <c r="CN177" s="41"/>
      <c r="CO177" t="s">
        <v>786</v>
      </c>
      <c r="CP177">
        <f>IFERROR(VLOOKUP(H177,'Lista Lideres'!$A$1:$B$350,2,0),0)</f>
        <v>0</v>
      </c>
    </row>
    <row r="178" spans="1:94" ht="14.4" hidden="1" x14ac:dyDescent="0.3">
      <c r="A178" s="35">
        <v>45560.533630347221</v>
      </c>
      <c r="B178" s="36" t="s">
        <v>252</v>
      </c>
      <c r="C178" s="37" t="s">
        <v>783</v>
      </c>
      <c r="D178" s="37" t="s">
        <v>93</v>
      </c>
      <c r="E178" s="37" t="s">
        <v>610</v>
      </c>
      <c r="F178" s="37" t="s">
        <v>171</v>
      </c>
      <c r="G178" s="37" t="s">
        <v>611</v>
      </c>
      <c r="H178" s="37" t="s">
        <v>612</v>
      </c>
      <c r="I178" s="37" t="s">
        <v>161</v>
      </c>
      <c r="J178" s="37" t="s">
        <v>101</v>
      </c>
      <c r="K178" s="37" t="s">
        <v>102</v>
      </c>
      <c r="L178" s="81" t="s">
        <v>103</v>
      </c>
      <c r="M178" s="8" t="s">
        <v>104</v>
      </c>
      <c r="N178" s="81" t="s">
        <v>388</v>
      </c>
      <c r="O178" s="81" t="s">
        <v>106</v>
      </c>
      <c r="P178" s="81" t="s">
        <v>175</v>
      </c>
      <c r="Q178" s="112" t="s">
        <v>108</v>
      </c>
      <c r="R178" s="37" t="s">
        <v>109</v>
      </c>
      <c r="S178" s="37" t="s">
        <v>129</v>
      </c>
      <c r="T178" s="37" t="s">
        <v>119</v>
      </c>
      <c r="U178" s="37" t="s">
        <v>119</v>
      </c>
      <c r="V178" s="81" t="s">
        <v>112</v>
      </c>
      <c r="W178" s="81" t="s">
        <v>113</v>
      </c>
      <c r="X178" s="112" t="s">
        <v>235</v>
      </c>
      <c r="Y178" s="37" t="s">
        <v>111</v>
      </c>
      <c r="Z178" s="37" t="s">
        <v>111</v>
      </c>
      <c r="AA178" s="37" t="s">
        <v>111</v>
      </c>
      <c r="AB178" s="37" t="s">
        <v>110</v>
      </c>
      <c r="AC178" s="81" t="s">
        <v>111</v>
      </c>
      <c r="AD178" s="81" t="s">
        <v>137</v>
      </c>
      <c r="AE178" s="81" t="s">
        <v>185</v>
      </c>
      <c r="AF178" s="93" t="s">
        <v>119</v>
      </c>
      <c r="AG178" s="81" t="s">
        <v>110</v>
      </c>
      <c r="AH178" s="37" t="s">
        <v>110</v>
      </c>
      <c r="AI178" s="81" t="s">
        <v>110</v>
      </c>
      <c r="AJ178" s="81" t="s">
        <v>110</v>
      </c>
      <c r="AK178" s="81" t="s">
        <v>110</v>
      </c>
      <c r="AL178" s="37" t="s">
        <v>122</v>
      </c>
      <c r="AM178" s="37" t="s">
        <v>123</v>
      </c>
      <c r="AN178" s="37" t="s">
        <v>123</v>
      </c>
      <c r="AO178" s="81" t="s">
        <v>123</v>
      </c>
      <c r="AP178" s="37" t="s">
        <v>178</v>
      </c>
      <c r="AQ178" s="81" t="s">
        <v>125</v>
      </c>
      <c r="AR178" s="81" t="s">
        <v>119</v>
      </c>
      <c r="AS178" s="37" t="s">
        <v>110</v>
      </c>
      <c r="AT178" s="9" t="s">
        <v>111</v>
      </c>
      <c r="AU178" s="10" t="s">
        <v>119</v>
      </c>
      <c r="AV178" s="37" t="s">
        <v>111</v>
      </c>
      <c r="AW178" s="37" t="s">
        <v>111</v>
      </c>
      <c r="AX178" s="37" t="s">
        <v>111</v>
      </c>
      <c r="AY178" s="37" t="s">
        <v>111</v>
      </c>
      <c r="AZ178" s="81" t="s">
        <v>126</v>
      </c>
      <c r="BA178" s="81" t="s">
        <v>111</v>
      </c>
      <c r="BB178" s="81" t="s">
        <v>126</v>
      </c>
      <c r="BC178" s="81" t="s">
        <v>119</v>
      </c>
      <c r="BD178" s="93" t="s">
        <v>124</v>
      </c>
      <c r="BE178" s="81" t="s">
        <v>126</v>
      </c>
      <c r="BF178" s="81" t="s">
        <v>110</v>
      </c>
      <c r="BG178" s="37" t="s">
        <v>119</v>
      </c>
      <c r="BH178" s="81" t="s">
        <v>124</v>
      </c>
      <c r="BI178" s="37" t="s">
        <v>119</v>
      </c>
      <c r="BJ178" s="81" t="s">
        <v>111</v>
      </c>
      <c r="BK178" s="37" t="s">
        <v>122</v>
      </c>
      <c r="BL178" s="37" t="s">
        <v>124</v>
      </c>
      <c r="BM178" s="37" t="s">
        <v>110</v>
      </c>
      <c r="BN178" s="11" t="s">
        <v>119</v>
      </c>
      <c r="BO178" s="37" t="s">
        <v>110</v>
      </c>
      <c r="BP178" s="37" t="s">
        <v>120</v>
      </c>
      <c r="BQ178" s="37" t="s">
        <v>110</v>
      </c>
      <c r="BR178" s="37" t="s">
        <v>119</v>
      </c>
      <c r="BS178" s="81" t="s">
        <v>119</v>
      </c>
      <c r="BT178" s="37" t="s">
        <v>119</v>
      </c>
      <c r="BU178" s="37" t="s">
        <v>110</v>
      </c>
      <c r="BV178" s="37" t="s">
        <v>111</v>
      </c>
      <c r="BW178" s="37" t="s">
        <v>128</v>
      </c>
      <c r="BX178" s="37" t="s">
        <v>125</v>
      </c>
      <c r="BY178" s="81" t="s">
        <v>111</v>
      </c>
      <c r="BZ178" s="37" t="s">
        <v>111</v>
      </c>
      <c r="CA178" s="37" t="s">
        <v>119</v>
      </c>
      <c r="CB178" s="37" t="s">
        <v>110</v>
      </c>
      <c r="CC178" s="37" t="s">
        <v>119</v>
      </c>
      <c r="CD178" s="37" t="s">
        <v>111</v>
      </c>
      <c r="CE178" s="37" t="s">
        <v>209</v>
      </c>
      <c r="CF178" s="37" t="s">
        <v>119</v>
      </c>
      <c r="CG178" s="37" t="s">
        <v>119</v>
      </c>
      <c r="CH178" s="81" t="s">
        <v>110</v>
      </c>
      <c r="CI178" s="37" t="s">
        <v>110</v>
      </c>
      <c r="CJ178" s="37" t="s">
        <v>110</v>
      </c>
      <c r="CK178" s="37" t="s">
        <v>124</v>
      </c>
      <c r="CL178" s="37" t="s">
        <v>110</v>
      </c>
      <c r="CM178" s="37" t="s">
        <v>110</v>
      </c>
      <c r="CN178" s="41"/>
      <c r="CO178" t="s">
        <v>785</v>
      </c>
      <c r="CP178">
        <f>IFERROR(VLOOKUP(H178,'Lista Lideres'!$A$1:$B$350,2,0),0)</f>
        <v>0</v>
      </c>
    </row>
    <row r="179" spans="1:94" ht="14.4" hidden="1" x14ac:dyDescent="0.3">
      <c r="A179" s="39">
        <v>45567.532680821758</v>
      </c>
      <c r="B179" s="36" t="s">
        <v>252</v>
      </c>
      <c r="C179" s="36" t="s">
        <v>783</v>
      </c>
      <c r="D179" s="36" t="s">
        <v>93</v>
      </c>
      <c r="E179" s="36" t="s">
        <v>613</v>
      </c>
      <c r="F179" s="36" t="s">
        <v>97</v>
      </c>
      <c r="G179" s="36" t="s">
        <v>614</v>
      </c>
      <c r="H179" s="36" t="s">
        <v>615</v>
      </c>
      <c r="I179" s="36" t="s">
        <v>100</v>
      </c>
      <c r="J179" s="36" t="s">
        <v>101</v>
      </c>
      <c r="K179" s="36" t="s">
        <v>102</v>
      </c>
      <c r="L179" s="82" t="s">
        <v>213</v>
      </c>
      <c r="M179" s="8" t="s">
        <v>104</v>
      </c>
      <c r="N179" s="82" t="s">
        <v>388</v>
      </c>
      <c r="O179" s="82" t="s">
        <v>106</v>
      </c>
      <c r="P179" s="82" t="s">
        <v>107</v>
      </c>
      <c r="Q179" s="113" t="s">
        <v>151</v>
      </c>
      <c r="R179" s="36" t="s">
        <v>176</v>
      </c>
      <c r="S179" s="36" t="s">
        <v>110</v>
      </c>
      <c r="T179" s="36" t="s">
        <v>110</v>
      </c>
      <c r="U179" s="36" t="s">
        <v>110</v>
      </c>
      <c r="V179" s="82" t="s">
        <v>112</v>
      </c>
      <c r="W179" s="82" t="s">
        <v>113</v>
      </c>
      <c r="X179" s="113" t="s">
        <v>114</v>
      </c>
      <c r="Y179" s="36" t="s">
        <v>111</v>
      </c>
      <c r="Z179" s="36" t="s">
        <v>111</v>
      </c>
      <c r="AA179" s="36" t="s">
        <v>111</v>
      </c>
      <c r="AB179" s="36" t="s">
        <v>111</v>
      </c>
      <c r="AC179" s="82" t="s">
        <v>116</v>
      </c>
      <c r="AD179" s="82" t="s">
        <v>137</v>
      </c>
      <c r="AE179" s="82" t="s">
        <v>118</v>
      </c>
      <c r="AF179" s="94" t="s">
        <v>111</v>
      </c>
      <c r="AG179" s="82" t="s">
        <v>110</v>
      </c>
      <c r="AH179" s="36" t="s">
        <v>110</v>
      </c>
      <c r="AI179" s="82" t="s">
        <v>110</v>
      </c>
      <c r="AJ179" s="82" t="s">
        <v>110</v>
      </c>
      <c r="AK179" s="82" t="s">
        <v>110</v>
      </c>
      <c r="AL179" s="36" t="s">
        <v>110</v>
      </c>
      <c r="AM179" s="36" t="s">
        <v>110</v>
      </c>
      <c r="AN179" s="36" t="s">
        <v>110</v>
      </c>
      <c r="AO179" s="82" t="s">
        <v>110</v>
      </c>
      <c r="AP179" s="36" t="s">
        <v>110</v>
      </c>
      <c r="AQ179" s="82" t="s">
        <v>126</v>
      </c>
      <c r="AR179" s="82" t="s">
        <v>110</v>
      </c>
      <c r="AS179" s="36" t="s">
        <v>110</v>
      </c>
      <c r="AT179" s="16" t="s">
        <v>119</v>
      </c>
      <c r="AU179" s="17" t="s">
        <v>111</v>
      </c>
      <c r="AV179" s="36" t="s">
        <v>119</v>
      </c>
      <c r="AW179" s="36" t="s">
        <v>119</v>
      </c>
      <c r="AX179" s="36" t="s">
        <v>119</v>
      </c>
      <c r="AY179" s="36" t="s">
        <v>111</v>
      </c>
      <c r="AZ179" s="82" t="s">
        <v>125</v>
      </c>
      <c r="BA179" s="82" t="s">
        <v>111</v>
      </c>
      <c r="BB179" s="82" t="s">
        <v>126</v>
      </c>
      <c r="BC179" s="82" t="s">
        <v>111</v>
      </c>
      <c r="BD179" s="94" t="s">
        <v>125</v>
      </c>
      <c r="BE179" s="82" t="s">
        <v>126</v>
      </c>
      <c r="BF179" s="82" t="s">
        <v>110</v>
      </c>
      <c r="BG179" s="36" t="s">
        <v>110</v>
      </c>
      <c r="BH179" s="82" t="s">
        <v>125</v>
      </c>
      <c r="BI179" s="36" t="s">
        <v>111</v>
      </c>
      <c r="BJ179" s="82" t="s">
        <v>110</v>
      </c>
      <c r="BK179" s="36" t="s">
        <v>110</v>
      </c>
      <c r="BL179" s="36" t="s">
        <v>126</v>
      </c>
      <c r="BM179" s="36" t="s">
        <v>110</v>
      </c>
      <c r="BN179" s="18" t="s">
        <v>111</v>
      </c>
      <c r="BO179" s="36" t="s">
        <v>111</v>
      </c>
      <c r="BP179" s="36" t="s">
        <v>120</v>
      </c>
      <c r="BQ179" s="36" t="s">
        <v>111</v>
      </c>
      <c r="BR179" s="36" t="s">
        <v>111</v>
      </c>
      <c r="BS179" s="82" t="s">
        <v>110</v>
      </c>
      <c r="BT179" s="36" t="s">
        <v>111</v>
      </c>
      <c r="BU179" s="36" t="s">
        <v>110</v>
      </c>
      <c r="BV179" s="36" t="s">
        <v>110</v>
      </c>
      <c r="BW179" s="36" t="s">
        <v>110</v>
      </c>
      <c r="BX179" s="36" t="s">
        <v>126</v>
      </c>
      <c r="BY179" s="82" t="s">
        <v>110</v>
      </c>
      <c r="BZ179" s="36" t="s">
        <v>110</v>
      </c>
      <c r="CA179" s="36" t="s">
        <v>110</v>
      </c>
      <c r="CB179" s="36" t="s">
        <v>119</v>
      </c>
      <c r="CC179" s="36" t="s">
        <v>110</v>
      </c>
      <c r="CD179" s="36" t="s">
        <v>110</v>
      </c>
      <c r="CE179" s="36" t="s">
        <v>110</v>
      </c>
      <c r="CF179" s="36" t="s">
        <v>110</v>
      </c>
      <c r="CG179" s="36" t="s">
        <v>110</v>
      </c>
      <c r="CH179" s="82" t="s">
        <v>110</v>
      </c>
      <c r="CI179" s="36" t="s">
        <v>110</v>
      </c>
      <c r="CJ179" s="36" t="s">
        <v>110</v>
      </c>
      <c r="CK179" s="36" t="s">
        <v>126</v>
      </c>
      <c r="CL179" s="36" t="s">
        <v>110</v>
      </c>
      <c r="CM179" s="36" t="s">
        <v>111</v>
      </c>
      <c r="CN179" s="45"/>
      <c r="CO179" t="s">
        <v>786</v>
      </c>
      <c r="CP179">
        <f>IFERROR(VLOOKUP(H179,'Lista Lideres'!$A$1:$B$350,2,0),0)</f>
        <v>0</v>
      </c>
    </row>
    <row r="180" spans="1:94" ht="14.4" hidden="1" x14ac:dyDescent="0.3">
      <c r="A180" s="35">
        <v>45560.639722569445</v>
      </c>
      <c r="B180" s="36" t="s">
        <v>252</v>
      </c>
      <c r="C180" s="37" t="s">
        <v>783</v>
      </c>
      <c r="D180" s="37" t="s">
        <v>93</v>
      </c>
      <c r="E180" s="37" t="s">
        <v>616</v>
      </c>
      <c r="F180" s="37" t="s">
        <v>97</v>
      </c>
      <c r="G180" s="37" t="s">
        <v>528</v>
      </c>
      <c r="H180" s="37" t="s">
        <v>617</v>
      </c>
      <c r="I180" s="37" t="s">
        <v>161</v>
      </c>
      <c r="J180" s="37" t="s">
        <v>101</v>
      </c>
      <c r="K180" s="37" t="s">
        <v>102</v>
      </c>
      <c r="L180" s="81" t="s">
        <v>162</v>
      </c>
      <c r="M180" s="8" t="s">
        <v>104</v>
      </c>
      <c r="N180" s="81" t="s">
        <v>388</v>
      </c>
      <c r="O180" s="81" t="s">
        <v>106</v>
      </c>
      <c r="P180" s="81" t="s">
        <v>107</v>
      </c>
      <c r="Q180" s="112" t="s">
        <v>108</v>
      </c>
      <c r="R180" s="37" t="s">
        <v>109</v>
      </c>
      <c r="S180" s="37" t="s">
        <v>110</v>
      </c>
      <c r="T180" s="37" t="s">
        <v>119</v>
      </c>
      <c r="U180" s="37" t="s">
        <v>110</v>
      </c>
      <c r="V180" s="81" t="s">
        <v>112</v>
      </c>
      <c r="W180" s="81" t="s">
        <v>113</v>
      </c>
      <c r="X180" s="112" t="s">
        <v>114</v>
      </c>
      <c r="Y180" s="37" t="s">
        <v>111</v>
      </c>
      <c r="Z180" s="37" t="s">
        <v>168</v>
      </c>
      <c r="AA180" s="37" t="s">
        <v>168</v>
      </c>
      <c r="AB180" s="37" t="s">
        <v>129</v>
      </c>
      <c r="AC180" s="81" t="s">
        <v>111</v>
      </c>
      <c r="AD180" s="81" t="s">
        <v>117</v>
      </c>
      <c r="AE180" s="81" t="s">
        <v>118</v>
      </c>
      <c r="AF180" s="93" t="s">
        <v>110</v>
      </c>
      <c r="AG180" s="81" t="s">
        <v>168</v>
      </c>
      <c r="AH180" s="37" t="s">
        <v>168</v>
      </c>
      <c r="AI180" s="81" t="s">
        <v>110</v>
      </c>
      <c r="AJ180" s="81" t="s">
        <v>110</v>
      </c>
      <c r="AK180" s="81" t="s">
        <v>110</v>
      </c>
      <c r="AL180" s="37" t="s">
        <v>168</v>
      </c>
      <c r="AM180" s="37" t="s">
        <v>123</v>
      </c>
      <c r="AN180" s="37" t="s">
        <v>168</v>
      </c>
      <c r="AO180" s="81" t="s">
        <v>110</v>
      </c>
      <c r="AP180" s="37" t="s">
        <v>110</v>
      </c>
      <c r="AQ180" s="81" t="s">
        <v>126</v>
      </c>
      <c r="AR180" s="81" t="s">
        <v>119</v>
      </c>
      <c r="AS180" s="37" t="s">
        <v>111</v>
      </c>
      <c r="AT180" s="9" t="s">
        <v>129</v>
      </c>
      <c r="AU180" s="10" t="s">
        <v>115</v>
      </c>
      <c r="AV180" s="37" t="s">
        <v>129</v>
      </c>
      <c r="AW180" s="37" t="s">
        <v>129</v>
      </c>
      <c r="AX180" s="37" t="s">
        <v>119</v>
      </c>
      <c r="AY180" s="37" t="s">
        <v>120</v>
      </c>
      <c r="AZ180" s="81" t="s">
        <v>125</v>
      </c>
      <c r="BA180" s="81" t="s">
        <v>120</v>
      </c>
      <c r="BB180" s="81" t="s">
        <v>126</v>
      </c>
      <c r="BC180" s="81" t="s">
        <v>111</v>
      </c>
      <c r="BD180" s="93" t="s">
        <v>168</v>
      </c>
      <c r="BE180" s="81" t="s">
        <v>126</v>
      </c>
      <c r="BF180" s="81" t="s">
        <v>121</v>
      </c>
      <c r="BG180" s="37" t="s">
        <v>110</v>
      </c>
      <c r="BH180" s="81" t="s">
        <v>125</v>
      </c>
      <c r="BI180" s="37" t="s">
        <v>111</v>
      </c>
      <c r="BJ180" s="81" t="s">
        <v>168</v>
      </c>
      <c r="BK180" s="37" t="s">
        <v>168</v>
      </c>
      <c r="BL180" s="37" t="s">
        <v>126</v>
      </c>
      <c r="BM180" s="37" t="s">
        <v>110</v>
      </c>
      <c r="BN180" s="11" t="s">
        <v>115</v>
      </c>
      <c r="BO180" s="37" t="s">
        <v>115</v>
      </c>
      <c r="BP180" s="37" t="s">
        <v>120</v>
      </c>
      <c r="BQ180" s="37" t="s">
        <v>111</v>
      </c>
      <c r="BR180" s="37" t="s">
        <v>111</v>
      </c>
      <c r="BS180" s="81" t="s">
        <v>115</v>
      </c>
      <c r="BT180" s="37" t="s">
        <v>115</v>
      </c>
      <c r="BU180" s="37" t="s">
        <v>111</v>
      </c>
      <c r="BV180" s="37" t="s">
        <v>110</v>
      </c>
      <c r="BW180" s="37" t="s">
        <v>110</v>
      </c>
      <c r="BX180" s="37" t="s">
        <v>126</v>
      </c>
      <c r="BY180" s="81" t="s">
        <v>110</v>
      </c>
      <c r="BZ180" s="37" t="s">
        <v>115</v>
      </c>
      <c r="CA180" s="37" t="s">
        <v>110</v>
      </c>
      <c r="CB180" s="37" t="s">
        <v>129</v>
      </c>
      <c r="CC180" s="37" t="s">
        <v>110</v>
      </c>
      <c r="CD180" s="37" t="s">
        <v>119</v>
      </c>
      <c r="CE180" s="37" t="s">
        <v>110</v>
      </c>
      <c r="CF180" s="37" t="s">
        <v>110</v>
      </c>
      <c r="CG180" s="37" t="s">
        <v>110</v>
      </c>
      <c r="CH180" s="81" t="s">
        <v>111</v>
      </c>
      <c r="CI180" s="37" t="s">
        <v>115</v>
      </c>
      <c r="CJ180" s="37" t="s">
        <v>129</v>
      </c>
      <c r="CK180" s="37" t="s">
        <v>126</v>
      </c>
      <c r="CL180" s="37" t="s">
        <v>115</v>
      </c>
      <c r="CM180" s="37" t="s">
        <v>111</v>
      </c>
      <c r="CN180" s="41"/>
      <c r="CO180" t="s">
        <v>785</v>
      </c>
      <c r="CP180">
        <f>IFERROR(VLOOKUP(H180,'Lista Lideres'!$A$1:$B$350,2,0),0)</f>
        <v>0</v>
      </c>
    </row>
    <row r="181" spans="1:94" ht="13.8" hidden="1" x14ac:dyDescent="0.3">
      <c r="A181" s="39">
        <v>45560.595021273148</v>
      </c>
      <c r="B181" s="36" t="s">
        <v>252</v>
      </c>
      <c r="C181" s="36" t="s">
        <v>783</v>
      </c>
      <c r="D181" s="36" t="s">
        <v>93</v>
      </c>
      <c r="E181" s="36" t="s">
        <v>618</v>
      </c>
      <c r="F181" s="36" t="s">
        <v>96</v>
      </c>
      <c r="G181" s="36" t="s">
        <v>528</v>
      </c>
      <c r="H181" s="36" t="s">
        <v>386</v>
      </c>
      <c r="I181" s="36" t="s">
        <v>100</v>
      </c>
      <c r="J181" s="36" t="s">
        <v>196</v>
      </c>
      <c r="K181" s="36" t="s">
        <v>102</v>
      </c>
      <c r="L181" s="82" t="s">
        <v>135</v>
      </c>
      <c r="M181" s="8" t="s">
        <v>104</v>
      </c>
      <c r="N181" s="82" t="s">
        <v>388</v>
      </c>
      <c r="O181" s="82" t="s">
        <v>106</v>
      </c>
      <c r="P181" s="82" t="s">
        <v>107</v>
      </c>
      <c r="Q181" s="113" t="s">
        <v>108</v>
      </c>
      <c r="R181" s="36" t="s">
        <v>164</v>
      </c>
      <c r="S181" s="36" t="s">
        <v>110</v>
      </c>
      <c r="T181" s="36" t="s">
        <v>110</v>
      </c>
      <c r="U181" s="36" t="s">
        <v>110</v>
      </c>
      <c r="V181" s="82" t="s">
        <v>126</v>
      </c>
      <c r="W181" s="82" t="s">
        <v>113</v>
      </c>
      <c r="X181" s="113" t="s">
        <v>114</v>
      </c>
      <c r="Y181" s="36" t="s">
        <v>115</v>
      </c>
      <c r="Z181" s="36" t="s">
        <v>115</v>
      </c>
      <c r="AA181" s="36" t="s">
        <v>115</v>
      </c>
      <c r="AB181" s="36" t="s">
        <v>115</v>
      </c>
      <c r="AC181" s="82" t="s">
        <v>110</v>
      </c>
      <c r="AD181" s="82" t="s">
        <v>117</v>
      </c>
      <c r="AE181" s="82" t="s">
        <v>167</v>
      </c>
      <c r="AF181" s="94" t="s">
        <v>120</v>
      </c>
      <c r="AG181" s="82" t="s">
        <v>110</v>
      </c>
      <c r="AH181" s="36" t="s">
        <v>110</v>
      </c>
      <c r="AI181" s="82" t="s">
        <v>110</v>
      </c>
      <c r="AJ181" s="82" t="s">
        <v>197</v>
      </c>
      <c r="AK181" s="82" t="s">
        <v>110</v>
      </c>
      <c r="AL181" s="36" t="s">
        <v>110</v>
      </c>
      <c r="AM181" s="36" t="s">
        <v>110</v>
      </c>
      <c r="AN181" s="36" t="s">
        <v>110</v>
      </c>
      <c r="AO181" s="82" t="s">
        <v>110</v>
      </c>
      <c r="AP181" s="36" t="s">
        <v>110</v>
      </c>
      <c r="AQ181" s="82" t="s">
        <v>126</v>
      </c>
      <c r="AR181" s="82" t="s">
        <v>110</v>
      </c>
      <c r="AS181" s="36" t="s">
        <v>110</v>
      </c>
      <c r="AT181" s="16" t="s">
        <v>129</v>
      </c>
      <c r="AU181" s="17" t="s">
        <v>115</v>
      </c>
      <c r="AV181" s="36" t="s">
        <v>119</v>
      </c>
      <c r="AW181" s="36" t="s">
        <v>119</v>
      </c>
      <c r="AX181" s="36" t="s">
        <v>119</v>
      </c>
      <c r="AY181" s="36" t="s">
        <v>120</v>
      </c>
      <c r="AZ181" s="82" t="s">
        <v>142</v>
      </c>
      <c r="BA181" s="82" t="s">
        <v>120</v>
      </c>
      <c r="BB181" s="82" t="s">
        <v>139</v>
      </c>
      <c r="BC181" s="82" t="s">
        <v>110</v>
      </c>
      <c r="BD181" s="94" t="s">
        <v>142</v>
      </c>
      <c r="BE181" s="82" t="s">
        <v>140</v>
      </c>
      <c r="BF181" s="82" t="s">
        <v>141</v>
      </c>
      <c r="BG181" s="36" t="s">
        <v>110</v>
      </c>
      <c r="BH181" s="82" t="s">
        <v>142</v>
      </c>
      <c r="BI181" s="36" t="s">
        <v>120</v>
      </c>
      <c r="BJ181" s="82" t="s">
        <v>129</v>
      </c>
      <c r="BK181" s="36" t="s">
        <v>121</v>
      </c>
      <c r="BL181" s="36" t="s">
        <v>126</v>
      </c>
      <c r="BM181" s="36" t="s">
        <v>186</v>
      </c>
      <c r="BN181" s="18" t="s">
        <v>115</v>
      </c>
      <c r="BO181" s="36" t="s">
        <v>115</v>
      </c>
      <c r="BP181" s="36" t="s">
        <v>120</v>
      </c>
      <c r="BQ181" s="36" t="s">
        <v>115</v>
      </c>
      <c r="BR181" s="36" t="s">
        <v>115</v>
      </c>
      <c r="BS181" s="82" t="s">
        <v>115</v>
      </c>
      <c r="BT181" s="36" t="s">
        <v>115</v>
      </c>
      <c r="BU181" s="36" t="s">
        <v>115</v>
      </c>
      <c r="BV181" s="36" t="s">
        <v>129</v>
      </c>
      <c r="BW181" s="36" t="s">
        <v>178</v>
      </c>
      <c r="BX181" s="36" t="s">
        <v>203</v>
      </c>
      <c r="BY181" s="82" t="s">
        <v>115</v>
      </c>
      <c r="BZ181" s="36" t="s">
        <v>115</v>
      </c>
      <c r="CA181" s="36" t="s">
        <v>115</v>
      </c>
      <c r="CB181" s="36" t="s">
        <v>129</v>
      </c>
      <c r="CC181" s="36" t="s">
        <v>115</v>
      </c>
      <c r="CD181" s="36" t="s">
        <v>129</v>
      </c>
      <c r="CE181" s="36" t="s">
        <v>116</v>
      </c>
      <c r="CF181" s="36" t="s">
        <v>115</v>
      </c>
      <c r="CG181" s="36" t="s">
        <v>111</v>
      </c>
      <c r="CH181" s="82" t="s">
        <v>115</v>
      </c>
      <c r="CI181" s="36" t="s">
        <v>115</v>
      </c>
      <c r="CJ181" s="36" t="s">
        <v>129</v>
      </c>
      <c r="CK181" s="36" t="s">
        <v>142</v>
      </c>
      <c r="CL181" s="36" t="s">
        <v>115</v>
      </c>
      <c r="CM181" s="36" t="s">
        <v>120</v>
      </c>
      <c r="CN181" s="43" t="s">
        <v>619</v>
      </c>
      <c r="CO181" t="s">
        <v>786</v>
      </c>
      <c r="CP181">
        <f>IFERROR(VLOOKUP(H181,'Lista Lideres'!$A$1:$B$350,2,0),0)</f>
        <v>0</v>
      </c>
    </row>
    <row r="182" spans="1:94" ht="13.8" hidden="1" x14ac:dyDescent="0.3">
      <c r="A182" s="35">
        <v>45560.584871180559</v>
      </c>
      <c r="B182" s="36" t="s">
        <v>252</v>
      </c>
      <c r="C182" s="37" t="s">
        <v>783</v>
      </c>
      <c r="D182" s="37" t="s">
        <v>93</v>
      </c>
      <c r="E182" s="37" t="s">
        <v>620</v>
      </c>
      <c r="F182" s="37" t="s">
        <v>146</v>
      </c>
      <c r="G182" s="37" t="s">
        <v>621</v>
      </c>
      <c r="H182" s="37" t="s">
        <v>550</v>
      </c>
      <c r="I182" s="37" t="s">
        <v>100</v>
      </c>
      <c r="J182" s="37" t="s">
        <v>101</v>
      </c>
      <c r="K182" s="37" t="s">
        <v>102</v>
      </c>
      <c r="L182" s="81" t="s">
        <v>150</v>
      </c>
      <c r="M182" s="8" t="s">
        <v>104</v>
      </c>
      <c r="N182" s="81" t="s">
        <v>388</v>
      </c>
      <c r="O182" s="81" t="s">
        <v>106</v>
      </c>
      <c r="P182" s="81" t="s">
        <v>107</v>
      </c>
      <c r="Q182" s="112" t="s">
        <v>108</v>
      </c>
      <c r="R182" s="37" t="s">
        <v>164</v>
      </c>
      <c r="S182" s="37" t="s">
        <v>110</v>
      </c>
      <c r="T182" s="37" t="s">
        <v>110</v>
      </c>
      <c r="U182" s="37" t="s">
        <v>110</v>
      </c>
      <c r="V182" s="81" t="s">
        <v>126</v>
      </c>
      <c r="W182" s="81" t="s">
        <v>113</v>
      </c>
      <c r="X182" s="112" t="s">
        <v>114</v>
      </c>
      <c r="Y182" s="37" t="s">
        <v>111</v>
      </c>
      <c r="Z182" s="37" t="s">
        <v>111</v>
      </c>
      <c r="AA182" s="37" t="s">
        <v>111</v>
      </c>
      <c r="AB182" s="37" t="s">
        <v>115</v>
      </c>
      <c r="AC182" s="81" t="s">
        <v>111</v>
      </c>
      <c r="AD182" s="81" t="s">
        <v>137</v>
      </c>
      <c r="AE182" s="81" t="s">
        <v>138</v>
      </c>
      <c r="AF182" s="93" t="s">
        <v>110</v>
      </c>
      <c r="AG182" s="81" t="s">
        <v>110</v>
      </c>
      <c r="AH182" s="37" t="s">
        <v>122</v>
      </c>
      <c r="AI182" s="81" t="s">
        <v>121</v>
      </c>
      <c r="AJ182" s="81" t="s">
        <v>110</v>
      </c>
      <c r="AK182" s="81" t="s">
        <v>110</v>
      </c>
      <c r="AL182" s="37" t="s">
        <v>110</v>
      </c>
      <c r="AM182" s="37" t="s">
        <v>110</v>
      </c>
      <c r="AN182" s="37" t="s">
        <v>110</v>
      </c>
      <c r="AO182" s="81" t="s">
        <v>110</v>
      </c>
      <c r="AP182" s="37" t="s">
        <v>110</v>
      </c>
      <c r="AQ182" s="81" t="s">
        <v>126</v>
      </c>
      <c r="AR182" s="81" t="s">
        <v>110</v>
      </c>
      <c r="AS182" s="37" t="s">
        <v>110</v>
      </c>
      <c r="AT182" s="9" t="s">
        <v>110</v>
      </c>
      <c r="AU182" s="10" t="s">
        <v>111</v>
      </c>
      <c r="AV182" s="37" t="s">
        <v>110</v>
      </c>
      <c r="AW182" s="37" t="s">
        <v>110</v>
      </c>
      <c r="AX182" s="37" t="s">
        <v>110</v>
      </c>
      <c r="AY182" s="37" t="s">
        <v>120</v>
      </c>
      <c r="AZ182" s="81" t="s">
        <v>126</v>
      </c>
      <c r="BA182" s="81" t="s">
        <v>120</v>
      </c>
      <c r="BB182" s="81" t="s">
        <v>126</v>
      </c>
      <c r="BC182" s="81" t="s">
        <v>110</v>
      </c>
      <c r="BD182" s="93" t="s">
        <v>126</v>
      </c>
      <c r="BE182" s="81" t="s">
        <v>140</v>
      </c>
      <c r="BF182" s="81" t="s">
        <v>110</v>
      </c>
      <c r="BG182" s="37" t="s">
        <v>110</v>
      </c>
      <c r="BH182" s="81" t="s">
        <v>125</v>
      </c>
      <c r="BI182" s="37" t="s">
        <v>111</v>
      </c>
      <c r="BJ182" s="81" t="s">
        <v>110</v>
      </c>
      <c r="BK182" s="37" t="s">
        <v>110</v>
      </c>
      <c r="BL182" s="37" t="s">
        <v>126</v>
      </c>
      <c r="BM182" s="37" t="s">
        <v>110</v>
      </c>
      <c r="BN182" s="11" t="s">
        <v>110</v>
      </c>
      <c r="BO182" s="37" t="s">
        <v>115</v>
      </c>
      <c r="BP182" s="37" t="s">
        <v>120</v>
      </c>
      <c r="BQ182" s="37" t="s">
        <v>110</v>
      </c>
      <c r="BR182" s="37" t="s">
        <v>110</v>
      </c>
      <c r="BS182" s="81" t="s">
        <v>111</v>
      </c>
      <c r="BT182" s="37" t="s">
        <v>111</v>
      </c>
      <c r="BU182" s="37" t="s">
        <v>111</v>
      </c>
      <c r="BV182" s="37" t="s">
        <v>110</v>
      </c>
      <c r="BW182" s="37" t="s">
        <v>110</v>
      </c>
      <c r="BX182" s="37" t="s">
        <v>126</v>
      </c>
      <c r="BY182" s="81" t="s">
        <v>111</v>
      </c>
      <c r="BZ182" s="37" t="s">
        <v>115</v>
      </c>
      <c r="CA182" s="37" t="s">
        <v>110</v>
      </c>
      <c r="CB182" s="37" t="s">
        <v>110</v>
      </c>
      <c r="CC182" s="37" t="s">
        <v>110</v>
      </c>
      <c r="CD182" s="37" t="s">
        <v>110</v>
      </c>
      <c r="CE182" s="37" t="s">
        <v>110</v>
      </c>
      <c r="CF182" s="37" t="s">
        <v>110</v>
      </c>
      <c r="CG182" s="37" t="s">
        <v>119</v>
      </c>
      <c r="CH182" s="81" t="s">
        <v>110</v>
      </c>
      <c r="CI182" s="37" t="s">
        <v>111</v>
      </c>
      <c r="CJ182" s="37" t="s">
        <v>110</v>
      </c>
      <c r="CK182" s="37" t="s">
        <v>126</v>
      </c>
      <c r="CL182" s="37" t="s">
        <v>110</v>
      </c>
      <c r="CM182" s="37" t="s">
        <v>111</v>
      </c>
      <c r="CN182" s="42" t="s">
        <v>622</v>
      </c>
      <c r="CO182" t="s">
        <v>786</v>
      </c>
      <c r="CP182">
        <f>IFERROR(VLOOKUP(H182,'Lista Lideres'!$A$1:$B$350,2,0),0)</f>
        <v>0</v>
      </c>
    </row>
    <row r="183" spans="1:94" ht="14.4" hidden="1" x14ac:dyDescent="0.3">
      <c r="A183" s="39">
        <v>45563.323503749998</v>
      </c>
      <c r="B183" s="36" t="s">
        <v>252</v>
      </c>
      <c r="C183" s="36" t="s">
        <v>783</v>
      </c>
      <c r="D183" s="36" t="s">
        <v>93</v>
      </c>
      <c r="E183" s="36" t="s">
        <v>204</v>
      </c>
      <c r="F183" s="36" t="s">
        <v>146</v>
      </c>
      <c r="G183" s="36" t="s">
        <v>623</v>
      </c>
      <c r="H183" s="36" t="s">
        <v>623</v>
      </c>
      <c r="I183" s="36" t="s">
        <v>100</v>
      </c>
      <c r="J183" s="36" t="s">
        <v>196</v>
      </c>
      <c r="K183" s="36" t="s">
        <v>102</v>
      </c>
      <c r="L183" s="82" t="s">
        <v>135</v>
      </c>
      <c r="M183" s="8" t="s">
        <v>104</v>
      </c>
      <c r="N183" s="82" t="s">
        <v>388</v>
      </c>
      <c r="O183" s="82" t="s">
        <v>282</v>
      </c>
      <c r="P183" s="82" t="s">
        <v>107</v>
      </c>
      <c r="Q183" s="113" t="s">
        <v>108</v>
      </c>
      <c r="R183" s="82" t="s">
        <v>184</v>
      </c>
      <c r="S183" s="36" t="s">
        <v>110</v>
      </c>
      <c r="T183" s="36" t="s">
        <v>110</v>
      </c>
      <c r="U183" s="36" t="s">
        <v>110</v>
      </c>
      <c r="V183" s="82" t="s">
        <v>126</v>
      </c>
      <c r="W183" s="82" t="s">
        <v>113</v>
      </c>
      <c r="X183" s="113" t="s">
        <v>114</v>
      </c>
      <c r="Y183" s="36" t="s">
        <v>110</v>
      </c>
      <c r="Z183" s="36" t="s">
        <v>110</v>
      </c>
      <c r="AA183" s="36" t="s">
        <v>110</v>
      </c>
      <c r="AB183" s="36" t="s">
        <v>110</v>
      </c>
      <c r="AC183" s="82" t="s">
        <v>110</v>
      </c>
      <c r="AD183" s="82" t="s">
        <v>117</v>
      </c>
      <c r="AE183" s="82" t="s">
        <v>138</v>
      </c>
      <c r="AF183" s="94" t="s">
        <v>110</v>
      </c>
      <c r="AG183" s="82" t="s">
        <v>110</v>
      </c>
      <c r="AH183" s="36" t="s">
        <v>110</v>
      </c>
      <c r="AI183" s="82" t="s">
        <v>110</v>
      </c>
      <c r="AJ183" s="82" t="s">
        <v>110</v>
      </c>
      <c r="AK183" s="82" t="s">
        <v>110</v>
      </c>
      <c r="AL183" s="36" t="s">
        <v>110</v>
      </c>
      <c r="AM183" s="36" t="s">
        <v>110</v>
      </c>
      <c r="AN183" s="36" t="s">
        <v>123</v>
      </c>
      <c r="AO183" s="82" t="s">
        <v>123</v>
      </c>
      <c r="AP183" s="36" t="s">
        <v>110</v>
      </c>
      <c r="AQ183" s="82" t="s">
        <v>126</v>
      </c>
      <c r="AR183" s="82" t="s">
        <v>110</v>
      </c>
      <c r="AS183" s="36" t="s">
        <v>111</v>
      </c>
      <c r="AT183" s="16" t="s">
        <v>110</v>
      </c>
      <c r="AU183" s="17" t="s">
        <v>110</v>
      </c>
      <c r="AV183" s="36" t="s">
        <v>110</v>
      </c>
      <c r="AW183" s="36" t="s">
        <v>110</v>
      </c>
      <c r="AX183" s="36" t="s">
        <v>110</v>
      </c>
      <c r="AY183" s="36" t="s">
        <v>110</v>
      </c>
      <c r="AZ183" s="82" t="s">
        <v>126</v>
      </c>
      <c r="BA183" s="82" t="s">
        <v>111</v>
      </c>
      <c r="BB183" s="82" t="s">
        <v>126</v>
      </c>
      <c r="BC183" s="82" t="s">
        <v>110</v>
      </c>
      <c r="BD183" s="94" t="s">
        <v>126</v>
      </c>
      <c r="BE183" s="82" t="s">
        <v>126</v>
      </c>
      <c r="BF183" s="82" t="s">
        <v>110</v>
      </c>
      <c r="BG183" s="36" t="s">
        <v>110</v>
      </c>
      <c r="BH183" s="82" t="s">
        <v>125</v>
      </c>
      <c r="BI183" s="36" t="s">
        <v>111</v>
      </c>
      <c r="BJ183" s="82" t="s">
        <v>110</v>
      </c>
      <c r="BK183" s="36" t="s">
        <v>110</v>
      </c>
      <c r="BL183" s="36" t="s">
        <v>126</v>
      </c>
      <c r="BM183" s="36" t="s">
        <v>110</v>
      </c>
      <c r="BN183" s="18" t="s">
        <v>110</v>
      </c>
      <c r="BO183" s="36" t="s">
        <v>110</v>
      </c>
      <c r="BP183" s="36" t="s">
        <v>111</v>
      </c>
      <c r="BQ183" s="36" t="s">
        <v>110</v>
      </c>
      <c r="BR183" s="36" t="s">
        <v>110</v>
      </c>
      <c r="BS183" s="82" t="s">
        <v>110</v>
      </c>
      <c r="BT183" s="36" t="s">
        <v>110</v>
      </c>
      <c r="BU183" s="36" t="s">
        <v>110</v>
      </c>
      <c r="BV183" s="36" t="s">
        <v>110</v>
      </c>
      <c r="BW183" s="36" t="s">
        <v>110</v>
      </c>
      <c r="BX183" s="36" t="s">
        <v>124</v>
      </c>
      <c r="BY183" s="82" t="s">
        <v>110</v>
      </c>
      <c r="BZ183" s="36" t="s">
        <v>115</v>
      </c>
      <c r="CA183" s="36" t="s">
        <v>110</v>
      </c>
      <c r="CB183" s="36" t="s">
        <v>110</v>
      </c>
      <c r="CC183" s="36" t="s">
        <v>110</v>
      </c>
      <c r="CD183" s="36" t="s">
        <v>110</v>
      </c>
      <c r="CE183" s="36" t="s">
        <v>209</v>
      </c>
      <c r="CF183" s="36" t="s">
        <v>110</v>
      </c>
      <c r="CG183" s="36" t="s">
        <v>129</v>
      </c>
      <c r="CH183" s="82" t="s">
        <v>110</v>
      </c>
      <c r="CI183" s="36" t="s">
        <v>110</v>
      </c>
      <c r="CJ183" s="36" t="s">
        <v>110</v>
      </c>
      <c r="CK183" s="36" t="s">
        <v>126</v>
      </c>
      <c r="CL183" s="36" t="s">
        <v>110</v>
      </c>
      <c r="CM183" s="36" t="s">
        <v>110</v>
      </c>
      <c r="CN183" s="45"/>
      <c r="CO183" t="s">
        <v>786</v>
      </c>
      <c r="CP183">
        <f>IFERROR(VLOOKUP(H183,'Lista Lideres'!$A$1:$B$350,2,0),0)</f>
        <v>0</v>
      </c>
    </row>
    <row r="184" spans="1:94" ht="14.4" hidden="1" x14ac:dyDescent="0.3">
      <c r="A184" s="35">
        <v>45562.596118425921</v>
      </c>
      <c r="B184" s="36" t="s">
        <v>252</v>
      </c>
      <c r="C184" s="37" t="s">
        <v>783</v>
      </c>
      <c r="D184" s="37" t="s">
        <v>93</v>
      </c>
      <c r="E184" s="37" t="s">
        <v>624</v>
      </c>
      <c r="F184" s="37" t="s">
        <v>171</v>
      </c>
      <c r="G184" s="37" t="s">
        <v>625</v>
      </c>
      <c r="H184" s="37" t="s">
        <v>626</v>
      </c>
      <c r="I184" s="37" t="s">
        <v>100</v>
      </c>
      <c r="J184" s="37" t="s">
        <v>196</v>
      </c>
      <c r="K184" s="37" t="s">
        <v>102</v>
      </c>
      <c r="L184" s="81" t="s">
        <v>150</v>
      </c>
      <c r="M184" s="8" t="s">
        <v>104</v>
      </c>
      <c r="N184" s="81" t="s">
        <v>388</v>
      </c>
      <c r="O184" s="81" t="s">
        <v>106</v>
      </c>
      <c r="P184" s="81" t="s">
        <v>107</v>
      </c>
      <c r="Q184" s="112" t="s">
        <v>108</v>
      </c>
      <c r="R184" s="37" t="s">
        <v>164</v>
      </c>
      <c r="S184" s="37" t="s">
        <v>110</v>
      </c>
      <c r="T184" s="37" t="s">
        <v>110</v>
      </c>
      <c r="U184" s="37" t="s">
        <v>110</v>
      </c>
      <c r="V184" s="81" t="s">
        <v>126</v>
      </c>
      <c r="W184" s="81" t="s">
        <v>113</v>
      </c>
      <c r="X184" s="112" t="s">
        <v>114</v>
      </c>
      <c r="Y184" s="37" t="s">
        <v>110</v>
      </c>
      <c r="Z184" s="37" t="s">
        <v>110</v>
      </c>
      <c r="AA184" s="37" t="s">
        <v>110</v>
      </c>
      <c r="AB184" s="37" t="s">
        <v>110</v>
      </c>
      <c r="AC184" s="81" t="s">
        <v>110</v>
      </c>
      <c r="AD184" s="81" t="s">
        <v>166</v>
      </c>
      <c r="AE184" s="81" t="s">
        <v>138</v>
      </c>
      <c r="AF184" s="93" t="s">
        <v>111</v>
      </c>
      <c r="AG184" s="81" t="s">
        <v>111</v>
      </c>
      <c r="AH184" s="37" t="s">
        <v>122</v>
      </c>
      <c r="AI184" s="81" t="s">
        <v>110</v>
      </c>
      <c r="AJ184" s="81" t="s">
        <v>122</v>
      </c>
      <c r="AK184" s="81" t="s">
        <v>122</v>
      </c>
      <c r="AL184" s="37" t="s">
        <v>110</v>
      </c>
      <c r="AM184" s="37" t="s">
        <v>110</v>
      </c>
      <c r="AN184" s="37" t="s">
        <v>177</v>
      </c>
      <c r="AO184" s="81" t="s">
        <v>123</v>
      </c>
      <c r="AP184" s="37" t="s">
        <v>123</v>
      </c>
      <c r="AQ184" s="81" t="s">
        <v>126</v>
      </c>
      <c r="AR184" s="81" t="s">
        <v>110</v>
      </c>
      <c r="AS184" s="37" t="s">
        <v>119</v>
      </c>
      <c r="AT184" s="9" t="s">
        <v>111</v>
      </c>
      <c r="AU184" s="10" t="s">
        <v>110</v>
      </c>
      <c r="AV184" s="37" t="s">
        <v>111</v>
      </c>
      <c r="AW184" s="37" t="s">
        <v>111</v>
      </c>
      <c r="AX184" s="37" t="s">
        <v>111</v>
      </c>
      <c r="AY184" s="37" t="s">
        <v>120</v>
      </c>
      <c r="AZ184" s="81" t="s">
        <v>124</v>
      </c>
      <c r="BA184" s="81" t="s">
        <v>119</v>
      </c>
      <c r="BB184" s="81" t="s">
        <v>126</v>
      </c>
      <c r="BC184" s="81" t="s">
        <v>110</v>
      </c>
      <c r="BD184" s="93" t="s">
        <v>124</v>
      </c>
      <c r="BE184" s="81" t="s">
        <v>126</v>
      </c>
      <c r="BF184" s="81" t="s">
        <v>122</v>
      </c>
      <c r="BG184" s="37" t="s">
        <v>119</v>
      </c>
      <c r="BH184" s="81" t="s">
        <v>125</v>
      </c>
      <c r="BI184" s="37" t="s">
        <v>111</v>
      </c>
      <c r="BJ184" s="81" t="s">
        <v>111</v>
      </c>
      <c r="BK184" s="37" t="s">
        <v>122</v>
      </c>
      <c r="BL184" s="37" t="s">
        <v>124</v>
      </c>
      <c r="BM184" s="37" t="s">
        <v>110</v>
      </c>
      <c r="BN184" s="11" t="s">
        <v>111</v>
      </c>
      <c r="BO184" s="37" t="s">
        <v>111</v>
      </c>
      <c r="BP184" s="37" t="s">
        <v>120</v>
      </c>
      <c r="BQ184" s="37" t="s">
        <v>110</v>
      </c>
      <c r="BR184" s="37" t="s">
        <v>110</v>
      </c>
      <c r="BS184" s="81" t="s">
        <v>110</v>
      </c>
      <c r="BT184" s="37" t="s">
        <v>111</v>
      </c>
      <c r="BU184" s="37" t="s">
        <v>111</v>
      </c>
      <c r="BV184" s="37" t="s">
        <v>110</v>
      </c>
      <c r="BW184" s="37" t="s">
        <v>123</v>
      </c>
      <c r="BX184" s="37" t="s">
        <v>142</v>
      </c>
      <c r="BY184" s="81" t="s">
        <v>110</v>
      </c>
      <c r="BZ184" s="37" t="s">
        <v>115</v>
      </c>
      <c r="CA184" s="37" t="s">
        <v>110</v>
      </c>
      <c r="CB184" s="37" t="s">
        <v>110</v>
      </c>
      <c r="CC184" s="37" t="s">
        <v>110</v>
      </c>
      <c r="CD184" s="37" t="s">
        <v>110</v>
      </c>
      <c r="CE184" s="37" t="s">
        <v>209</v>
      </c>
      <c r="CF184" s="37" t="s">
        <v>119</v>
      </c>
      <c r="CG184" s="37" t="s">
        <v>129</v>
      </c>
      <c r="CH184" s="81" t="s">
        <v>110</v>
      </c>
      <c r="CI184" s="37" t="s">
        <v>111</v>
      </c>
      <c r="CJ184" s="37" t="s">
        <v>110</v>
      </c>
      <c r="CK184" s="37" t="s">
        <v>126</v>
      </c>
      <c r="CL184" s="37" t="s">
        <v>119</v>
      </c>
      <c r="CM184" s="37" t="s">
        <v>110</v>
      </c>
      <c r="CN184" s="38"/>
      <c r="CO184" t="s">
        <v>786</v>
      </c>
      <c r="CP184">
        <f>IFERROR(VLOOKUP(H184,'Lista Lideres'!$A$1:$B$350,2,0),0)</f>
        <v>1</v>
      </c>
    </row>
    <row r="185" spans="1:94" ht="14.4" hidden="1" x14ac:dyDescent="0.3">
      <c r="A185" s="39">
        <v>45577.915393541669</v>
      </c>
      <c r="B185" s="36" t="s">
        <v>252</v>
      </c>
      <c r="C185" s="36" t="s">
        <v>783</v>
      </c>
      <c r="D185" s="36" t="s">
        <v>131</v>
      </c>
      <c r="E185" s="36" t="s">
        <v>627</v>
      </c>
      <c r="F185" s="36" t="s">
        <v>96</v>
      </c>
      <c r="G185" s="36" t="s">
        <v>628</v>
      </c>
      <c r="H185" s="36" t="s">
        <v>629</v>
      </c>
      <c r="I185" s="36" t="s">
        <v>100</v>
      </c>
      <c r="J185" s="36" t="s">
        <v>101</v>
      </c>
      <c r="K185" s="36" t="s">
        <v>102</v>
      </c>
      <c r="L185" s="82" t="s">
        <v>162</v>
      </c>
      <c r="M185" s="8" t="s">
        <v>104</v>
      </c>
      <c r="N185" s="82" t="s">
        <v>388</v>
      </c>
      <c r="O185" s="82" t="s">
        <v>282</v>
      </c>
      <c r="P185" s="82" t="s">
        <v>175</v>
      </c>
      <c r="Q185" s="113" t="s">
        <v>163</v>
      </c>
      <c r="R185" s="36" t="s">
        <v>109</v>
      </c>
      <c r="S185" s="36" t="s">
        <v>119</v>
      </c>
      <c r="T185" s="36" t="s">
        <v>119</v>
      </c>
      <c r="U185" s="36" t="s">
        <v>119</v>
      </c>
      <c r="V185" s="82" t="s">
        <v>320</v>
      </c>
      <c r="W185" s="82" t="s">
        <v>113</v>
      </c>
      <c r="X185" s="113" t="s">
        <v>153</v>
      </c>
      <c r="Y185" s="36" t="s">
        <v>111</v>
      </c>
      <c r="Z185" s="36" t="s">
        <v>119</v>
      </c>
      <c r="AA185" s="36" t="s">
        <v>119</v>
      </c>
      <c r="AB185" s="36" t="s">
        <v>111</v>
      </c>
      <c r="AC185" s="82" t="s">
        <v>111</v>
      </c>
      <c r="AD185" s="82" t="s">
        <v>137</v>
      </c>
      <c r="AE185" s="82" t="s">
        <v>138</v>
      </c>
      <c r="AF185" s="94" t="s">
        <v>119</v>
      </c>
      <c r="AG185" s="82" t="s">
        <v>120</v>
      </c>
      <c r="AH185" s="36" t="s">
        <v>122</v>
      </c>
      <c r="AI185" s="82" t="s">
        <v>122</v>
      </c>
      <c r="AJ185" s="82" t="s">
        <v>122</v>
      </c>
      <c r="AK185" s="82" t="s">
        <v>122</v>
      </c>
      <c r="AL185" s="36" t="s">
        <v>122</v>
      </c>
      <c r="AM185" s="36" t="s">
        <v>123</v>
      </c>
      <c r="AN185" s="36" t="s">
        <v>177</v>
      </c>
      <c r="AO185" s="82" t="s">
        <v>123</v>
      </c>
      <c r="AP185" s="36" t="s">
        <v>123</v>
      </c>
      <c r="AQ185" s="82" t="s">
        <v>126</v>
      </c>
      <c r="AR185" s="82" t="s">
        <v>111</v>
      </c>
      <c r="AS185" s="36" t="s">
        <v>115</v>
      </c>
      <c r="AT185" s="16" t="s">
        <v>115</v>
      </c>
      <c r="AU185" s="17" t="s">
        <v>111</v>
      </c>
      <c r="AV185" s="36" t="s">
        <v>115</v>
      </c>
      <c r="AW185" s="36" t="s">
        <v>111</v>
      </c>
      <c r="AX185" s="36" t="s">
        <v>120</v>
      </c>
      <c r="AY185" s="36" t="s">
        <v>111</v>
      </c>
      <c r="AZ185" s="82" t="s">
        <v>126</v>
      </c>
      <c r="BA185" s="82" t="s">
        <v>111</v>
      </c>
      <c r="BB185" s="82" t="s">
        <v>126</v>
      </c>
      <c r="BC185" s="82" t="s">
        <v>120</v>
      </c>
      <c r="BD185" s="94" t="s">
        <v>124</v>
      </c>
      <c r="BE185" s="82" t="s">
        <v>126</v>
      </c>
      <c r="BF185" s="82" t="s">
        <v>122</v>
      </c>
      <c r="BG185" s="36" t="s">
        <v>110</v>
      </c>
      <c r="BH185" s="82" t="s">
        <v>125</v>
      </c>
      <c r="BI185" s="36" t="s">
        <v>111</v>
      </c>
      <c r="BJ185" s="82" t="s">
        <v>111</v>
      </c>
      <c r="BK185" s="36" t="s">
        <v>110</v>
      </c>
      <c r="BL185" s="36" t="s">
        <v>124</v>
      </c>
      <c r="BM185" s="36" t="s">
        <v>209</v>
      </c>
      <c r="BN185" s="18" t="s">
        <v>119</v>
      </c>
      <c r="BO185" s="36" t="s">
        <v>110</v>
      </c>
      <c r="BP185" s="36" t="s">
        <v>111</v>
      </c>
      <c r="BQ185" s="36" t="s">
        <v>111</v>
      </c>
      <c r="BR185" s="36" t="s">
        <v>110</v>
      </c>
      <c r="BS185" s="82" t="s">
        <v>111</v>
      </c>
      <c r="BT185" s="36" t="s">
        <v>119</v>
      </c>
      <c r="BU185" s="36" t="s">
        <v>111</v>
      </c>
      <c r="BV185" s="36" t="s">
        <v>111</v>
      </c>
      <c r="BW185" s="36" t="s">
        <v>128</v>
      </c>
      <c r="BX185" s="36" t="s">
        <v>125</v>
      </c>
      <c r="BY185" s="82" t="s">
        <v>110</v>
      </c>
      <c r="BZ185" s="36" t="s">
        <v>111</v>
      </c>
      <c r="CA185" s="36" t="s">
        <v>110</v>
      </c>
      <c r="CB185" s="36" t="s">
        <v>119</v>
      </c>
      <c r="CC185" s="36" t="s">
        <v>111</v>
      </c>
      <c r="CD185" s="36" t="s">
        <v>110</v>
      </c>
      <c r="CE185" s="36" t="s">
        <v>209</v>
      </c>
      <c r="CF185" s="36" t="s">
        <v>111</v>
      </c>
      <c r="CG185" s="36" t="s">
        <v>119</v>
      </c>
      <c r="CH185" s="82" t="s">
        <v>111</v>
      </c>
      <c r="CI185" s="36" t="s">
        <v>111</v>
      </c>
      <c r="CJ185" s="36" t="s">
        <v>119</v>
      </c>
      <c r="CK185" s="36" t="s">
        <v>124</v>
      </c>
      <c r="CL185" s="36" t="s">
        <v>119</v>
      </c>
      <c r="CM185" s="36" t="s">
        <v>110</v>
      </c>
      <c r="CN185" s="41"/>
      <c r="CO185" t="s">
        <v>786</v>
      </c>
      <c r="CP185">
        <f>IFERROR(VLOOKUP(H185,'Lista Lideres'!$A$1:$B$350,2,0),0)</f>
        <v>1</v>
      </c>
    </row>
    <row r="186" spans="1:94" ht="13.8" hidden="1" x14ac:dyDescent="0.3">
      <c r="A186" s="35">
        <v>45573.483625983798</v>
      </c>
      <c r="B186" s="36" t="s">
        <v>252</v>
      </c>
      <c r="C186" s="37" t="s">
        <v>783</v>
      </c>
      <c r="D186" s="37" t="s">
        <v>93</v>
      </c>
      <c r="E186" s="37" t="s">
        <v>246</v>
      </c>
      <c r="F186" s="37" t="s">
        <v>97</v>
      </c>
      <c r="G186" s="37" t="s">
        <v>630</v>
      </c>
      <c r="H186" s="37" t="s">
        <v>631</v>
      </c>
      <c r="I186" s="37" t="s">
        <v>149</v>
      </c>
      <c r="J186" s="37" t="s">
        <v>173</v>
      </c>
      <c r="K186" s="37" t="s">
        <v>191</v>
      </c>
      <c r="L186" s="81" t="s">
        <v>135</v>
      </c>
      <c r="M186" s="8" t="s">
        <v>104</v>
      </c>
      <c r="N186" s="81" t="s">
        <v>388</v>
      </c>
      <c r="O186" s="81" t="s">
        <v>106</v>
      </c>
      <c r="P186" s="81" t="s">
        <v>175</v>
      </c>
      <c r="Q186" s="112" t="s">
        <v>108</v>
      </c>
      <c r="R186" s="37" t="s">
        <v>164</v>
      </c>
      <c r="S186" s="37" t="s">
        <v>110</v>
      </c>
      <c r="T186" s="37" t="s">
        <v>119</v>
      </c>
      <c r="U186" s="37" t="s">
        <v>110</v>
      </c>
      <c r="V186" s="81" t="s">
        <v>126</v>
      </c>
      <c r="W186" s="81" t="s">
        <v>113</v>
      </c>
      <c r="X186" s="112" t="s">
        <v>235</v>
      </c>
      <c r="Y186" s="37" t="s">
        <v>111</v>
      </c>
      <c r="Z186" s="37" t="s">
        <v>110</v>
      </c>
      <c r="AA186" s="37" t="s">
        <v>110</v>
      </c>
      <c r="AB186" s="37" t="s">
        <v>110</v>
      </c>
      <c r="AC186" s="81" t="s">
        <v>116</v>
      </c>
      <c r="AD186" s="81" t="s">
        <v>117</v>
      </c>
      <c r="AE186" s="81" t="s">
        <v>118</v>
      </c>
      <c r="AF186" s="93" t="s">
        <v>111</v>
      </c>
      <c r="AG186" s="81" t="s">
        <v>168</v>
      </c>
      <c r="AH186" s="37" t="s">
        <v>168</v>
      </c>
      <c r="AI186" s="81" t="s">
        <v>154</v>
      </c>
      <c r="AJ186" s="81" t="s">
        <v>197</v>
      </c>
      <c r="AK186" s="81" t="s">
        <v>122</v>
      </c>
      <c r="AL186" s="37" t="s">
        <v>122</v>
      </c>
      <c r="AM186" s="37" t="s">
        <v>123</v>
      </c>
      <c r="AN186" s="37" t="s">
        <v>177</v>
      </c>
      <c r="AO186" s="81" t="s">
        <v>123</v>
      </c>
      <c r="AP186" s="37" t="s">
        <v>178</v>
      </c>
      <c r="AQ186" s="81" t="s">
        <v>124</v>
      </c>
      <c r="AR186" s="81" t="s">
        <v>110</v>
      </c>
      <c r="AS186" s="37" t="s">
        <v>110</v>
      </c>
      <c r="AT186" s="9" t="s">
        <v>115</v>
      </c>
      <c r="AU186" s="10" t="s">
        <v>119</v>
      </c>
      <c r="AV186" s="37" t="s">
        <v>111</v>
      </c>
      <c r="AW186" s="37" t="s">
        <v>111</v>
      </c>
      <c r="AX186" s="37" t="s">
        <v>120</v>
      </c>
      <c r="AY186" s="37" t="s">
        <v>120</v>
      </c>
      <c r="AZ186" s="81" t="s">
        <v>142</v>
      </c>
      <c r="BA186" s="81" t="s">
        <v>111</v>
      </c>
      <c r="BB186" s="81" t="s">
        <v>139</v>
      </c>
      <c r="BC186" s="81" t="s">
        <v>110</v>
      </c>
      <c r="BD186" s="93" t="s">
        <v>126</v>
      </c>
      <c r="BE186" s="81" t="s">
        <v>126</v>
      </c>
      <c r="BF186" s="81" t="s">
        <v>122</v>
      </c>
      <c r="BG186" s="37" t="s">
        <v>119</v>
      </c>
      <c r="BH186" s="81" t="s">
        <v>124</v>
      </c>
      <c r="BI186" s="37" t="s">
        <v>129</v>
      </c>
      <c r="BJ186" s="81" t="s">
        <v>119</v>
      </c>
      <c r="BK186" s="37" t="s">
        <v>177</v>
      </c>
      <c r="BL186" s="37" t="s">
        <v>126</v>
      </c>
      <c r="BM186" s="37" t="s">
        <v>209</v>
      </c>
      <c r="BN186" s="11" t="s">
        <v>119</v>
      </c>
      <c r="BO186" s="37" t="s">
        <v>110</v>
      </c>
      <c r="BP186" s="37" t="s">
        <v>120</v>
      </c>
      <c r="BQ186" s="37" t="s">
        <v>110</v>
      </c>
      <c r="BR186" s="37" t="s">
        <v>115</v>
      </c>
      <c r="BS186" s="81" t="s">
        <v>111</v>
      </c>
      <c r="BT186" s="37" t="s">
        <v>110</v>
      </c>
      <c r="BU186" s="37" t="s">
        <v>110</v>
      </c>
      <c r="BV186" s="37" t="s">
        <v>119</v>
      </c>
      <c r="BW186" s="37" t="s">
        <v>110</v>
      </c>
      <c r="BX186" s="37" t="s">
        <v>126</v>
      </c>
      <c r="BY186" s="81" t="s">
        <v>110</v>
      </c>
      <c r="BZ186" s="37" t="s">
        <v>129</v>
      </c>
      <c r="CA186" s="37" t="s">
        <v>110</v>
      </c>
      <c r="CB186" s="37" t="s">
        <v>110</v>
      </c>
      <c r="CC186" s="37" t="s">
        <v>119</v>
      </c>
      <c r="CD186" s="37" t="s">
        <v>110</v>
      </c>
      <c r="CE186" s="37" t="s">
        <v>110</v>
      </c>
      <c r="CF186" s="37" t="s">
        <v>119</v>
      </c>
      <c r="CG186" s="37" t="s">
        <v>129</v>
      </c>
      <c r="CH186" s="81" t="s">
        <v>119</v>
      </c>
      <c r="CI186" s="37" t="s">
        <v>119</v>
      </c>
      <c r="CJ186" s="37" t="s">
        <v>129</v>
      </c>
      <c r="CK186" s="37" t="s">
        <v>126</v>
      </c>
      <c r="CL186" s="37" t="s">
        <v>110</v>
      </c>
      <c r="CM186" s="37" t="s">
        <v>111</v>
      </c>
      <c r="CN186" s="42" t="s">
        <v>632</v>
      </c>
      <c r="CO186" t="s">
        <v>785</v>
      </c>
      <c r="CP186">
        <f>IFERROR(VLOOKUP(H186,'Lista Lideres'!$A$1:$B$350,2,0),0)</f>
        <v>0</v>
      </c>
    </row>
    <row r="187" spans="1:94" ht="13.8" hidden="1" x14ac:dyDescent="0.3">
      <c r="A187" s="39">
        <v>45560.531099837965</v>
      </c>
      <c r="B187" s="36" t="s">
        <v>252</v>
      </c>
      <c r="C187" s="36" t="s">
        <v>783</v>
      </c>
      <c r="D187" s="36" t="s">
        <v>93</v>
      </c>
      <c r="E187" s="36" t="s">
        <v>633</v>
      </c>
      <c r="F187" s="36" t="s">
        <v>96</v>
      </c>
      <c r="G187" s="36" t="s">
        <v>634</v>
      </c>
      <c r="H187" s="36" t="s">
        <v>635</v>
      </c>
      <c r="I187" s="36" t="s">
        <v>100</v>
      </c>
      <c r="J187" s="36" t="s">
        <v>101</v>
      </c>
      <c r="K187" s="36" t="s">
        <v>102</v>
      </c>
      <c r="L187" s="82" t="s">
        <v>135</v>
      </c>
      <c r="M187" s="8" t="s">
        <v>104</v>
      </c>
      <c r="N187" s="82" t="s">
        <v>388</v>
      </c>
      <c r="O187" s="82" t="s">
        <v>106</v>
      </c>
      <c r="P187" s="82" t="s">
        <v>107</v>
      </c>
      <c r="Q187" s="113" t="s">
        <v>108</v>
      </c>
      <c r="R187" s="36" t="s">
        <v>164</v>
      </c>
      <c r="S187" s="36" t="s">
        <v>120</v>
      </c>
      <c r="T187" s="36" t="s">
        <v>119</v>
      </c>
      <c r="U187" s="36" t="s">
        <v>119</v>
      </c>
      <c r="V187" s="82" t="s">
        <v>112</v>
      </c>
      <c r="W187" s="82" t="s">
        <v>113</v>
      </c>
      <c r="X187" s="113" t="s">
        <v>165</v>
      </c>
      <c r="Y187" s="36" t="s">
        <v>111</v>
      </c>
      <c r="Z187" s="36" t="s">
        <v>115</v>
      </c>
      <c r="AA187" s="36" t="s">
        <v>115</v>
      </c>
      <c r="AB187" s="36" t="s">
        <v>115</v>
      </c>
      <c r="AC187" s="82" t="s">
        <v>116</v>
      </c>
      <c r="AD187" s="82" t="s">
        <v>117</v>
      </c>
      <c r="AE187" s="82" t="s">
        <v>185</v>
      </c>
      <c r="AF187" s="94" t="s">
        <v>120</v>
      </c>
      <c r="AG187" s="82" t="s">
        <v>110</v>
      </c>
      <c r="AH187" s="36" t="s">
        <v>122</v>
      </c>
      <c r="AI187" s="82" t="s">
        <v>154</v>
      </c>
      <c r="AJ187" s="82" t="s">
        <v>121</v>
      </c>
      <c r="AK187" s="82" t="s">
        <v>121</v>
      </c>
      <c r="AL187" s="36" t="s">
        <v>177</v>
      </c>
      <c r="AM187" s="36" t="s">
        <v>177</v>
      </c>
      <c r="AN187" s="36" t="s">
        <v>177</v>
      </c>
      <c r="AO187" s="82" t="s">
        <v>123</v>
      </c>
      <c r="AP187" s="36" t="s">
        <v>123</v>
      </c>
      <c r="AQ187" s="82" t="s">
        <v>203</v>
      </c>
      <c r="AR187" s="82" t="s">
        <v>115</v>
      </c>
      <c r="AS187" s="36" t="s">
        <v>111</v>
      </c>
      <c r="AT187" s="16" t="s">
        <v>129</v>
      </c>
      <c r="AU187" s="17" t="s">
        <v>115</v>
      </c>
      <c r="AV187" s="36" t="s">
        <v>129</v>
      </c>
      <c r="AW187" s="36" t="s">
        <v>129</v>
      </c>
      <c r="AX187" s="36" t="s">
        <v>111</v>
      </c>
      <c r="AY187" s="36" t="s">
        <v>120</v>
      </c>
      <c r="AZ187" s="82" t="s">
        <v>214</v>
      </c>
      <c r="BA187" s="82" t="s">
        <v>120</v>
      </c>
      <c r="BB187" s="82" t="s">
        <v>139</v>
      </c>
      <c r="BC187" s="82" t="s">
        <v>120</v>
      </c>
      <c r="BD187" s="94" t="s">
        <v>124</v>
      </c>
      <c r="BE187" s="82" t="s">
        <v>140</v>
      </c>
      <c r="BF187" s="82" t="s">
        <v>121</v>
      </c>
      <c r="BG187" s="36" t="s">
        <v>119</v>
      </c>
      <c r="BH187" s="82" t="s">
        <v>125</v>
      </c>
      <c r="BI187" s="36" t="s">
        <v>111</v>
      </c>
      <c r="BJ187" s="82" t="s">
        <v>119</v>
      </c>
      <c r="BK187" s="36" t="s">
        <v>122</v>
      </c>
      <c r="BL187" s="36" t="s">
        <v>142</v>
      </c>
      <c r="BM187" s="36" t="s">
        <v>127</v>
      </c>
      <c r="BN187" s="18" t="s">
        <v>111</v>
      </c>
      <c r="BO187" s="36" t="s">
        <v>111</v>
      </c>
      <c r="BP187" s="36" t="s">
        <v>120</v>
      </c>
      <c r="BQ187" s="36" t="s">
        <v>110</v>
      </c>
      <c r="BR187" s="36" t="s">
        <v>119</v>
      </c>
      <c r="BS187" s="82" t="s">
        <v>115</v>
      </c>
      <c r="BT187" s="36" t="s">
        <v>119</v>
      </c>
      <c r="BU187" s="36" t="s">
        <v>110</v>
      </c>
      <c r="BV187" s="36" t="s">
        <v>111</v>
      </c>
      <c r="BW187" s="36" t="s">
        <v>178</v>
      </c>
      <c r="BX187" s="36" t="s">
        <v>124</v>
      </c>
      <c r="BY187" s="82" t="s">
        <v>115</v>
      </c>
      <c r="BZ187" s="36" t="s">
        <v>115</v>
      </c>
      <c r="CA187" s="36" t="s">
        <v>115</v>
      </c>
      <c r="CB187" s="36" t="s">
        <v>111</v>
      </c>
      <c r="CC187" s="36" t="s">
        <v>119</v>
      </c>
      <c r="CD187" s="36" t="s">
        <v>129</v>
      </c>
      <c r="CE187" s="36" t="s">
        <v>110</v>
      </c>
      <c r="CF187" s="36" t="s">
        <v>111</v>
      </c>
      <c r="CG187" s="36" t="s">
        <v>129</v>
      </c>
      <c r="CH187" s="82" t="s">
        <v>110</v>
      </c>
      <c r="CI187" s="36" t="s">
        <v>115</v>
      </c>
      <c r="CJ187" s="36" t="s">
        <v>129</v>
      </c>
      <c r="CK187" s="36" t="s">
        <v>124</v>
      </c>
      <c r="CL187" s="36" t="s">
        <v>110</v>
      </c>
      <c r="CM187" s="36" t="s">
        <v>120</v>
      </c>
      <c r="CN187" s="40" t="s">
        <v>636</v>
      </c>
      <c r="CO187" t="s">
        <v>786</v>
      </c>
      <c r="CP187">
        <f>IFERROR(VLOOKUP(H187,'Lista Lideres'!$A$1:$B$350,2,0),0)</f>
        <v>0</v>
      </c>
    </row>
    <row r="188" spans="1:94" ht="14.4" hidden="1" x14ac:dyDescent="0.3">
      <c r="A188" s="35">
        <v>45566.659560451386</v>
      </c>
      <c r="B188" s="36" t="s">
        <v>252</v>
      </c>
      <c r="C188" s="37" t="s">
        <v>783</v>
      </c>
      <c r="D188" s="37" t="s">
        <v>93</v>
      </c>
      <c r="E188" s="37" t="s">
        <v>637</v>
      </c>
      <c r="F188" s="37" t="s">
        <v>96</v>
      </c>
      <c r="G188" s="37" t="s">
        <v>638</v>
      </c>
      <c r="H188" s="37" t="s">
        <v>639</v>
      </c>
      <c r="I188" s="37" t="s">
        <v>100</v>
      </c>
      <c r="J188" s="37" t="s">
        <v>101</v>
      </c>
      <c r="K188" s="37" t="s">
        <v>102</v>
      </c>
      <c r="L188" s="81" t="s">
        <v>162</v>
      </c>
      <c r="M188" s="8" t="s">
        <v>104</v>
      </c>
      <c r="N188" s="81" t="s">
        <v>388</v>
      </c>
      <c r="O188" s="81" t="s">
        <v>106</v>
      </c>
      <c r="P188" s="81" t="s">
        <v>107</v>
      </c>
      <c r="Q188" s="112" t="s">
        <v>108</v>
      </c>
      <c r="R188" s="37" t="s">
        <v>109</v>
      </c>
      <c r="S188" s="37" t="s">
        <v>111</v>
      </c>
      <c r="T188" s="37" t="s">
        <v>115</v>
      </c>
      <c r="U188" s="37" t="s">
        <v>111</v>
      </c>
      <c r="V188" s="81" t="s">
        <v>112</v>
      </c>
      <c r="W188" s="81" t="s">
        <v>152</v>
      </c>
      <c r="X188" s="112" t="s">
        <v>114</v>
      </c>
      <c r="Y188" s="37" t="s">
        <v>111</v>
      </c>
      <c r="Z188" s="37" t="s">
        <v>111</v>
      </c>
      <c r="AA188" s="37" t="s">
        <v>111</v>
      </c>
      <c r="AB188" s="37" t="s">
        <v>111</v>
      </c>
      <c r="AC188" s="81" t="s">
        <v>111</v>
      </c>
      <c r="AD188" s="81" t="s">
        <v>137</v>
      </c>
      <c r="AE188" s="81" t="s">
        <v>118</v>
      </c>
      <c r="AF188" s="93" t="s">
        <v>120</v>
      </c>
      <c r="AG188" s="81" t="s">
        <v>119</v>
      </c>
      <c r="AH188" s="37" t="s">
        <v>177</v>
      </c>
      <c r="AI188" s="81" t="s">
        <v>177</v>
      </c>
      <c r="AJ188" s="81" t="s">
        <v>110</v>
      </c>
      <c r="AK188" s="81" t="s">
        <v>110</v>
      </c>
      <c r="AL188" s="37" t="s">
        <v>110</v>
      </c>
      <c r="AM188" s="37" t="s">
        <v>110</v>
      </c>
      <c r="AN188" s="37" t="s">
        <v>110</v>
      </c>
      <c r="AO188" s="81" t="s">
        <v>110</v>
      </c>
      <c r="AP188" s="37" t="s">
        <v>178</v>
      </c>
      <c r="AQ188" s="81" t="s">
        <v>126</v>
      </c>
      <c r="AR188" s="81" t="s">
        <v>119</v>
      </c>
      <c r="AS188" s="37" t="s">
        <v>111</v>
      </c>
      <c r="AT188" s="9" t="s">
        <v>129</v>
      </c>
      <c r="AU188" s="10" t="s">
        <v>111</v>
      </c>
      <c r="AV188" s="37" t="s">
        <v>119</v>
      </c>
      <c r="AW188" s="37" t="s">
        <v>129</v>
      </c>
      <c r="AX188" s="37" t="s">
        <v>119</v>
      </c>
      <c r="AY188" s="37" t="s">
        <v>111</v>
      </c>
      <c r="AZ188" s="81" t="s">
        <v>126</v>
      </c>
      <c r="BA188" s="81" t="s">
        <v>111</v>
      </c>
      <c r="BB188" s="81" t="s">
        <v>124</v>
      </c>
      <c r="BC188" s="81" t="s">
        <v>110</v>
      </c>
      <c r="BD188" s="93" t="s">
        <v>124</v>
      </c>
      <c r="BE188" s="81" t="s">
        <v>124</v>
      </c>
      <c r="BF188" s="81" t="s">
        <v>110</v>
      </c>
      <c r="BG188" s="37" t="s">
        <v>110</v>
      </c>
      <c r="BH188" s="81" t="s">
        <v>124</v>
      </c>
      <c r="BI188" s="37" t="s">
        <v>111</v>
      </c>
      <c r="BJ188" s="81" t="s">
        <v>110</v>
      </c>
      <c r="BK188" s="37" t="s">
        <v>110</v>
      </c>
      <c r="BL188" s="37" t="s">
        <v>126</v>
      </c>
      <c r="BM188" s="37" t="s">
        <v>110</v>
      </c>
      <c r="BN188" s="11" t="s">
        <v>111</v>
      </c>
      <c r="BO188" s="37" t="s">
        <v>111</v>
      </c>
      <c r="BP188" s="37" t="s">
        <v>120</v>
      </c>
      <c r="BQ188" s="37" t="s">
        <v>115</v>
      </c>
      <c r="BR188" s="37" t="s">
        <v>110</v>
      </c>
      <c r="BS188" s="81" t="s">
        <v>110</v>
      </c>
      <c r="BT188" s="37" t="s">
        <v>111</v>
      </c>
      <c r="BU188" s="37" t="s">
        <v>111</v>
      </c>
      <c r="BV188" s="37" t="s">
        <v>110</v>
      </c>
      <c r="BW188" s="37" t="s">
        <v>123</v>
      </c>
      <c r="BX188" s="37" t="s">
        <v>124</v>
      </c>
      <c r="BY188" s="81" t="s">
        <v>111</v>
      </c>
      <c r="BZ188" s="37" t="s">
        <v>115</v>
      </c>
      <c r="CA188" s="37" t="s">
        <v>111</v>
      </c>
      <c r="CB188" s="37" t="s">
        <v>110</v>
      </c>
      <c r="CC188" s="37" t="s">
        <v>110</v>
      </c>
      <c r="CD188" s="37" t="s">
        <v>119</v>
      </c>
      <c r="CE188" s="37" t="s">
        <v>127</v>
      </c>
      <c r="CF188" s="37" t="s">
        <v>111</v>
      </c>
      <c r="CG188" s="37" t="s">
        <v>110</v>
      </c>
      <c r="CH188" s="81" t="s">
        <v>110</v>
      </c>
      <c r="CI188" s="37" t="s">
        <v>115</v>
      </c>
      <c r="CJ188" s="37" t="s">
        <v>119</v>
      </c>
      <c r="CK188" s="37" t="s">
        <v>126</v>
      </c>
      <c r="CL188" s="37" t="s">
        <v>111</v>
      </c>
      <c r="CM188" s="37" t="s">
        <v>110</v>
      </c>
      <c r="CN188" s="41"/>
      <c r="CO188" t="s">
        <v>786</v>
      </c>
      <c r="CP188">
        <f>IFERROR(VLOOKUP(H188,'Lista Lideres'!$A$1:$B$350,2,0),0)</f>
        <v>0</v>
      </c>
    </row>
    <row r="189" spans="1:94" ht="14.4" hidden="1" x14ac:dyDescent="0.3">
      <c r="A189" s="39">
        <v>45560.589231817125</v>
      </c>
      <c r="B189" s="36" t="s">
        <v>252</v>
      </c>
      <c r="C189" s="36" t="s">
        <v>783</v>
      </c>
      <c r="D189" s="36" t="s">
        <v>93</v>
      </c>
      <c r="E189" s="36" t="s">
        <v>640</v>
      </c>
      <c r="F189" s="36" t="s">
        <v>97</v>
      </c>
      <c r="G189" s="36" t="s">
        <v>641</v>
      </c>
      <c r="H189" s="36" t="s">
        <v>642</v>
      </c>
      <c r="I189" s="36" t="s">
        <v>100</v>
      </c>
      <c r="J189" s="36" t="s">
        <v>183</v>
      </c>
      <c r="K189" s="36" t="s">
        <v>174</v>
      </c>
      <c r="L189" s="82" t="s">
        <v>162</v>
      </c>
      <c r="M189" s="8" t="s">
        <v>104</v>
      </c>
      <c r="N189" s="82" t="s">
        <v>388</v>
      </c>
      <c r="O189" s="82" t="s">
        <v>106</v>
      </c>
      <c r="P189" s="82" t="s">
        <v>107</v>
      </c>
      <c r="Q189" s="113" t="s">
        <v>163</v>
      </c>
      <c r="R189" s="36" t="s">
        <v>109</v>
      </c>
      <c r="S189" s="36" t="s">
        <v>110</v>
      </c>
      <c r="T189" s="36" t="s">
        <v>110</v>
      </c>
      <c r="U189" s="36" t="s">
        <v>111</v>
      </c>
      <c r="V189" s="82" t="s">
        <v>126</v>
      </c>
      <c r="W189" s="82" t="s">
        <v>113</v>
      </c>
      <c r="X189" s="113" t="s">
        <v>153</v>
      </c>
      <c r="Y189" s="36" t="s">
        <v>111</v>
      </c>
      <c r="Z189" s="36" t="s">
        <v>115</v>
      </c>
      <c r="AA189" s="36" t="s">
        <v>111</v>
      </c>
      <c r="AB189" s="36" t="s">
        <v>111</v>
      </c>
      <c r="AC189" s="82" t="s">
        <v>116</v>
      </c>
      <c r="AD189" s="82" t="s">
        <v>137</v>
      </c>
      <c r="AE189" s="82" t="s">
        <v>118</v>
      </c>
      <c r="AF189" s="94" t="s">
        <v>111</v>
      </c>
      <c r="AG189" s="82" t="s">
        <v>110</v>
      </c>
      <c r="AH189" s="36" t="s">
        <v>128</v>
      </c>
      <c r="AI189" s="82" t="s">
        <v>121</v>
      </c>
      <c r="AJ189" s="82" t="s">
        <v>121</v>
      </c>
      <c r="AK189" s="82" t="s">
        <v>121</v>
      </c>
      <c r="AL189" s="36" t="s">
        <v>110</v>
      </c>
      <c r="AM189" s="36" t="s">
        <v>110</v>
      </c>
      <c r="AN189" s="36" t="s">
        <v>110</v>
      </c>
      <c r="AO189" s="82" t="s">
        <v>128</v>
      </c>
      <c r="AP189" s="36" t="s">
        <v>128</v>
      </c>
      <c r="AQ189" s="82" t="s">
        <v>126</v>
      </c>
      <c r="AR189" s="82" t="s">
        <v>110</v>
      </c>
      <c r="AS189" s="36" t="s">
        <v>110</v>
      </c>
      <c r="AT189" s="16" t="s">
        <v>119</v>
      </c>
      <c r="AU189" s="17" t="s">
        <v>111</v>
      </c>
      <c r="AV189" s="36" t="s">
        <v>119</v>
      </c>
      <c r="AW189" s="36" t="s">
        <v>119</v>
      </c>
      <c r="AX189" s="36" t="s">
        <v>110</v>
      </c>
      <c r="AY189" s="36" t="s">
        <v>120</v>
      </c>
      <c r="AZ189" s="82" t="s">
        <v>125</v>
      </c>
      <c r="BA189" s="82" t="s">
        <v>111</v>
      </c>
      <c r="BB189" s="82" t="s">
        <v>142</v>
      </c>
      <c r="BC189" s="82" t="s">
        <v>119</v>
      </c>
      <c r="BD189" s="94" t="s">
        <v>124</v>
      </c>
      <c r="BE189" s="82" t="s">
        <v>126</v>
      </c>
      <c r="BF189" s="82" t="s">
        <v>128</v>
      </c>
      <c r="BG189" s="36" t="s">
        <v>110</v>
      </c>
      <c r="BH189" s="82" t="s">
        <v>142</v>
      </c>
      <c r="BI189" s="36" t="s">
        <v>120</v>
      </c>
      <c r="BJ189" s="82" t="s">
        <v>119</v>
      </c>
      <c r="BK189" s="36" t="s">
        <v>128</v>
      </c>
      <c r="BL189" s="36" t="s">
        <v>125</v>
      </c>
      <c r="BM189" s="36" t="s">
        <v>110</v>
      </c>
      <c r="BN189" s="18" t="s">
        <v>119</v>
      </c>
      <c r="BO189" s="36" t="s">
        <v>111</v>
      </c>
      <c r="BP189" s="36" t="s">
        <v>111</v>
      </c>
      <c r="BQ189" s="36" t="s">
        <v>111</v>
      </c>
      <c r="BR189" s="36" t="s">
        <v>115</v>
      </c>
      <c r="BS189" s="82" t="s">
        <v>111</v>
      </c>
      <c r="BT189" s="36" t="s">
        <v>111</v>
      </c>
      <c r="BU189" s="36" t="s">
        <v>111</v>
      </c>
      <c r="BV189" s="36" t="s">
        <v>119</v>
      </c>
      <c r="BW189" s="36" t="s">
        <v>110</v>
      </c>
      <c r="BX189" s="36" t="s">
        <v>124</v>
      </c>
      <c r="BY189" s="82" t="s">
        <v>111</v>
      </c>
      <c r="BZ189" s="36" t="s">
        <v>115</v>
      </c>
      <c r="CA189" s="36" t="s">
        <v>110</v>
      </c>
      <c r="CB189" s="36" t="s">
        <v>115</v>
      </c>
      <c r="CC189" s="36" t="s">
        <v>115</v>
      </c>
      <c r="CD189" s="36" t="s">
        <v>115</v>
      </c>
      <c r="CE189" s="36" t="s">
        <v>127</v>
      </c>
      <c r="CF189" s="36" t="s">
        <v>119</v>
      </c>
      <c r="CG189" s="36" t="s">
        <v>119</v>
      </c>
      <c r="CH189" s="82" t="s">
        <v>110</v>
      </c>
      <c r="CI189" s="36" t="s">
        <v>111</v>
      </c>
      <c r="CJ189" s="36" t="s">
        <v>119</v>
      </c>
      <c r="CK189" s="36" t="s">
        <v>126</v>
      </c>
      <c r="CL189" s="36" t="s">
        <v>110</v>
      </c>
      <c r="CM189" s="36" t="s">
        <v>110</v>
      </c>
      <c r="CN189" s="45"/>
      <c r="CO189" t="s">
        <v>786</v>
      </c>
      <c r="CP189">
        <f>IFERROR(VLOOKUP(H189,'Lista Lideres'!$A$1:$B$350,2,0),0)</f>
        <v>0</v>
      </c>
    </row>
    <row r="190" spans="1:94" ht="14.4" hidden="1" x14ac:dyDescent="0.3">
      <c r="A190" s="52">
        <v>45574.968735208335</v>
      </c>
      <c r="B190" s="47" t="s">
        <v>181</v>
      </c>
      <c r="C190" s="53" t="s">
        <v>783</v>
      </c>
      <c r="D190" s="53" t="s">
        <v>131</v>
      </c>
      <c r="E190" s="53" t="s">
        <v>643</v>
      </c>
      <c r="F190" s="53" t="s">
        <v>171</v>
      </c>
      <c r="G190" s="53" t="s">
        <v>644</v>
      </c>
      <c r="H190" s="53" t="s">
        <v>645</v>
      </c>
      <c r="I190" s="53" t="s">
        <v>149</v>
      </c>
      <c r="J190" s="53" t="s">
        <v>196</v>
      </c>
      <c r="K190" s="53" t="s">
        <v>102</v>
      </c>
      <c r="L190" s="84" t="s">
        <v>103</v>
      </c>
      <c r="M190" s="8" t="s">
        <v>104</v>
      </c>
      <c r="N190" s="84" t="s">
        <v>388</v>
      </c>
      <c r="O190" s="84" t="s">
        <v>106</v>
      </c>
      <c r="P190" s="84" t="s">
        <v>107</v>
      </c>
      <c r="Q190" s="115" t="s">
        <v>163</v>
      </c>
      <c r="R190" s="53" t="s">
        <v>176</v>
      </c>
      <c r="S190" s="53" t="s">
        <v>110</v>
      </c>
      <c r="T190" s="53" t="s">
        <v>110</v>
      </c>
      <c r="U190" s="53" t="s">
        <v>110</v>
      </c>
      <c r="V190" s="84" t="s">
        <v>112</v>
      </c>
      <c r="W190" s="84" t="s">
        <v>113</v>
      </c>
      <c r="X190" s="115" t="s">
        <v>153</v>
      </c>
      <c r="Y190" s="53" t="s">
        <v>111</v>
      </c>
      <c r="Z190" s="53" t="s">
        <v>111</v>
      </c>
      <c r="AA190" s="53" t="s">
        <v>111</v>
      </c>
      <c r="AB190" s="53" t="s">
        <v>110</v>
      </c>
      <c r="AC190" s="84" t="s">
        <v>119</v>
      </c>
      <c r="AD190" s="84" t="s">
        <v>166</v>
      </c>
      <c r="AE190" s="84" t="s">
        <v>118</v>
      </c>
      <c r="AF190" s="96" t="s">
        <v>111</v>
      </c>
      <c r="AG190" s="84" t="s">
        <v>129</v>
      </c>
      <c r="AH190" s="53" t="s">
        <v>128</v>
      </c>
      <c r="AI190" s="84" t="s">
        <v>110</v>
      </c>
      <c r="AJ190" s="84" t="s">
        <v>110</v>
      </c>
      <c r="AK190" s="84" t="s">
        <v>121</v>
      </c>
      <c r="AL190" s="53" t="s">
        <v>110</v>
      </c>
      <c r="AM190" s="53" t="s">
        <v>110</v>
      </c>
      <c r="AN190" s="53" t="s">
        <v>123</v>
      </c>
      <c r="AO190" s="84" t="s">
        <v>123</v>
      </c>
      <c r="AP190" s="53" t="s">
        <v>110</v>
      </c>
      <c r="AQ190" s="84" t="s">
        <v>126</v>
      </c>
      <c r="AR190" s="84" t="s">
        <v>110</v>
      </c>
      <c r="AS190" s="53" t="s">
        <v>110</v>
      </c>
      <c r="AT190" s="9" t="s">
        <v>129</v>
      </c>
      <c r="AU190" s="10" t="s">
        <v>110</v>
      </c>
      <c r="AV190" s="53" t="s">
        <v>119</v>
      </c>
      <c r="AW190" s="53" t="s">
        <v>129</v>
      </c>
      <c r="AX190" s="53" t="s">
        <v>110</v>
      </c>
      <c r="AY190" s="53" t="s">
        <v>120</v>
      </c>
      <c r="AZ190" s="84" t="s">
        <v>126</v>
      </c>
      <c r="BA190" s="84" t="s">
        <v>120</v>
      </c>
      <c r="BB190" s="84" t="s">
        <v>126</v>
      </c>
      <c r="BC190" s="84" t="s">
        <v>111</v>
      </c>
      <c r="BD190" s="96" t="s">
        <v>126</v>
      </c>
      <c r="BE190" s="84" t="s">
        <v>126</v>
      </c>
      <c r="BF190" s="84" t="s">
        <v>110</v>
      </c>
      <c r="BG190" s="53" t="s">
        <v>110</v>
      </c>
      <c r="BH190" s="84" t="s">
        <v>124</v>
      </c>
      <c r="BI190" s="53" t="s">
        <v>111</v>
      </c>
      <c r="BJ190" s="84" t="s">
        <v>110</v>
      </c>
      <c r="BK190" s="53" t="s">
        <v>110</v>
      </c>
      <c r="BL190" s="53" t="s">
        <v>126</v>
      </c>
      <c r="BM190" s="53" t="s">
        <v>110</v>
      </c>
      <c r="BN190" s="11" t="s">
        <v>111</v>
      </c>
      <c r="BO190" s="53" t="s">
        <v>119</v>
      </c>
      <c r="BP190" s="53" t="s">
        <v>111</v>
      </c>
      <c r="BQ190" s="53" t="s">
        <v>110</v>
      </c>
      <c r="BR190" s="53" t="s">
        <v>110</v>
      </c>
      <c r="BS190" s="84" t="s">
        <v>110</v>
      </c>
      <c r="BT190" s="53" t="s">
        <v>111</v>
      </c>
      <c r="BU190" s="53" t="s">
        <v>111</v>
      </c>
      <c r="BV190" s="53" t="s">
        <v>110</v>
      </c>
      <c r="BW190" s="53" t="s">
        <v>110</v>
      </c>
      <c r="BX190" s="53" t="s">
        <v>124</v>
      </c>
      <c r="BY190" s="84" t="s">
        <v>110</v>
      </c>
      <c r="BZ190" s="53" t="s">
        <v>115</v>
      </c>
      <c r="CA190" s="53" t="s">
        <v>111</v>
      </c>
      <c r="CB190" s="53" t="s">
        <v>119</v>
      </c>
      <c r="CC190" s="53" t="s">
        <v>110</v>
      </c>
      <c r="CD190" s="53" t="s">
        <v>110</v>
      </c>
      <c r="CE190" s="53" t="s">
        <v>127</v>
      </c>
      <c r="CF190" s="53" t="s">
        <v>110</v>
      </c>
      <c r="CG190" s="53" t="s">
        <v>119</v>
      </c>
      <c r="CH190" s="84" t="s">
        <v>110</v>
      </c>
      <c r="CI190" s="53" t="s">
        <v>115</v>
      </c>
      <c r="CJ190" s="53" t="s">
        <v>129</v>
      </c>
      <c r="CK190" s="53" t="s">
        <v>126</v>
      </c>
      <c r="CL190" s="53" t="s">
        <v>111</v>
      </c>
      <c r="CM190" s="53" t="s">
        <v>111</v>
      </c>
      <c r="CN190" s="49"/>
      <c r="CO190" t="s">
        <v>785</v>
      </c>
      <c r="CP190">
        <f>IFERROR(VLOOKUP(H190,'Lista Lideres'!$A$1:$B$350,2,0),0)</f>
        <v>1</v>
      </c>
    </row>
    <row r="191" spans="1:94" ht="14.4" hidden="1" x14ac:dyDescent="0.3">
      <c r="A191" s="46">
        <v>45562.080151574075</v>
      </c>
      <c r="B191" s="47" t="s">
        <v>181</v>
      </c>
      <c r="C191" s="47" t="s">
        <v>783</v>
      </c>
      <c r="D191" s="47" t="s">
        <v>93</v>
      </c>
      <c r="E191" s="47" t="s">
        <v>193</v>
      </c>
      <c r="F191" s="47" t="s">
        <v>96</v>
      </c>
      <c r="G191" s="47" t="s">
        <v>646</v>
      </c>
      <c r="H191" s="47" t="s">
        <v>647</v>
      </c>
      <c r="I191" s="47" t="s">
        <v>100</v>
      </c>
      <c r="J191" s="47" t="s">
        <v>173</v>
      </c>
      <c r="K191" s="47" t="s">
        <v>174</v>
      </c>
      <c r="L191" s="83" t="s">
        <v>103</v>
      </c>
      <c r="M191" s="8" t="s">
        <v>104</v>
      </c>
      <c r="N191" s="83" t="s">
        <v>388</v>
      </c>
      <c r="O191" s="83" t="s">
        <v>106</v>
      </c>
      <c r="P191" s="83" t="s">
        <v>175</v>
      </c>
      <c r="Q191" s="114" t="s">
        <v>163</v>
      </c>
      <c r="R191" s="47" t="s">
        <v>314</v>
      </c>
      <c r="S191" s="47" t="s">
        <v>111</v>
      </c>
      <c r="T191" s="47" t="s">
        <v>111</v>
      </c>
      <c r="U191" s="47" t="s">
        <v>111</v>
      </c>
      <c r="V191" s="83" t="s">
        <v>136</v>
      </c>
      <c r="W191" s="83" t="s">
        <v>113</v>
      </c>
      <c r="X191" s="114" t="s">
        <v>114</v>
      </c>
      <c r="Y191" s="47" t="s">
        <v>111</v>
      </c>
      <c r="Z191" s="47" t="s">
        <v>168</v>
      </c>
      <c r="AA191" s="47" t="s">
        <v>168</v>
      </c>
      <c r="AB191" s="47" t="s">
        <v>110</v>
      </c>
      <c r="AC191" s="83" t="s">
        <v>110</v>
      </c>
      <c r="AD191" s="83" t="s">
        <v>117</v>
      </c>
      <c r="AE191" s="83" t="s">
        <v>118</v>
      </c>
      <c r="AF191" s="95" t="s">
        <v>111</v>
      </c>
      <c r="AG191" s="83" t="s">
        <v>120</v>
      </c>
      <c r="AH191" s="47" t="s">
        <v>128</v>
      </c>
      <c r="AI191" s="83" t="s">
        <v>122</v>
      </c>
      <c r="AJ191" s="83" t="s">
        <v>128</v>
      </c>
      <c r="AK191" s="83" t="s">
        <v>128</v>
      </c>
      <c r="AL191" s="47" t="s">
        <v>128</v>
      </c>
      <c r="AM191" s="47" t="s">
        <v>123</v>
      </c>
      <c r="AN191" s="47" t="s">
        <v>177</v>
      </c>
      <c r="AO191" s="83" t="s">
        <v>110</v>
      </c>
      <c r="AP191" s="47" t="s">
        <v>128</v>
      </c>
      <c r="AQ191" s="83" t="s">
        <v>203</v>
      </c>
      <c r="AR191" s="83" t="s">
        <v>115</v>
      </c>
      <c r="AS191" s="47" t="s">
        <v>111</v>
      </c>
      <c r="AT191" s="16" t="s">
        <v>110</v>
      </c>
      <c r="AU191" s="17" t="s">
        <v>111</v>
      </c>
      <c r="AV191" s="47" t="s">
        <v>110</v>
      </c>
      <c r="AW191" s="47" t="s">
        <v>110</v>
      </c>
      <c r="AX191" s="47" t="s">
        <v>111</v>
      </c>
      <c r="AY191" s="47" t="s">
        <v>120</v>
      </c>
      <c r="AZ191" s="83" t="s">
        <v>124</v>
      </c>
      <c r="BA191" s="83" t="s">
        <v>111</v>
      </c>
      <c r="BB191" s="83" t="s">
        <v>139</v>
      </c>
      <c r="BC191" s="83" t="s">
        <v>120</v>
      </c>
      <c r="BD191" s="95" t="s">
        <v>125</v>
      </c>
      <c r="BE191" s="83" t="s">
        <v>126</v>
      </c>
      <c r="BF191" s="83" t="s">
        <v>110</v>
      </c>
      <c r="BG191" s="47" t="s">
        <v>111</v>
      </c>
      <c r="BH191" s="83" t="s">
        <v>214</v>
      </c>
      <c r="BI191" s="47" t="s">
        <v>111</v>
      </c>
      <c r="BJ191" s="83" t="s">
        <v>119</v>
      </c>
      <c r="BK191" s="47" t="s">
        <v>122</v>
      </c>
      <c r="BL191" s="47" t="s">
        <v>126</v>
      </c>
      <c r="BM191" s="47" t="s">
        <v>186</v>
      </c>
      <c r="BN191" s="18" t="s">
        <v>111</v>
      </c>
      <c r="BO191" s="47" t="s">
        <v>111</v>
      </c>
      <c r="BP191" s="47" t="s">
        <v>111</v>
      </c>
      <c r="BQ191" s="47" t="s">
        <v>111</v>
      </c>
      <c r="BR191" s="47" t="s">
        <v>111</v>
      </c>
      <c r="BS191" s="83" t="s">
        <v>111</v>
      </c>
      <c r="BT191" s="47" t="s">
        <v>115</v>
      </c>
      <c r="BU191" s="47" t="s">
        <v>119</v>
      </c>
      <c r="BV191" s="47" t="s">
        <v>111</v>
      </c>
      <c r="BW191" s="47" t="s">
        <v>128</v>
      </c>
      <c r="BX191" s="47" t="s">
        <v>126</v>
      </c>
      <c r="BY191" s="83" t="s">
        <v>111</v>
      </c>
      <c r="BZ191" s="47" t="s">
        <v>111</v>
      </c>
      <c r="CA191" s="47" t="s">
        <v>111</v>
      </c>
      <c r="CB191" s="47" t="s">
        <v>119</v>
      </c>
      <c r="CC191" s="47" t="s">
        <v>119</v>
      </c>
      <c r="CD191" s="47" t="s">
        <v>111</v>
      </c>
      <c r="CE191" s="47" t="s">
        <v>209</v>
      </c>
      <c r="CF191" s="47" t="s">
        <v>111</v>
      </c>
      <c r="CG191" s="47" t="s">
        <v>129</v>
      </c>
      <c r="CH191" s="83" t="s">
        <v>129</v>
      </c>
      <c r="CI191" s="47" t="s">
        <v>111</v>
      </c>
      <c r="CJ191" s="47" t="s">
        <v>129</v>
      </c>
      <c r="CK191" s="47" t="s">
        <v>142</v>
      </c>
      <c r="CL191" s="47" t="s">
        <v>129</v>
      </c>
      <c r="CM191" s="47" t="s">
        <v>120</v>
      </c>
      <c r="CN191" s="51"/>
      <c r="CO191" t="s">
        <v>786</v>
      </c>
      <c r="CP191">
        <f>IFERROR(VLOOKUP(H191,'Lista Lideres'!$A$1:$B$350,2,0),0)</f>
        <v>0</v>
      </c>
    </row>
    <row r="192" spans="1:94" ht="13.8" hidden="1" x14ac:dyDescent="0.3">
      <c r="A192" s="52">
        <v>45563.034129085645</v>
      </c>
      <c r="B192" s="47" t="s">
        <v>181</v>
      </c>
      <c r="C192" s="53" t="s">
        <v>783</v>
      </c>
      <c r="D192" s="53" t="s">
        <v>131</v>
      </c>
      <c r="E192" s="53" t="s">
        <v>648</v>
      </c>
      <c r="F192" s="53" t="s">
        <v>96</v>
      </c>
      <c r="G192" s="53" t="s">
        <v>649</v>
      </c>
      <c r="H192" s="53" t="s">
        <v>650</v>
      </c>
      <c r="I192" s="53" t="s">
        <v>149</v>
      </c>
      <c r="J192" s="53" t="s">
        <v>173</v>
      </c>
      <c r="K192" s="53" t="s">
        <v>102</v>
      </c>
      <c r="L192" s="84" t="s">
        <v>103</v>
      </c>
      <c r="M192" s="8" t="s">
        <v>104</v>
      </c>
      <c r="N192" s="84" t="s">
        <v>388</v>
      </c>
      <c r="O192" s="84" t="s">
        <v>106</v>
      </c>
      <c r="P192" s="84" t="s">
        <v>107</v>
      </c>
      <c r="Q192" s="115" t="s">
        <v>163</v>
      </c>
      <c r="R192" s="53" t="s">
        <v>164</v>
      </c>
      <c r="S192" s="53" t="s">
        <v>119</v>
      </c>
      <c r="T192" s="53" t="s">
        <v>119</v>
      </c>
      <c r="U192" s="53" t="s">
        <v>110</v>
      </c>
      <c r="V192" s="84" t="s">
        <v>112</v>
      </c>
      <c r="W192" s="84" t="s">
        <v>113</v>
      </c>
      <c r="X192" s="115" t="s">
        <v>153</v>
      </c>
      <c r="Y192" s="53" t="s">
        <v>111</v>
      </c>
      <c r="Z192" s="53" t="s">
        <v>111</v>
      </c>
      <c r="AA192" s="53" t="s">
        <v>110</v>
      </c>
      <c r="AB192" s="53" t="s">
        <v>115</v>
      </c>
      <c r="AC192" s="84" t="s">
        <v>111</v>
      </c>
      <c r="AD192" s="84" t="s">
        <v>137</v>
      </c>
      <c r="AE192" s="84" t="s">
        <v>138</v>
      </c>
      <c r="AF192" s="96" t="s">
        <v>119</v>
      </c>
      <c r="AG192" s="84" t="s">
        <v>168</v>
      </c>
      <c r="AH192" s="53" t="s">
        <v>122</v>
      </c>
      <c r="AI192" s="84" t="s">
        <v>110</v>
      </c>
      <c r="AJ192" s="84" t="s">
        <v>110</v>
      </c>
      <c r="AK192" s="84" t="s">
        <v>110</v>
      </c>
      <c r="AL192" s="53" t="s">
        <v>110</v>
      </c>
      <c r="AM192" s="53" t="s">
        <v>123</v>
      </c>
      <c r="AN192" s="53" t="s">
        <v>110</v>
      </c>
      <c r="AO192" s="84" t="s">
        <v>123</v>
      </c>
      <c r="AP192" s="53" t="s">
        <v>110</v>
      </c>
      <c r="AQ192" s="84" t="s">
        <v>124</v>
      </c>
      <c r="AR192" s="84" t="s">
        <v>110</v>
      </c>
      <c r="AS192" s="53" t="s">
        <v>119</v>
      </c>
      <c r="AT192" s="9" t="s">
        <v>129</v>
      </c>
      <c r="AU192" s="10" t="s">
        <v>110</v>
      </c>
      <c r="AV192" s="53" t="s">
        <v>119</v>
      </c>
      <c r="AW192" s="53" t="s">
        <v>119</v>
      </c>
      <c r="AX192" s="53" t="s">
        <v>119</v>
      </c>
      <c r="AY192" s="53" t="s">
        <v>120</v>
      </c>
      <c r="AZ192" s="84" t="s">
        <v>126</v>
      </c>
      <c r="BA192" s="84" t="s">
        <v>110</v>
      </c>
      <c r="BB192" s="84" t="s">
        <v>126</v>
      </c>
      <c r="BC192" s="84" t="s">
        <v>111</v>
      </c>
      <c r="BD192" s="96" t="s">
        <v>124</v>
      </c>
      <c r="BE192" s="84" t="s">
        <v>126</v>
      </c>
      <c r="BF192" s="84" t="s">
        <v>128</v>
      </c>
      <c r="BG192" s="53" t="s">
        <v>119</v>
      </c>
      <c r="BH192" s="84" t="s">
        <v>142</v>
      </c>
      <c r="BI192" s="53" t="s">
        <v>120</v>
      </c>
      <c r="BJ192" s="84" t="s">
        <v>111</v>
      </c>
      <c r="BK192" s="53" t="s">
        <v>128</v>
      </c>
      <c r="BL192" s="53" t="s">
        <v>126</v>
      </c>
      <c r="BM192" s="53" t="s">
        <v>110</v>
      </c>
      <c r="BN192" s="11" t="s">
        <v>111</v>
      </c>
      <c r="BO192" s="53" t="s">
        <v>111</v>
      </c>
      <c r="BP192" s="53" t="s">
        <v>120</v>
      </c>
      <c r="BQ192" s="53" t="s">
        <v>110</v>
      </c>
      <c r="BR192" s="53" t="s">
        <v>119</v>
      </c>
      <c r="BS192" s="84" t="s">
        <v>111</v>
      </c>
      <c r="BT192" s="53" t="s">
        <v>111</v>
      </c>
      <c r="BU192" s="53" t="s">
        <v>111</v>
      </c>
      <c r="BV192" s="53" t="s">
        <v>111</v>
      </c>
      <c r="BW192" s="53" t="s">
        <v>110</v>
      </c>
      <c r="BX192" s="53" t="s">
        <v>126</v>
      </c>
      <c r="BY192" s="84" t="s">
        <v>111</v>
      </c>
      <c r="BZ192" s="53" t="s">
        <v>119</v>
      </c>
      <c r="CA192" s="53" t="s">
        <v>119</v>
      </c>
      <c r="CB192" s="53" t="s">
        <v>111</v>
      </c>
      <c r="CC192" s="53" t="s">
        <v>110</v>
      </c>
      <c r="CD192" s="53" t="s">
        <v>110</v>
      </c>
      <c r="CE192" s="53" t="s">
        <v>127</v>
      </c>
      <c r="CF192" s="53" t="s">
        <v>110</v>
      </c>
      <c r="CG192" s="53" t="s">
        <v>119</v>
      </c>
      <c r="CH192" s="84" t="s">
        <v>110</v>
      </c>
      <c r="CI192" s="53" t="s">
        <v>111</v>
      </c>
      <c r="CJ192" s="53" t="s">
        <v>119</v>
      </c>
      <c r="CK192" s="53" t="s">
        <v>125</v>
      </c>
      <c r="CL192" s="53" t="s">
        <v>110</v>
      </c>
      <c r="CM192" s="53" t="s">
        <v>111</v>
      </c>
      <c r="CN192" s="50" t="s">
        <v>651</v>
      </c>
      <c r="CO192" t="s">
        <v>785</v>
      </c>
      <c r="CP192">
        <f>IFERROR(VLOOKUP(H192,'Lista Lideres'!$A$1:$B$350,2,0),0)</f>
        <v>1</v>
      </c>
    </row>
    <row r="193" spans="1:94" ht="13.8" hidden="1" x14ac:dyDescent="0.3">
      <c r="A193" s="46">
        <v>45561.878470497686</v>
      </c>
      <c r="B193" s="47" t="s">
        <v>181</v>
      </c>
      <c r="C193" s="47" t="s">
        <v>783</v>
      </c>
      <c r="D193" s="47" t="s">
        <v>93</v>
      </c>
      <c r="E193" s="47" t="s">
        <v>236</v>
      </c>
      <c r="F193" s="47" t="s">
        <v>97</v>
      </c>
      <c r="G193" s="47" t="s">
        <v>652</v>
      </c>
      <c r="H193" s="47" t="s">
        <v>612</v>
      </c>
      <c r="I193" s="47" t="s">
        <v>149</v>
      </c>
      <c r="J193" s="47" t="s">
        <v>101</v>
      </c>
      <c r="K193" s="47" t="s">
        <v>174</v>
      </c>
      <c r="L193" s="83" t="s">
        <v>213</v>
      </c>
      <c r="M193" s="8" t="s">
        <v>104</v>
      </c>
      <c r="N193" s="83" t="s">
        <v>388</v>
      </c>
      <c r="O193" s="83" t="s">
        <v>106</v>
      </c>
      <c r="P193" s="83" t="s">
        <v>107</v>
      </c>
      <c r="Q193" s="114" t="s">
        <v>108</v>
      </c>
      <c r="R193" s="47" t="s">
        <v>176</v>
      </c>
      <c r="S193" s="47" t="s">
        <v>110</v>
      </c>
      <c r="T193" s="47" t="s">
        <v>119</v>
      </c>
      <c r="U193" s="47" t="s">
        <v>119</v>
      </c>
      <c r="V193" s="83" t="s">
        <v>126</v>
      </c>
      <c r="W193" s="83" t="s">
        <v>113</v>
      </c>
      <c r="X193" s="114" t="s">
        <v>165</v>
      </c>
      <c r="Y193" s="47" t="s">
        <v>110</v>
      </c>
      <c r="Z193" s="47" t="s">
        <v>110</v>
      </c>
      <c r="AA193" s="47" t="s">
        <v>110</v>
      </c>
      <c r="AB193" s="47" t="s">
        <v>119</v>
      </c>
      <c r="AC193" s="83" t="s">
        <v>110</v>
      </c>
      <c r="AD193" s="83" t="s">
        <v>166</v>
      </c>
      <c r="AE193" s="83" t="s">
        <v>138</v>
      </c>
      <c r="AF193" s="95" t="s">
        <v>110</v>
      </c>
      <c r="AG193" s="83" t="s">
        <v>119</v>
      </c>
      <c r="AH193" s="47" t="s">
        <v>110</v>
      </c>
      <c r="AI193" s="83" t="s">
        <v>110</v>
      </c>
      <c r="AJ193" s="83" t="s">
        <v>110</v>
      </c>
      <c r="AK193" s="83" t="s">
        <v>110</v>
      </c>
      <c r="AL193" s="47" t="s">
        <v>110</v>
      </c>
      <c r="AM193" s="47" t="s">
        <v>123</v>
      </c>
      <c r="AN193" s="47" t="s">
        <v>110</v>
      </c>
      <c r="AO193" s="83" t="s">
        <v>110</v>
      </c>
      <c r="AP193" s="47" t="s">
        <v>128</v>
      </c>
      <c r="AQ193" s="83" t="s">
        <v>126</v>
      </c>
      <c r="AR193" s="83" t="s">
        <v>110</v>
      </c>
      <c r="AS193" s="47" t="s">
        <v>110</v>
      </c>
      <c r="AT193" s="16" t="s">
        <v>129</v>
      </c>
      <c r="AU193" s="17" t="s">
        <v>110</v>
      </c>
      <c r="AV193" s="47" t="s">
        <v>129</v>
      </c>
      <c r="AW193" s="47" t="s">
        <v>129</v>
      </c>
      <c r="AX193" s="47" t="s">
        <v>110</v>
      </c>
      <c r="AY193" s="47" t="s">
        <v>120</v>
      </c>
      <c r="AZ193" s="83" t="s">
        <v>126</v>
      </c>
      <c r="BA193" s="83" t="s">
        <v>110</v>
      </c>
      <c r="BB193" s="83" t="s">
        <v>126</v>
      </c>
      <c r="BC193" s="83" t="s">
        <v>110</v>
      </c>
      <c r="BD193" s="95" t="s">
        <v>124</v>
      </c>
      <c r="BE193" s="83" t="s">
        <v>140</v>
      </c>
      <c r="BF193" s="83" t="s">
        <v>110</v>
      </c>
      <c r="BG193" s="47" t="s">
        <v>129</v>
      </c>
      <c r="BH193" s="83" t="s">
        <v>124</v>
      </c>
      <c r="BI193" s="47" t="s">
        <v>119</v>
      </c>
      <c r="BJ193" s="83" t="s">
        <v>110</v>
      </c>
      <c r="BK193" s="47" t="s">
        <v>110</v>
      </c>
      <c r="BL193" s="47" t="s">
        <v>126</v>
      </c>
      <c r="BM193" s="47" t="s">
        <v>110</v>
      </c>
      <c r="BN193" s="18" t="s">
        <v>110</v>
      </c>
      <c r="BO193" s="47" t="s">
        <v>119</v>
      </c>
      <c r="BP193" s="47" t="s">
        <v>120</v>
      </c>
      <c r="BQ193" s="47" t="s">
        <v>110</v>
      </c>
      <c r="BR193" s="47" t="s">
        <v>111</v>
      </c>
      <c r="BS193" s="83" t="s">
        <v>110</v>
      </c>
      <c r="BT193" s="47" t="s">
        <v>110</v>
      </c>
      <c r="BU193" s="47" t="s">
        <v>110</v>
      </c>
      <c r="BV193" s="47" t="s">
        <v>110</v>
      </c>
      <c r="BW193" s="47" t="s">
        <v>110</v>
      </c>
      <c r="BX193" s="47" t="s">
        <v>125</v>
      </c>
      <c r="BY193" s="83" t="s">
        <v>110</v>
      </c>
      <c r="BZ193" s="47" t="s">
        <v>111</v>
      </c>
      <c r="CA193" s="47" t="s">
        <v>110</v>
      </c>
      <c r="CB193" s="47" t="s">
        <v>111</v>
      </c>
      <c r="CC193" s="47" t="s">
        <v>110</v>
      </c>
      <c r="CD193" s="47" t="s">
        <v>111</v>
      </c>
      <c r="CE193" s="47" t="s">
        <v>127</v>
      </c>
      <c r="CF193" s="47" t="s">
        <v>111</v>
      </c>
      <c r="CG193" s="47" t="s">
        <v>129</v>
      </c>
      <c r="CH193" s="83" t="s">
        <v>110</v>
      </c>
      <c r="CI193" s="47" t="s">
        <v>115</v>
      </c>
      <c r="CJ193" s="47" t="s">
        <v>129</v>
      </c>
      <c r="CK193" s="47" t="s">
        <v>125</v>
      </c>
      <c r="CL193" s="47" t="s">
        <v>110</v>
      </c>
      <c r="CM193" s="47" t="s">
        <v>110</v>
      </c>
      <c r="CN193" s="50" t="s">
        <v>653</v>
      </c>
      <c r="CO193" t="s">
        <v>785</v>
      </c>
      <c r="CP193">
        <f>IFERROR(VLOOKUP(H193,'Lista Lideres'!$A$1:$B$350,2,0),0)</f>
        <v>0</v>
      </c>
    </row>
    <row r="194" spans="1:94" ht="13.8" hidden="1" x14ac:dyDescent="0.3">
      <c r="A194" s="52">
        <v>45562.85537365741</v>
      </c>
      <c r="B194" s="47" t="s">
        <v>181</v>
      </c>
      <c r="C194" s="53" t="s">
        <v>783</v>
      </c>
      <c r="D194" s="53" t="s">
        <v>93</v>
      </c>
      <c r="E194" s="53" t="s">
        <v>304</v>
      </c>
      <c r="F194" s="53" t="s">
        <v>97</v>
      </c>
      <c r="G194" s="53" t="s">
        <v>654</v>
      </c>
      <c r="H194" s="53" t="s">
        <v>280</v>
      </c>
      <c r="I194" s="53" t="s">
        <v>100</v>
      </c>
      <c r="J194" s="53" t="s">
        <v>196</v>
      </c>
      <c r="K194" s="53" t="s">
        <v>102</v>
      </c>
      <c r="L194" s="84" t="s">
        <v>103</v>
      </c>
      <c r="M194" s="8" t="s">
        <v>104</v>
      </c>
      <c r="N194" s="84" t="s">
        <v>388</v>
      </c>
      <c r="O194" s="84" t="s">
        <v>106</v>
      </c>
      <c r="P194" s="84" t="s">
        <v>107</v>
      </c>
      <c r="Q194" s="115" t="s">
        <v>108</v>
      </c>
      <c r="R194" s="53" t="s">
        <v>164</v>
      </c>
      <c r="S194" s="53" t="s">
        <v>110</v>
      </c>
      <c r="T194" s="53" t="s">
        <v>119</v>
      </c>
      <c r="U194" s="53" t="s">
        <v>111</v>
      </c>
      <c r="V194" s="84" t="s">
        <v>136</v>
      </c>
      <c r="W194" s="84" t="s">
        <v>113</v>
      </c>
      <c r="X194" s="115" t="s">
        <v>165</v>
      </c>
      <c r="Y194" s="53" t="s">
        <v>115</v>
      </c>
      <c r="Z194" s="53" t="s">
        <v>111</v>
      </c>
      <c r="AA194" s="53" t="s">
        <v>168</v>
      </c>
      <c r="AB194" s="53" t="s">
        <v>115</v>
      </c>
      <c r="AC194" s="84" t="s">
        <v>110</v>
      </c>
      <c r="AD194" s="84" t="s">
        <v>137</v>
      </c>
      <c r="AE194" s="84" t="s">
        <v>167</v>
      </c>
      <c r="AF194" s="96" t="s">
        <v>110</v>
      </c>
      <c r="AG194" s="84" t="s">
        <v>168</v>
      </c>
      <c r="AH194" s="53" t="s">
        <v>110</v>
      </c>
      <c r="AI194" s="84" t="s">
        <v>110</v>
      </c>
      <c r="AJ194" s="84" t="s">
        <v>122</v>
      </c>
      <c r="AK194" s="84" t="s">
        <v>122</v>
      </c>
      <c r="AL194" s="53" t="s">
        <v>122</v>
      </c>
      <c r="AM194" s="53" t="s">
        <v>110</v>
      </c>
      <c r="AN194" s="53" t="s">
        <v>110</v>
      </c>
      <c r="AO194" s="84" t="s">
        <v>110</v>
      </c>
      <c r="AP194" s="53" t="s">
        <v>110</v>
      </c>
      <c r="AQ194" s="84" t="s">
        <v>126</v>
      </c>
      <c r="AR194" s="84" t="s">
        <v>111</v>
      </c>
      <c r="AS194" s="53" t="s">
        <v>115</v>
      </c>
      <c r="AT194" s="9" t="s">
        <v>129</v>
      </c>
      <c r="AU194" s="10" t="s">
        <v>110</v>
      </c>
      <c r="AV194" s="53" t="s">
        <v>119</v>
      </c>
      <c r="AW194" s="53" t="s">
        <v>119</v>
      </c>
      <c r="AX194" s="53" t="s">
        <v>110</v>
      </c>
      <c r="AY194" s="53" t="s">
        <v>120</v>
      </c>
      <c r="AZ194" s="84" t="s">
        <v>126</v>
      </c>
      <c r="BA194" s="84" t="s">
        <v>110</v>
      </c>
      <c r="BB194" s="84" t="s">
        <v>214</v>
      </c>
      <c r="BC194" s="84" t="s">
        <v>120</v>
      </c>
      <c r="BD194" s="96" t="s">
        <v>126</v>
      </c>
      <c r="BE194" s="84" t="s">
        <v>126</v>
      </c>
      <c r="BF194" s="84" t="s">
        <v>110</v>
      </c>
      <c r="BG194" s="53" t="s">
        <v>110</v>
      </c>
      <c r="BH194" s="84" t="s">
        <v>142</v>
      </c>
      <c r="BI194" s="53" t="s">
        <v>120</v>
      </c>
      <c r="BJ194" s="84" t="s">
        <v>111</v>
      </c>
      <c r="BK194" s="53" t="s">
        <v>110</v>
      </c>
      <c r="BL194" s="53" t="s">
        <v>125</v>
      </c>
      <c r="BM194" s="53" t="s">
        <v>110</v>
      </c>
      <c r="BN194" s="11" t="s">
        <v>111</v>
      </c>
      <c r="BO194" s="53" t="s">
        <v>115</v>
      </c>
      <c r="BP194" s="53" t="s">
        <v>120</v>
      </c>
      <c r="BQ194" s="53" t="s">
        <v>115</v>
      </c>
      <c r="BR194" s="53" t="s">
        <v>115</v>
      </c>
      <c r="BS194" s="84" t="s">
        <v>115</v>
      </c>
      <c r="BT194" s="53" t="s">
        <v>115</v>
      </c>
      <c r="BU194" s="53" t="s">
        <v>115</v>
      </c>
      <c r="BV194" s="53" t="s">
        <v>110</v>
      </c>
      <c r="BW194" s="53" t="s">
        <v>128</v>
      </c>
      <c r="BX194" s="53" t="s">
        <v>125</v>
      </c>
      <c r="BY194" s="84" t="s">
        <v>115</v>
      </c>
      <c r="BZ194" s="53" t="s">
        <v>115</v>
      </c>
      <c r="CA194" s="53" t="s">
        <v>110</v>
      </c>
      <c r="CB194" s="53" t="s">
        <v>129</v>
      </c>
      <c r="CC194" s="53" t="s">
        <v>119</v>
      </c>
      <c r="CD194" s="53" t="s">
        <v>111</v>
      </c>
      <c r="CE194" s="53" t="s">
        <v>209</v>
      </c>
      <c r="CF194" s="53" t="s">
        <v>119</v>
      </c>
      <c r="CG194" s="53" t="s">
        <v>119</v>
      </c>
      <c r="CH194" s="84" t="s">
        <v>111</v>
      </c>
      <c r="CI194" s="53" t="s">
        <v>115</v>
      </c>
      <c r="CJ194" s="53" t="s">
        <v>129</v>
      </c>
      <c r="CK194" s="53" t="s">
        <v>125</v>
      </c>
      <c r="CL194" s="53" t="s">
        <v>119</v>
      </c>
      <c r="CM194" s="53" t="s">
        <v>120</v>
      </c>
      <c r="CN194" s="57" t="s">
        <v>655</v>
      </c>
      <c r="CO194" t="s">
        <v>786</v>
      </c>
      <c r="CP194">
        <f>IFERROR(VLOOKUP(H194,'Lista Lideres'!$A$1:$B$350,2,0),0)</f>
        <v>1</v>
      </c>
    </row>
    <row r="195" spans="1:94" ht="14.4" hidden="1" x14ac:dyDescent="0.3">
      <c r="A195" s="46">
        <v>45567.796747928238</v>
      </c>
      <c r="B195" s="47" t="s">
        <v>181</v>
      </c>
      <c r="C195" s="47" t="s">
        <v>783</v>
      </c>
      <c r="D195" s="47" t="s">
        <v>131</v>
      </c>
      <c r="E195" s="47" t="s">
        <v>304</v>
      </c>
      <c r="F195" s="47" t="s">
        <v>97</v>
      </c>
      <c r="G195" s="47" t="s">
        <v>656</v>
      </c>
      <c r="H195" s="47" t="s">
        <v>657</v>
      </c>
      <c r="I195" s="47" t="s">
        <v>149</v>
      </c>
      <c r="J195" s="47" t="s">
        <v>183</v>
      </c>
      <c r="K195" s="47" t="s">
        <v>191</v>
      </c>
      <c r="L195" s="83" t="s">
        <v>150</v>
      </c>
      <c r="M195" s="8" t="s">
        <v>104</v>
      </c>
      <c r="N195" s="83" t="s">
        <v>388</v>
      </c>
      <c r="O195" s="83" t="s">
        <v>282</v>
      </c>
      <c r="P195" s="83" t="s">
        <v>264</v>
      </c>
      <c r="Q195" s="114" t="s">
        <v>151</v>
      </c>
      <c r="R195" s="47" t="s">
        <v>176</v>
      </c>
      <c r="S195" s="47" t="s">
        <v>110</v>
      </c>
      <c r="T195" s="47" t="s">
        <v>110</v>
      </c>
      <c r="U195" s="47" t="s">
        <v>119</v>
      </c>
      <c r="V195" s="83" t="s">
        <v>126</v>
      </c>
      <c r="W195" s="83" t="s">
        <v>363</v>
      </c>
      <c r="X195" s="114" t="s">
        <v>114</v>
      </c>
      <c r="Y195" s="47" t="s">
        <v>111</v>
      </c>
      <c r="Z195" s="47" t="s">
        <v>115</v>
      </c>
      <c r="AA195" s="47" t="s">
        <v>111</v>
      </c>
      <c r="AB195" s="47" t="s">
        <v>110</v>
      </c>
      <c r="AC195" s="83" t="s">
        <v>110</v>
      </c>
      <c r="AD195" s="83" t="s">
        <v>166</v>
      </c>
      <c r="AE195" s="83" t="s">
        <v>118</v>
      </c>
      <c r="AF195" s="95" t="s">
        <v>110</v>
      </c>
      <c r="AG195" s="83" t="s">
        <v>119</v>
      </c>
      <c r="AH195" s="47" t="s">
        <v>128</v>
      </c>
      <c r="AI195" s="83" t="s">
        <v>154</v>
      </c>
      <c r="AJ195" s="83" t="s">
        <v>197</v>
      </c>
      <c r="AK195" s="83" t="s">
        <v>225</v>
      </c>
      <c r="AL195" s="47" t="s">
        <v>128</v>
      </c>
      <c r="AM195" s="47" t="s">
        <v>110</v>
      </c>
      <c r="AN195" s="47" t="s">
        <v>110</v>
      </c>
      <c r="AO195" s="83" t="s">
        <v>123</v>
      </c>
      <c r="AP195" s="47" t="s">
        <v>110</v>
      </c>
      <c r="AQ195" s="83" t="s">
        <v>126</v>
      </c>
      <c r="AR195" s="83" t="s">
        <v>110</v>
      </c>
      <c r="AS195" s="47" t="s">
        <v>110</v>
      </c>
      <c r="AT195" s="16" t="s">
        <v>119</v>
      </c>
      <c r="AU195" s="17" t="s">
        <v>111</v>
      </c>
      <c r="AV195" s="47" t="s">
        <v>119</v>
      </c>
      <c r="AW195" s="47" t="s">
        <v>119</v>
      </c>
      <c r="AX195" s="47" t="s">
        <v>119</v>
      </c>
      <c r="AY195" s="47" t="s">
        <v>111</v>
      </c>
      <c r="AZ195" s="83" t="s">
        <v>126</v>
      </c>
      <c r="BA195" s="83" t="s">
        <v>110</v>
      </c>
      <c r="BB195" s="83" t="s">
        <v>139</v>
      </c>
      <c r="BC195" s="83" t="s">
        <v>110</v>
      </c>
      <c r="BD195" s="95" t="s">
        <v>125</v>
      </c>
      <c r="BE195" s="83" t="s">
        <v>140</v>
      </c>
      <c r="BF195" s="83" t="s">
        <v>141</v>
      </c>
      <c r="BG195" s="47" t="s">
        <v>110</v>
      </c>
      <c r="BH195" s="83" t="s">
        <v>124</v>
      </c>
      <c r="BI195" s="47" t="s">
        <v>119</v>
      </c>
      <c r="BJ195" s="83" t="s">
        <v>110</v>
      </c>
      <c r="BK195" s="47" t="s">
        <v>110</v>
      </c>
      <c r="BL195" s="47" t="s">
        <v>126</v>
      </c>
      <c r="BM195" s="47" t="s">
        <v>110</v>
      </c>
      <c r="BN195" s="18" t="s">
        <v>110</v>
      </c>
      <c r="BO195" s="47" t="s">
        <v>110</v>
      </c>
      <c r="BP195" s="47" t="s">
        <v>111</v>
      </c>
      <c r="BQ195" s="47" t="s">
        <v>111</v>
      </c>
      <c r="BR195" s="47" t="s">
        <v>119</v>
      </c>
      <c r="BS195" s="83" t="s">
        <v>110</v>
      </c>
      <c r="BT195" s="47" t="s">
        <v>111</v>
      </c>
      <c r="BU195" s="47" t="s">
        <v>119</v>
      </c>
      <c r="BV195" s="47" t="s">
        <v>110</v>
      </c>
      <c r="BW195" s="47" t="s">
        <v>110</v>
      </c>
      <c r="BX195" s="47" t="s">
        <v>126</v>
      </c>
      <c r="BY195" s="83" t="s">
        <v>110</v>
      </c>
      <c r="BZ195" s="47" t="s">
        <v>111</v>
      </c>
      <c r="CA195" s="47" t="s">
        <v>111</v>
      </c>
      <c r="CB195" s="47" t="s">
        <v>110</v>
      </c>
      <c r="CC195" s="47" t="s">
        <v>119</v>
      </c>
      <c r="CD195" s="47" t="s">
        <v>110</v>
      </c>
      <c r="CE195" s="47" t="s">
        <v>127</v>
      </c>
      <c r="CF195" s="47" t="s">
        <v>110</v>
      </c>
      <c r="CG195" s="47" t="s">
        <v>110</v>
      </c>
      <c r="CH195" s="83" t="s">
        <v>110</v>
      </c>
      <c r="CI195" s="47" t="s">
        <v>111</v>
      </c>
      <c r="CJ195" s="47" t="s">
        <v>119</v>
      </c>
      <c r="CK195" s="47" t="s">
        <v>125</v>
      </c>
      <c r="CL195" s="47" t="s">
        <v>110</v>
      </c>
      <c r="CM195" s="47" t="s">
        <v>111</v>
      </c>
      <c r="CN195" s="51"/>
      <c r="CO195" t="s">
        <v>785</v>
      </c>
      <c r="CP195">
        <f>IFERROR(VLOOKUP(H195,'Lista Lideres'!$A$1:$B$350,2,0),0)</f>
        <v>0</v>
      </c>
    </row>
    <row r="196" spans="1:94" ht="13.8" hidden="1" x14ac:dyDescent="0.3">
      <c r="A196" s="52">
        <v>45563.954852071758</v>
      </c>
      <c r="B196" s="47" t="s">
        <v>181</v>
      </c>
      <c r="C196" s="53" t="s">
        <v>783</v>
      </c>
      <c r="D196" s="53" t="s">
        <v>93</v>
      </c>
      <c r="E196" s="53" t="s">
        <v>236</v>
      </c>
      <c r="F196" s="53" t="s">
        <v>97</v>
      </c>
      <c r="G196" s="53" t="s">
        <v>658</v>
      </c>
      <c r="H196" s="53" t="s">
        <v>659</v>
      </c>
      <c r="I196" s="53" t="s">
        <v>161</v>
      </c>
      <c r="J196" s="53" t="s">
        <v>173</v>
      </c>
      <c r="K196" s="53" t="s">
        <v>174</v>
      </c>
      <c r="L196" s="84" t="s">
        <v>213</v>
      </c>
      <c r="M196" s="8" t="s">
        <v>104</v>
      </c>
      <c r="N196" s="84" t="s">
        <v>388</v>
      </c>
      <c r="O196" s="84" t="s">
        <v>106</v>
      </c>
      <c r="P196" s="84" t="s">
        <v>264</v>
      </c>
      <c r="Q196" s="115" t="s">
        <v>108</v>
      </c>
      <c r="R196" s="53" t="s">
        <v>109</v>
      </c>
      <c r="S196" s="53" t="s">
        <v>110</v>
      </c>
      <c r="T196" s="53" t="s">
        <v>119</v>
      </c>
      <c r="U196" s="53" t="s">
        <v>119</v>
      </c>
      <c r="V196" s="84" t="s">
        <v>136</v>
      </c>
      <c r="W196" s="84" t="s">
        <v>113</v>
      </c>
      <c r="X196" s="115" t="s">
        <v>114</v>
      </c>
      <c r="Y196" s="53" t="s">
        <v>110</v>
      </c>
      <c r="Z196" s="53" t="s">
        <v>168</v>
      </c>
      <c r="AA196" s="53" t="s">
        <v>110</v>
      </c>
      <c r="AB196" s="53" t="s">
        <v>129</v>
      </c>
      <c r="AC196" s="84" t="s">
        <v>110</v>
      </c>
      <c r="AD196" s="84" t="s">
        <v>221</v>
      </c>
      <c r="AE196" s="84" t="s">
        <v>138</v>
      </c>
      <c r="AF196" s="96" t="s">
        <v>119</v>
      </c>
      <c r="AG196" s="84" t="s">
        <v>168</v>
      </c>
      <c r="AH196" s="53" t="s">
        <v>110</v>
      </c>
      <c r="AI196" s="84" t="s">
        <v>121</v>
      </c>
      <c r="AJ196" s="84" t="s">
        <v>197</v>
      </c>
      <c r="AK196" s="84" t="s">
        <v>121</v>
      </c>
      <c r="AL196" s="53" t="s">
        <v>110</v>
      </c>
      <c r="AM196" s="53" t="s">
        <v>110</v>
      </c>
      <c r="AN196" s="53" t="s">
        <v>123</v>
      </c>
      <c r="AO196" s="84" t="s">
        <v>110</v>
      </c>
      <c r="AP196" s="53" t="s">
        <v>178</v>
      </c>
      <c r="AQ196" s="84" t="s">
        <v>125</v>
      </c>
      <c r="AR196" s="84" t="s">
        <v>111</v>
      </c>
      <c r="AS196" s="53" t="s">
        <v>111</v>
      </c>
      <c r="AT196" s="9" t="s">
        <v>129</v>
      </c>
      <c r="AU196" s="10" t="s">
        <v>110</v>
      </c>
      <c r="AV196" s="53" t="s">
        <v>110</v>
      </c>
      <c r="AW196" s="53" t="s">
        <v>119</v>
      </c>
      <c r="AX196" s="53" t="s">
        <v>119</v>
      </c>
      <c r="AY196" s="53" t="s">
        <v>120</v>
      </c>
      <c r="AZ196" s="84" t="s">
        <v>124</v>
      </c>
      <c r="BA196" s="84" t="s">
        <v>120</v>
      </c>
      <c r="BB196" s="84" t="s">
        <v>124</v>
      </c>
      <c r="BC196" s="84" t="s">
        <v>111</v>
      </c>
      <c r="BD196" s="96" t="s">
        <v>125</v>
      </c>
      <c r="BE196" s="84" t="s">
        <v>140</v>
      </c>
      <c r="BF196" s="84" t="s">
        <v>141</v>
      </c>
      <c r="BG196" s="53" t="s">
        <v>111</v>
      </c>
      <c r="BH196" s="84" t="s">
        <v>214</v>
      </c>
      <c r="BI196" s="53" t="s">
        <v>111</v>
      </c>
      <c r="BJ196" s="84" t="s">
        <v>110</v>
      </c>
      <c r="BK196" s="53" t="s">
        <v>122</v>
      </c>
      <c r="BL196" s="53" t="s">
        <v>126</v>
      </c>
      <c r="BM196" s="53" t="s">
        <v>110</v>
      </c>
      <c r="BN196" s="11" t="s">
        <v>119</v>
      </c>
      <c r="BO196" s="53" t="s">
        <v>119</v>
      </c>
      <c r="BP196" s="53" t="s">
        <v>120</v>
      </c>
      <c r="BQ196" s="53" t="s">
        <v>111</v>
      </c>
      <c r="BR196" s="53" t="s">
        <v>111</v>
      </c>
      <c r="BS196" s="84" t="s">
        <v>110</v>
      </c>
      <c r="BT196" s="53" t="s">
        <v>111</v>
      </c>
      <c r="BU196" s="53" t="s">
        <v>110</v>
      </c>
      <c r="BV196" s="53" t="s">
        <v>111</v>
      </c>
      <c r="BW196" s="53" t="s">
        <v>128</v>
      </c>
      <c r="BX196" s="53" t="s">
        <v>126</v>
      </c>
      <c r="BY196" s="84" t="s">
        <v>110</v>
      </c>
      <c r="BZ196" s="53" t="s">
        <v>115</v>
      </c>
      <c r="CA196" s="53" t="s">
        <v>111</v>
      </c>
      <c r="CB196" s="53" t="s">
        <v>129</v>
      </c>
      <c r="CC196" s="53" t="s">
        <v>119</v>
      </c>
      <c r="CD196" s="53" t="s">
        <v>111</v>
      </c>
      <c r="CE196" s="53" t="s">
        <v>127</v>
      </c>
      <c r="CF196" s="53" t="s">
        <v>119</v>
      </c>
      <c r="CG196" s="53" t="s">
        <v>129</v>
      </c>
      <c r="CH196" s="84" t="s">
        <v>110</v>
      </c>
      <c r="CI196" s="53" t="s">
        <v>115</v>
      </c>
      <c r="CJ196" s="53" t="s">
        <v>119</v>
      </c>
      <c r="CK196" s="53" t="s">
        <v>126</v>
      </c>
      <c r="CL196" s="53" t="s">
        <v>110</v>
      </c>
      <c r="CM196" s="53" t="s">
        <v>111</v>
      </c>
      <c r="CN196" s="50" t="s">
        <v>660</v>
      </c>
      <c r="CO196" t="s">
        <v>785</v>
      </c>
      <c r="CP196">
        <f>IFERROR(VLOOKUP(H196,'Lista Lideres'!$A$1:$B$350,2,0),0)</f>
        <v>0</v>
      </c>
    </row>
    <row r="197" spans="1:94" ht="14.4" hidden="1" x14ac:dyDescent="0.3">
      <c r="A197" s="46">
        <v>45568.157545497685</v>
      </c>
      <c r="B197" s="47" t="s">
        <v>181</v>
      </c>
      <c r="C197" s="47" t="s">
        <v>783</v>
      </c>
      <c r="D197" s="47" t="s">
        <v>93</v>
      </c>
      <c r="E197" s="47" t="s">
        <v>204</v>
      </c>
      <c r="F197" s="47" t="s">
        <v>97</v>
      </c>
      <c r="G197" s="47" t="s">
        <v>661</v>
      </c>
      <c r="H197" s="47" t="s">
        <v>662</v>
      </c>
      <c r="I197" s="47" t="s">
        <v>100</v>
      </c>
      <c r="J197" s="47" t="s">
        <v>183</v>
      </c>
      <c r="K197" s="47" t="s">
        <v>174</v>
      </c>
      <c r="L197" s="83" t="s">
        <v>103</v>
      </c>
      <c r="M197" s="8" t="s">
        <v>104</v>
      </c>
      <c r="N197" s="83" t="s">
        <v>388</v>
      </c>
      <c r="O197" s="83" t="s">
        <v>106</v>
      </c>
      <c r="P197" s="83" t="s">
        <v>175</v>
      </c>
      <c r="Q197" s="114" t="s">
        <v>163</v>
      </c>
      <c r="R197" s="47" t="s">
        <v>164</v>
      </c>
      <c r="S197" s="47" t="s">
        <v>111</v>
      </c>
      <c r="T197" s="47" t="s">
        <v>115</v>
      </c>
      <c r="U197" s="47" t="s">
        <v>115</v>
      </c>
      <c r="V197" s="83" t="s">
        <v>126</v>
      </c>
      <c r="W197" s="83" t="s">
        <v>113</v>
      </c>
      <c r="X197" s="114" t="s">
        <v>153</v>
      </c>
      <c r="Y197" s="47" t="s">
        <v>111</v>
      </c>
      <c r="Z197" s="47" t="s">
        <v>115</v>
      </c>
      <c r="AA197" s="47" t="s">
        <v>115</v>
      </c>
      <c r="AB197" s="47" t="s">
        <v>110</v>
      </c>
      <c r="AC197" s="83" t="s">
        <v>111</v>
      </c>
      <c r="AD197" s="83" t="s">
        <v>137</v>
      </c>
      <c r="AE197" s="83" t="s">
        <v>138</v>
      </c>
      <c r="AF197" s="95" t="s">
        <v>120</v>
      </c>
      <c r="AG197" s="83" t="s">
        <v>119</v>
      </c>
      <c r="AH197" s="47" t="s">
        <v>122</v>
      </c>
      <c r="AI197" s="83" t="s">
        <v>110</v>
      </c>
      <c r="AJ197" s="83" t="s">
        <v>122</v>
      </c>
      <c r="AK197" s="83" t="s">
        <v>128</v>
      </c>
      <c r="AL197" s="47" t="s">
        <v>110</v>
      </c>
      <c r="AM197" s="47" t="s">
        <v>123</v>
      </c>
      <c r="AN197" s="47" t="s">
        <v>128</v>
      </c>
      <c r="AO197" s="83" t="s">
        <v>128</v>
      </c>
      <c r="AP197" s="47" t="s">
        <v>110</v>
      </c>
      <c r="AQ197" s="83" t="s">
        <v>124</v>
      </c>
      <c r="AR197" s="83" t="s">
        <v>110</v>
      </c>
      <c r="AS197" s="47" t="s">
        <v>111</v>
      </c>
      <c r="AT197" s="16" t="s">
        <v>119</v>
      </c>
      <c r="AU197" s="17" t="s">
        <v>111</v>
      </c>
      <c r="AV197" s="47" t="s">
        <v>119</v>
      </c>
      <c r="AW197" s="47" t="s">
        <v>119</v>
      </c>
      <c r="AX197" s="47" t="s">
        <v>110</v>
      </c>
      <c r="AY197" s="47" t="s">
        <v>120</v>
      </c>
      <c r="AZ197" s="83" t="s">
        <v>125</v>
      </c>
      <c r="BA197" s="83" t="s">
        <v>110</v>
      </c>
      <c r="BB197" s="83" t="s">
        <v>139</v>
      </c>
      <c r="BC197" s="83" t="s">
        <v>111</v>
      </c>
      <c r="BD197" s="95" t="s">
        <v>125</v>
      </c>
      <c r="BE197" s="83" t="s">
        <v>140</v>
      </c>
      <c r="BF197" s="83" t="s">
        <v>110</v>
      </c>
      <c r="BG197" s="47" t="s">
        <v>110</v>
      </c>
      <c r="BH197" s="83" t="s">
        <v>125</v>
      </c>
      <c r="BI197" s="47" t="s">
        <v>111</v>
      </c>
      <c r="BJ197" s="83" t="s">
        <v>111</v>
      </c>
      <c r="BK197" s="47" t="s">
        <v>128</v>
      </c>
      <c r="BL197" s="47" t="s">
        <v>126</v>
      </c>
      <c r="BM197" s="47" t="s">
        <v>110</v>
      </c>
      <c r="BN197" s="18" t="s">
        <v>111</v>
      </c>
      <c r="BO197" s="47" t="s">
        <v>111</v>
      </c>
      <c r="BP197" s="47" t="s">
        <v>120</v>
      </c>
      <c r="BQ197" s="47" t="s">
        <v>110</v>
      </c>
      <c r="BR197" s="47" t="s">
        <v>115</v>
      </c>
      <c r="BS197" s="83" t="s">
        <v>111</v>
      </c>
      <c r="BT197" s="47" t="s">
        <v>115</v>
      </c>
      <c r="BU197" s="47" t="s">
        <v>111</v>
      </c>
      <c r="BV197" s="47" t="s">
        <v>119</v>
      </c>
      <c r="BW197" s="47" t="s">
        <v>110</v>
      </c>
      <c r="BX197" s="47" t="s">
        <v>124</v>
      </c>
      <c r="BY197" s="83" t="s">
        <v>111</v>
      </c>
      <c r="BZ197" s="47" t="s">
        <v>115</v>
      </c>
      <c r="CA197" s="47" t="s">
        <v>110</v>
      </c>
      <c r="CB197" s="47" t="s">
        <v>119</v>
      </c>
      <c r="CC197" s="47" t="s">
        <v>110</v>
      </c>
      <c r="CD197" s="47" t="s">
        <v>110</v>
      </c>
      <c r="CE197" s="47" t="s">
        <v>127</v>
      </c>
      <c r="CF197" s="47" t="s">
        <v>111</v>
      </c>
      <c r="CG197" s="47" t="s">
        <v>110</v>
      </c>
      <c r="CH197" s="83" t="s">
        <v>110</v>
      </c>
      <c r="CI197" s="47" t="s">
        <v>111</v>
      </c>
      <c r="CJ197" s="47" t="s">
        <v>129</v>
      </c>
      <c r="CK197" s="47" t="s">
        <v>125</v>
      </c>
      <c r="CL197" s="47" t="s">
        <v>111</v>
      </c>
      <c r="CM197" s="47" t="s">
        <v>120</v>
      </c>
      <c r="CN197" s="51"/>
      <c r="CO197" t="s">
        <v>786</v>
      </c>
      <c r="CP197">
        <f>IFERROR(VLOOKUP(H197,'Lista Lideres'!$A$1:$B$350,2,0),0)</f>
        <v>0</v>
      </c>
    </row>
    <row r="198" spans="1:94" ht="14.4" hidden="1" x14ac:dyDescent="0.3">
      <c r="A198" s="52">
        <v>45567.942513113427</v>
      </c>
      <c r="B198" s="47" t="s">
        <v>181</v>
      </c>
      <c r="C198" s="53" t="s">
        <v>783</v>
      </c>
      <c r="D198" s="53" t="s">
        <v>93</v>
      </c>
      <c r="E198" s="53" t="s">
        <v>219</v>
      </c>
      <c r="F198" s="53" t="s">
        <v>97</v>
      </c>
      <c r="G198" s="53" t="s">
        <v>663</v>
      </c>
      <c r="H198" s="53" t="s">
        <v>664</v>
      </c>
      <c r="I198" s="53" t="s">
        <v>161</v>
      </c>
      <c r="J198" s="53" t="s">
        <v>196</v>
      </c>
      <c r="K198" s="53" t="s">
        <v>174</v>
      </c>
      <c r="L198" s="84" t="s">
        <v>162</v>
      </c>
      <c r="M198" s="8" t="s">
        <v>104</v>
      </c>
      <c r="N198" s="84" t="s">
        <v>388</v>
      </c>
      <c r="O198" s="84" t="s">
        <v>106</v>
      </c>
      <c r="P198" s="84" t="s">
        <v>175</v>
      </c>
      <c r="Q198" s="115" t="s">
        <v>108</v>
      </c>
      <c r="R198" s="53" t="s">
        <v>164</v>
      </c>
      <c r="S198" s="53" t="s">
        <v>110</v>
      </c>
      <c r="T198" s="53" t="s">
        <v>110</v>
      </c>
      <c r="U198" s="53" t="s">
        <v>111</v>
      </c>
      <c r="V198" s="84" t="s">
        <v>126</v>
      </c>
      <c r="W198" s="84" t="s">
        <v>152</v>
      </c>
      <c r="X198" s="115" t="s">
        <v>153</v>
      </c>
      <c r="Y198" s="53" t="s">
        <v>110</v>
      </c>
      <c r="Z198" s="53" t="s">
        <v>168</v>
      </c>
      <c r="AA198" s="53" t="s">
        <v>168</v>
      </c>
      <c r="AB198" s="53" t="s">
        <v>110</v>
      </c>
      <c r="AC198" s="84" t="s">
        <v>111</v>
      </c>
      <c r="AD198" s="84" t="s">
        <v>137</v>
      </c>
      <c r="AE198" s="84" t="s">
        <v>138</v>
      </c>
      <c r="AF198" s="96" t="s">
        <v>110</v>
      </c>
      <c r="AG198" s="84" t="s">
        <v>168</v>
      </c>
      <c r="AH198" s="53" t="s">
        <v>110</v>
      </c>
      <c r="AI198" s="84" t="s">
        <v>110</v>
      </c>
      <c r="AJ198" s="84" t="s">
        <v>110</v>
      </c>
      <c r="AK198" s="84" t="s">
        <v>110</v>
      </c>
      <c r="AL198" s="53" t="s">
        <v>168</v>
      </c>
      <c r="AM198" s="53" t="s">
        <v>123</v>
      </c>
      <c r="AN198" s="53" t="s">
        <v>123</v>
      </c>
      <c r="AO198" s="84" t="s">
        <v>110</v>
      </c>
      <c r="AP198" s="53" t="s">
        <v>123</v>
      </c>
      <c r="AQ198" s="84" t="s">
        <v>142</v>
      </c>
      <c r="AR198" s="84" t="s">
        <v>110</v>
      </c>
      <c r="AS198" s="53" t="s">
        <v>110</v>
      </c>
      <c r="AT198" s="9" t="s">
        <v>119</v>
      </c>
      <c r="AU198" s="10" t="s">
        <v>110</v>
      </c>
      <c r="AV198" s="53" t="s">
        <v>119</v>
      </c>
      <c r="AW198" s="53" t="s">
        <v>119</v>
      </c>
      <c r="AX198" s="53" t="s">
        <v>111</v>
      </c>
      <c r="AY198" s="53" t="s">
        <v>111</v>
      </c>
      <c r="AZ198" s="84" t="s">
        <v>126</v>
      </c>
      <c r="BA198" s="84" t="s">
        <v>110</v>
      </c>
      <c r="BB198" s="84" t="s">
        <v>126</v>
      </c>
      <c r="BC198" s="84" t="s">
        <v>111</v>
      </c>
      <c r="BD198" s="96" t="s">
        <v>124</v>
      </c>
      <c r="BE198" s="84" t="s">
        <v>126</v>
      </c>
      <c r="BF198" s="84" t="s">
        <v>110</v>
      </c>
      <c r="BG198" s="53" t="s">
        <v>110</v>
      </c>
      <c r="BH198" s="84" t="s">
        <v>124</v>
      </c>
      <c r="BI198" s="53" t="s">
        <v>111</v>
      </c>
      <c r="BJ198" s="84" t="s">
        <v>111</v>
      </c>
      <c r="BK198" s="53" t="s">
        <v>110</v>
      </c>
      <c r="BL198" s="53" t="s">
        <v>126</v>
      </c>
      <c r="BM198" s="53" t="s">
        <v>110</v>
      </c>
      <c r="BN198" s="11" t="s">
        <v>110</v>
      </c>
      <c r="BO198" s="53" t="s">
        <v>111</v>
      </c>
      <c r="BP198" s="53" t="s">
        <v>111</v>
      </c>
      <c r="BQ198" s="53" t="s">
        <v>111</v>
      </c>
      <c r="BR198" s="53" t="s">
        <v>111</v>
      </c>
      <c r="BS198" s="84" t="s">
        <v>110</v>
      </c>
      <c r="BT198" s="53" t="s">
        <v>115</v>
      </c>
      <c r="BU198" s="53" t="s">
        <v>110</v>
      </c>
      <c r="BV198" s="53" t="s">
        <v>111</v>
      </c>
      <c r="BW198" s="53" t="s">
        <v>110</v>
      </c>
      <c r="BX198" s="53" t="s">
        <v>126</v>
      </c>
      <c r="BY198" s="84" t="s">
        <v>110</v>
      </c>
      <c r="BZ198" s="53" t="s">
        <v>110</v>
      </c>
      <c r="CA198" s="53" t="s">
        <v>110</v>
      </c>
      <c r="CB198" s="53" t="s">
        <v>110</v>
      </c>
      <c r="CC198" s="53" t="s">
        <v>110</v>
      </c>
      <c r="CD198" s="53" t="s">
        <v>110</v>
      </c>
      <c r="CE198" s="53" t="s">
        <v>110</v>
      </c>
      <c r="CF198" s="53" t="s">
        <v>110</v>
      </c>
      <c r="CG198" s="53" t="s">
        <v>110</v>
      </c>
      <c r="CH198" s="84" t="s">
        <v>110</v>
      </c>
      <c r="CI198" s="53" t="s">
        <v>111</v>
      </c>
      <c r="CJ198" s="53" t="s">
        <v>110</v>
      </c>
      <c r="CK198" s="53" t="s">
        <v>126</v>
      </c>
      <c r="CL198" s="53" t="s">
        <v>110</v>
      </c>
      <c r="CM198" s="53" t="s">
        <v>110</v>
      </c>
      <c r="CN198" s="56"/>
      <c r="CO198" t="s">
        <v>785</v>
      </c>
      <c r="CP198">
        <f>IFERROR(VLOOKUP(H198,'Lista Lideres'!$A$1:$B$350,2,0),0)</f>
        <v>0</v>
      </c>
    </row>
    <row r="199" spans="1:94" ht="13.8" hidden="1" x14ac:dyDescent="0.3">
      <c r="A199" s="46">
        <v>45562.025111620373</v>
      </c>
      <c r="B199" s="47" t="s">
        <v>181</v>
      </c>
      <c r="C199" s="47" t="s">
        <v>783</v>
      </c>
      <c r="D199" s="47" t="s">
        <v>93</v>
      </c>
      <c r="E199" s="47" t="s">
        <v>304</v>
      </c>
      <c r="F199" s="47" t="s">
        <v>96</v>
      </c>
      <c r="G199" s="47" t="s">
        <v>665</v>
      </c>
      <c r="H199" s="47" t="s">
        <v>341</v>
      </c>
      <c r="I199" s="47" t="s">
        <v>100</v>
      </c>
      <c r="J199" s="47" t="s">
        <v>101</v>
      </c>
      <c r="K199" s="47" t="s">
        <v>102</v>
      </c>
      <c r="L199" s="83" t="s">
        <v>135</v>
      </c>
      <c r="M199" s="8" t="s">
        <v>104</v>
      </c>
      <c r="N199" s="83" t="s">
        <v>388</v>
      </c>
      <c r="O199" s="83" t="s">
        <v>106</v>
      </c>
      <c r="P199" s="83" t="s">
        <v>107</v>
      </c>
      <c r="Q199" s="114" t="s">
        <v>163</v>
      </c>
      <c r="R199" s="47" t="s">
        <v>164</v>
      </c>
      <c r="S199" s="47" t="s">
        <v>110</v>
      </c>
      <c r="T199" s="47" t="s">
        <v>111</v>
      </c>
      <c r="U199" s="47" t="s">
        <v>111</v>
      </c>
      <c r="V199" s="83" t="s">
        <v>112</v>
      </c>
      <c r="W199" s="83" t="s">
        <v>152</v>
      </c>
      <c r="X199" s="114" t="s">
        <v>153</v>
      </c>
      <c r="Y199" s="47" t="s">
        <v>115</v>
      </c>
      <c r="Z199" s="47" t="s">
        <v>115</v>
      </c>
      <c r="AA199" s="47" t="s">
        <v>111</v>
      </c>
      <c r="AB199" s="47" t="s">
        <v>111</v>
      </c>
      <c r="AC199" s="83" t="s">
        <v>116</v>
      </c>
      <c r="AD199" s="83" t="s">
        <v>137</v>
      </c>
      <c r="AE199" s="83" t="s">
        <v>118</v>
      </c>
      <c r="AF199" s="95" t="s">
        <v>111</v>
      </c>
      <c r="AG199" s="83" t="s">
        <v>129</v>
      </c>
      <c r="AH199" s="47" t="s">
        <v>110</v>
      </c>
      <c r="AI199" s="83" t="s">
        <v>128</v>
      </c>
      <c r="AJ199" s="83" t="s">
        <v>128</v>
      </c>
      <c r="AK199" s="83" t="s">
        <v>128</v>
      </c>
      <c r="AL199" s="47" t="s">
        <v>128</v>
      </c>
      <c r="AM199" s="47" t="s">
        <v>128</v>
      </c>
      <c r="AN199" s="47" t="s">
        <v>128</v>
      </c>
      <c r="AO199" s="83" t="s">
        <v>128</v>
      </c>
      <c r="AP199" s="47" t="s">
        <v>128</v>
      </c>
      <c r="AQ199" s="83" t="s">
        <v>203</v>
      </c>
      <c r="AR199" s="83" t="s">
        <v>110</v>
      </c>
      <c r="AS199" s="47" t="s">
        <v>115</v>
      </c>
      <c r="AT199" s="16" t="s">
        <v>129</v>
      </c>
      <c r="AU199" s="17" t="s">
        <v>115</v>
      </c>
      <c r="AV199" s="47" t="s">
        <v>129</v>
      </c>
      <c r="AW199" s="47" t="s">
        <v>119</v>
      </c>
      <c r="AX199" s="47" t="s">
        <v>110</v>
      </c>
      <c r="AY199" s="47" t="s">
        <v>111</v>
      </c>
      <c r="AZ199" s="83" t="s">
        <v>125</v>
      </c>
      <c r="BA199" s="83" t="s">
        <v>111</v>
      </c>
      <c r="BB199" s="83" t="s">
        <v>139</v>
      </c>
      <c r="BC199" s="83" t="s">
        <v>111</v>
      </c>
      <c r="BD199" s="95" t="s">
        <v>125</v>
      </c>
      <c r="BE199" s="83" t="s">
        <v>126</v>
      </c>
      <c r="BF199" s="83" t="s">
        <v>128</v>
      </c>
      <c r="BG199" s="47" t="s">
        <v>111</v>
      </c>
      <c r="BH199" s="83" t="s">
        <v>125</v>
      </c>
      <c r="BI199" s="47" t="s">
        <v>111</v>
      </c>
      <c r="BJ199" s="83" t="s">
        <v>120</v>
      </c>
      <c r="BK199" s="47" t="s">
        <v>110</v>
      </c>
      <c r="BL199" s="47" t="s">
        <v>125</v>
      </c>
      <c r="BM199" s="47" t="s">
        <v>127</v>
      </c>
      <c r="BN199" s="18" t="s">
        <v>111</v>
      </c>
      <c r="BO199" s="47" t="s">
        <v>111</v>
      </c>
      <c r="BP199" s="47" t="s">
        <v>120</v>
      </c>
      <c r="BQ199" s="47" t="s">
        <v>115</v>
      </c>
      <c r="BR199" s="47" t="s">
        <v>115</v>
      </c>
      <c r="BS199" s="83" t="s">
        <v>111</v>
      </c>
      <c r="BT199" s="47" t="s">
        <v>115</v>
      </c>
      <c r="BU199" s="47" t="s">
        <v>115</v>
      </c>
      <c r="BV199" s="47" t="s">
        <v>119</v>
      </c>
      <c r="BW199" s="47" t="s">
        <v>123</v>
      </c>
      <c r="BX199" s="47" t="s">
        <v>124</v>
      </c>
      <c r="BY199" s="83" t="s">
        <v>111</v>
      </c>
      <c r="BZ199" s="47" t="s">
        <v>115</v>
      </c>
      <c r="CA199" s="47" t="s">
        <v>111</v>
      </c>
      <c r="CB199" s="47" t="s">
        <v>119</v>
      </c>
      <c r="CC199" s="47" t="s">
        <v>110</v>
      </c>
      <c r="CD199" s="47" t="s">
        <v>119</v>
      </c>
      <c r="CE199" s="47" t="s">
        <v>127</v>
      </c>
      <c r="CF199" s="47" t="s">
        <v>111</v>
      </c>
      <c r="CG199" s="47" t="s">
        <v>119</v>
      </c>
      <c r="CH199" s="83" t="s">
        <v>111</v>
      </c>
      <c r="CI199" s="47" t="s">
        <v>111</v>
      </c>
      <c r="CJ199" s="47" t="s">
        <v>119</v>
      </c>
      <c r="CK199" s="47" t="s">
        <v>125</v>
      </c>
      <c r="CL199" s="47" t="s">
        <v>115</v>
      </c>
      <c r="CM199" s="47" t="s">
        <v>120</v>
      </c>
      <c r="CN199" s="55" t="s">
        <v>666</v>
      </c>
      <c r="CO199" t="s">
        <v>786</v>
      </c>
      <c r="CP199">
        <f>IFERROR(VLOOKUP(H199,'Lista Lideres'!$A$1:$B$350,2,0),0)</f>
        <v>0</v>
      </c>
    </row>
    <row r="200" spans="1:94" ht="14.4" hidden="1" x14ac:dyDescent="0.3">
      <c r="A200" s="52">
        <v>45565.173818020834</v>
      </c>
      <c r="B200" s="47" t="s">
        <v>181</v>
      </c>
      <c r="C200" s="53" t="s">
        <v>783</v>
      </c>
      <c r="D200" s="53" t="s">
        <v>93</v>
      </c>
      <c r="E200" s="53" t="s">
        <v>236</v>
      </c>
      <c r="F200" s="53" t="s">
        <v>171</v>
      </c>
      <c r="G200" s="53" t="s">
        <v>361</v>
      </c>
      <c r="H200" s="53" t="s">
        <v>361</v>
      </c>
      <c r="I200" s="53" t="s">
        <v>149</v>
      </c>
      <c r="J200" s="53" t="s">
        <v>196</v>
      </c>
      <c r="K200" s="53" t="s">
        <v>191</v>
      </c>
      <c r="L200" s="84" t="s">
        <v>213</v>
      </c>
      <c r="M200" s="8" t="s">
        <v>104</v>
      </c>
      <c r="N200" s="84" t="s">
        <v>388</v>
      </c>
      <c r="O200" s="84" t="s">
        <v>282</v>
      </c>
      <c r="P200" s="84" t="s">
        <v>107</v>
      </c>
      <c r="Q200" s="115" t="s">
        <v>108</v>
      </c>
      <c r="R200" s="84" t="s">
        <v>184</v>
      </c>
      <c r="S200" s="53" t="s">
        <v>110</v>
      </c>
      <c r="T200" s="53" t="s">
        <v>110</v>
      </c>
      <c r="U200" s="53" t="s">
        <v>110</v>
      </c>
      <c r="V200" s="84" t="s">
        <v>136</v>
      </c>
      <c r="W200" s="84" t="s">
        <v>152</v>
      </c>
      <c r="X200" s="115" t="s">
        <v>165</v>
      </c>
      <c r="Y200" s="53" t="s">
        <v>111</v>
      </c>
      <c r="Z200" s="53" t="s">
        <v>111</v>
      </c>
      <c r="AA200" s="53" t="s">
        <v>111</v>
      </c>
      <c r="AB200" s="53" t="s">
        <v>115</v>
      </c>
      <c r="AC200" s="84" t="s">
        <v>111</v>
      </c>
      <c r="AD200" s="84" t="s">
        <v>117</v>
      </c>
      <c r="AE200" s="84" t="s">
        <v>185</v>
      </c>
      <c r="AF200" s="96" t="s">
        <v>110</v>
      </c>
      <c r="AG200" s="84" t="s">
        <v>110</v>
      </c>
      <c r="AH200" s="53" t="s">
        <v>110</v>
      </c>
      <c r="AI200" s="84" t="s">
        <v>154</v>
      </c>
      <c r="AJ200" s="84" t="s">
        <v>197</v>
      </c>
      <c r="AK200" s="84" t="s">
        <v>110</v>
      </c>
      <c r="AL200" s="53" t="s">
        <v>110</v>
      </c>
      <c r="AM200" s="53" t="s">
        <v>110</v>
      </c>
      <c r="AN200" s="53" t="s">
        <v>110</v>
      </c>
      <c r="AO200" s="84" t="s">
        <v>110</v>
      </c>
      <c r="AP200" s="53" t="s">
        <v>110</v>
      </c>
      <c r="AQ200" s="84" t="s">
        <v>126</v>
      </c>
      <c r="AR200" s="84" t="s">
        <v>110</v>
      </c>
      <c r="AS200" s="53" t="s">
        <v>111</v>
      </c>
      <c r="AT200" s="9" t="s">
        <v>110</v>
      </c>
      <c r="AU200" s="10" t="s">
        <v>110</v>
      </c>
      <c r="AV200" s="53" t="s">
        <v>110</v>
      </c>
      <c r="AW200" s="53" t="s">
        <v>110</v>
      </c>
      <c r="AX200" s="53" t="s">
        <v>111</v>
      </c>
      <c r="AY200" s="53" t="s">
        <v>119</v>
      </c>
      <c r="AZ200" s="84" t="s">
        <v>126</v>
      </c>
      <c r="BA200" s="84" t="s">
        <v>110</v>
      </c>
      <c r="BB200" s="84" t="s">
        <v>139</v>
      </c>
      <c r="BC200" s="84" t="s">
        <v>111</v>
      </c>
      <c r="BD200" s="96" t="s">
        <v>126</v>
      </c>
      <c r="BE200" s="84" t="s">
        <v>140</v>
      </c>
      <c r="BF200" s="84" t="s">
        <v>141</v>
      </c>
      <c r="BG200" s="53" t="s">
        <v>111</v>
      </c>
      <c r="BH200" s="84" t="s">
        <v>125</v>
      </c>
      <c r="BI200" s="53" t="s">
        <v>111</v>
      </c>
      <c r="BJ200" s="84" t="s">
        <v>110</v>
      </c>
      <c r="BK200" s="53" t="s">
        <v>110</v>
      </c>
      <c r="BL200" s="53" t="s">
        <v>126</v>
      </c>
      <c r="BM200" s="53" t="s">
        <v>127</v>
      </c>
      <c r="BN200" s="11" t="s">
        <v>111</v>
      </c>
      <c r="BO200" s="53" t="s">
        <v>111</v>
      </c>
      <c r="BP200" s="53" t="s">
        <v>120</v>
      </c>
      <c r="BQ200" s="53" t="s">
        <v>110</v>
      </c>
      <c r="BR200" s="53" t="s">
        <v>110</v>
      </c>
      <c r="BS200" s="84" t="s">
        <v>111</v>
      </c>
      <c r="BT200" s="53" t="s">
        <v>110</v>
      </c>
      <c r="BU200" s="53" t="s">
        <v>110</v>
      </c>
      <c r="BV200" s="53" t="s">
        <v>110</v>
      </c>
      <c r="BW200" s="53" t="s">
        <v>110</v>
      </c>
      <c r="BX200" s="53" t="s">
        <v>126</v>
      </c>
      <c r="BY200" s="84" t="s">
        <v>111</v>
      </c>
      <c r="BZ200" s="53" t="s">
        <v>111</v>
      </c>
      <c r="CA200" s="53" t="s">
        <v>111</v>
      </c>
      <c r="CB200" s="53" t="s">
        <v>119</v>
      </c>
      <c r="CC200" s="53" t="s">
        <v>111</v>
      </c>
      <c r="CD200" s="53" t="s">
        <v>110</v>
      </c>
      <c r="CE200" s="53" t="s">
        <v>110</v>
      </c>
      <c r="CF200" s="53" t="s">
        <v>119</v>
      </c>
      <c r="CG200" s="53" t="s">
        <v>119</v>
      </c>
      <c r="CH200" s="84" t="s">
        <v>110</v>
      </c>
      <c r="CI200" s="53" t="s">
        <v>115</v>
      </c>
      <c r="CJ200" s="53" t="s">
        <v>119</v>
      </c>
      <c r="CK200" s="53" t="s">
        <v>126</v>
      </c>
      <c r="CL200" s="53" t="s">
        <v>110</v>
      </c>
      <c r="CM200" s="53" t="s">
        <v>111</v>
      </c>
      <c r="CN200" s="49"/>
      <c r="CO200" t="s">
        <v>785</v>
      </c>
      <c r="CP200">
        <f>IFERROR(VLOOKUP(H200,'Lista Lideres'!$A$1:$B$350,2,0),0)</f>
        <v>0</v>
      </c>
    </row>
    <row r="201" spans="1:94" ht="14.4" hidden="1" x14ac:dyDescent="0.3">
      <c r="A201" s="46">
        <v>45562.997139398147</v>
      </c>
      <c r="B201" s="47" t="s">
        <v>181</v>
      </c>
      <c r="C201" s="47" t="s">
        <v>783</v>
      </c>
      <c r="D201" s="47" t="s">
        <v>93</v>
      </c>
      <c r="E201" s="47" t="s">
        <v>304</v>
      </c>
      <c r="F201" s="47" t="s">
        <v>97</v>
      </c>
      <c r="G201" s="47" t="s">
        <v>361</v>
      </c>
      <c r="H201" s="47" t="s">
        <v>425</v>
      </c>
      <c r="I201" s="47" t="s">
        <v>195</v>
      </c>
      <c r="J201" s="47" t="s">
        <v>196</v>
      </c>
      <c r="K201" s="47" t="s">
        <v>102</v>
      </c>
      <c r="L201" s="83" t="s">
        <v>135</v>
      </c>
      <c r="M201" s="8" t="s">
        <v>104</v>
      </c>
      <c r="N201" s="83" t="s">
        <v>388</v>
      </c>
      <c r="O201" s="83" t="s">
        <v>106</v>
      </c>
      <c r="P201" s="83" t="s">
        <v>175</v>
      </c>
      <c r="Q201" s="114" t="s">
        <v>108</v>
      </c>
      <c r="R201" s="47" t="s">
        <v>109</v>
      </c>
      <c r="S201" s="47" t="s">
        <v>119</v>
      </c>
      <c r="T201" s="47" t="s">
        <v>119</v>
      </c>
      <c r="U201" s="47" t="s">
        <v>119</v>
      </c>
      <c r="V201" s="83" t="s">
        <v>112</v>
      </c>
      <c r="W201" s="83" t="s">
        <v>113</v>
      </c>
      <c r="X201" s="114" t="s">
        <v>202</v>
      </c>
      <c r="Y201" s="47" t="s">
        <v>206</v>
      </c>
      <c r="Z201" s="47" t="s">
        <v>119</v>
      </c>
      <c r="AA201" s="47" t="s">
        <v>110</v>
      </c>
      <c r="AB201" s="47" t="s">
        <v>119</v>
      </c>
      <c r="AC201" s="83" t="s">
        <v>129</v>
      </c>
      <c r="AD201" s="83" t="s">
        <v>166</v>
      </c>
      <c r="AE201" s="83" t="s">
        <v>138</v>
      </c>
      <c r="AF201" s="95" t="s">
        <v>119</v>
      </c>
      <c r="AG201" s="83" t="s">
        <v>110</v>
      </c>
      <c r="AH201" s="47" t="s">
        <v>122</v>
      </c>
      <c r="AI201" s="83" t="s">
        <v>110</v>
      </c>
      <c r="AJ201" s="83" t="s">
        <v>110</v>
      </c>
      <c r="AK201" s="83" t="s">
        <v>122</v>
      </c>
      <c r="AL201" s="47" t="s">
        <v>122</v>
      </c>
      <c r="AM201" s="47" t="s">
        <v>123</v>
      </c>
      <c r="AN201" s="47" t="s">
        <v>123</v>
      </c>
      <c r="AO201" s="83" t="s">
        <v>178</v>
      </c>
      <c r="AP201" s="47" t="s">
        <v>178</v>
      </c>
      <c r="AQ201" s="83" t="s">
        <v>126</v>
      </c>
      <c r="AR201" s="83" t="s">
        <v>111</v>
      </c>
      <c r="AS201" s="47" t="s">
        <v>110</v>
      </c>
      <c r="AT201" s="16" t="s">
        <v>110</v>
      </c>
      <c r="AU201" s="17" t="s">
        <v>119</v>
      </c>
      <c r="AV201" s="47" t="s">
        <v>111</v>
      </c>
      <c r="AW201" s="47" t="s">
        <v>111</v>
      </c>
      <c r="AX201" s="47" t="s">
        <v>110</v>
      </c>
      <c r="AY201" s="47" t="s">
        <v>120</v>
      </c>
      <c r="AZ201" s="83" t="s">
        <v>124</v>
      </c>
      <c r="BA201" s="83" t="s">
        <v>111</v>
      </c>
      <c r="BB201" s="83" t="s">
        <v>139</v>
      </c>
      <c r="BC201" s="83" t="s">
        <v>110</v>
      </c>
      <c r="BD201" s="95" t="s">
        <v>124</v>
      </c>
      <c r="BE201" s="83" t="s">
        <v>140</v>
      </c>
      <c r="BF201" s="83" t="s">
        <v>141</v>
      </c>
      <c r="BG201" s="47" t="s">
        <v>119</v>
      </c>
      <c r="BH201" s="83" t="s">
        <v>124</v>
      </c>
      <c r="BI201" s="47" t="s">
        <v>129</v>
      </c>
      <c r="BJ201" s="83" t="s">
        <v>119</v>
      </c>
      <c r="BK201" s="47" t="s">
        <v>177</v>
      </c>
      <c r="BL201" s="47" t="s">
        <v>126</v>
      </c>
      <c r="BM201" s="47" t="s">
        <v>110</v>
      </c>
      <c r="BN201" s="18" t="s">
        <v>129</v>
      </c>
      <c r="BO201" s="47" t="s">
        <v>129</v>
      </c>
      <c r="BP201" s="47" t="s">
        <v>120</v>
      </c>
      <c r="BQ201" s="47" t="s">
        <v>129</v>
      </c>
      <c r="BR201" s="47" t="s">
        <v>129</v>
      </c>
      <c r="BS201" s="83" t="s">
        <v>111</v>
      </c>
      <c r="BT201" s="47" t="s">
        <v>119</v>
      </c>
      <c r="BU201" s="47" t="s">
        <v>111</v>
      </c>
      <c r="BV201" s="47" t="s">
        <v>111</v>
      </c>
      <c r="BW201" s="47" t="s">
        <v>110</v>
      </c>
      <c r="BX201" s="47" t="s">
        <v>125</v>
      </c>
      <c r="BY201" s="83" t="s">
        <v>110</v>
      </c>
      <c r="BZ201" s="47" t="s">
        <v>115</v>
      </c>
      <c r="CA201" s="47" t="s">
        <v>119</v>
      </c>
      <c r="CB201" s="47" t="s">
        <v>115</v>
      </c>
      <c r="CC201" s="47" t="s">
        <v>119</v>
      </c>
      <c r="CD201" s="47" t="s">
        <v>119</v>
      </c>
      <c r="CE201" s="47" t="s">
        <v>110</v>
      </c>
      <c r="CF201" s="47" t="s">
        <v>119</v>
      </c>
      <c r="CG201" s="47" t="s">
        <v>129</v>
      </c>
      <c r="CH201" s="83" t="s">
        <v>110</v>
      </c>
      <c r="CI201" s="47" t="s">
        <v>110</v>
      </c>
      <c r="CJ201" s="47" t="s">
        <v>129</v>
      </c>
      <c r="CK201" s="47" t="s">
        <v>124</v>
      </c>
      <c r="CL201" s="47" t="s">
        <v>129</v>
      </c>
      <c r="CM201" s="47" t="s">
        <v>119</v>
      </c>
      <c r="CN201" s="51"/>
      <c r="CO201" t="s">
        <v>786</v>
      </c>
      <c r="CP201">
        <f>IFERROR(VLOOKUP(H201,'Lista Lideres'!$A$1:$B$350,2,0),0)</f>
        <v>0</v>
      </c>
    </row>
    <row r="202" spans="1:94" ht="14.4" hidden="1" x14ac:dyDescent="0.3">
      <c r="A202" s="52">
        <v>45563.89956366898</v>
      </c>
      <c r="B202" s="47" t="s">
        <v>181</v>
      </c>
      <c r="C202" s="53" t="s">
        <v>783</v>
      </c>
      <c r="D202" s="53" t="s">
        <v>93</v>
      </c>
      <c r="E202" s="53" t="s">
        <v>304</v>
      </c>
      <c r="F202" s="53" t="s">
        <v>97</v>
      </c>
      <c r="G202" s="53" t="s">
        <v>361</v>
      </c>
      <c r="H202" s="53" t="s">
        <v>361</v>
      </c>
      <c r="I202" s="53" t="s">
        <v>100</v>
      </c>
      <c r="J202" s="53" t="s">
        <v>101</v>
      </c>
      <c r="K202" s="53" t="s">
        <v>191</v>
      </c>
      <c r="L202" s="84" t="s">
        <v>213</v>
      </c>
      <c r="M202" s="8" t="s">
        <v>104</v>
      </c>
      <c r="N202" s="84" t="s">
        <v>388</v>
      </c>
      <c r="O202" s="84" t="s">
        <v>106</v>
      </c>
      <c r="P202" s="84" t="s">
        <v>175</v>
      </c>
      <c r="Q202" s="115" t="s">
        <v>108</v>
      </c>
      <c r="R202" s="53" t="s">
        <v>109</v>
      </c>
      <c r="S202" s="53" t="s">
        <v>119</v>
      </c>
      <c r="T202" s="53" t="s">
        <v>119</v>
      </c>
      <c r="U202" s="53" t="s">
        <v>119</v>
      </c>
      <c r="V202" s="84" t="s">
        <v>320</v>
      </c>
      <c r="W202" s="84" t="s">
        <v>113</v>
      </c>
      <c r="X202" s="115" t="s">
        <v>114</v>
      </c>
      <c r="Y202" s="53" t="s">
        <v>110</v>
      </c>
      <c r="Z202" s="53" t="s">
        <v>119</v>
      </c>
      <c r="AA202" s="53" t="s">
        <v>110</v>
      </c>
      <c r="AB202" s="53" t="s">
        <v>119</v>
      </c>
      <c r="AC202" s="84" t="s">
        <v>116</v>
      </c>
      <c r="AD202" s="84" t="s">
        <v>137</v>
      </c>
      <c r="AE202" s="84" t="s">
        <v>118</v>
      </c>
      <c r="AF202" s="96" t="s">
        <v>110</v>
      </c>
      <c r="AG202" s="84" t="s">
        <v>111</v>
      </c>
      <c r="AH202" s="53" t="s">
        <v>121</v>
      </c>
      <c r="AI202" s="84" t="s">
        <v>154</v>
      </c>
      <c r="AJ202" s="84" t="s">
        <v>197</v>
      </c>
      <c r="AK202" s="84" t="s">
        <v>225</v>
      </c>
      <c r="AL202" s="53" t="s">
        <v>122</v>
      </c>
      <c r="AM202" s="53" t="s">
        <v>123</v>
      </c>
      <c r="AN202" s="53" t="s">
        <v>123</v>
      </c>
      <c r="AO202" s="84" t="s">
        <v>123</v>
      </c>
      <c r="AP202" s="53" t="s">
        <v>178</v>
      </c>
      <c r="AQ202" s="84" t="s">
        <v>126</v>
      </c>
      <c r="AR202" s="84" t="s">
        <v>119</v>
      </c>
      <c r="AS202" s="53" t="s">
        <v>110</v>
      </c>
      <c r="AT202" s="9" t="s">
        <v>111</v>
      </c>
      <c r="AU202" s="10" t="s">
        <v>110</v>
      </c>
      <c r="AV202" s="53" t="s">
        <v>119</v>
      </c>
      <c r="AW202" s="53" t="s">
        <v>119</v>
      </c>
      <c r="AX202" s="53" t="s">
        <v>111</v>
      </c>
      <c r="AY202" s="53" t="s">
        <v>111</v>
      </c>
      <c r="AZ202" s="84" t="s">
        <v>125</v>
      </c>
      <c r="BA202" s="84" t="s">
        <v>119</v>
      </c>
      <c r="BB202" s="84" t="s">
        <v>139</v>
      </c>
      <c r="BC202" s="84" t="s">
        <v>119</v>
      </c>
      <c r="BD202" s="96" t="s">
        <v>126</v>
      </c>
      <c r="BE202" s="84" t="s">
        <v>140</v>
      </c>
      <c r="BF202" s="84" t="s">
        <v>141</v>
      </c>
      <c r="BG202" s="53" t="s">
        <v>119</v>
      </c>
      <c r="BH202" s="84" t="s">
        <v>125</v>
      </c>
      <c r="BI202" s="53" t="s">
        <v>119</v>
      </c>
      <c r="BJ202" s="84" t="s">
        <v>111</v>
      </c>
      <c r="BK202" s="53" t="s">
        <v>122</v>
      </c>
      <c r="BL202" s="53" t="s">
        <v>124</v>
      </c>
      <c r="BM202" s="53" t="s">
        <v>110</v>
      </c>
      <c r="BN202" s="11" t="s">
        <v>110</v>
      </c>
      <c r="BO202" s="53" t="s">
        <v>119</v>
      </c>
      <c r="BP202" s="53" t="s">
        <v>120</v>
      </c>
      <c r="BQ202" s="53" t="s">
        <v>110</v>
      </c>
      <c r="BR202" s="53" t="s">
        <v>110</v>
      </c>
      <c r="BS202" s="84" t="s">
        <v>110</v>
      </c>
      <c r="BT202" s="53" t="s">
        <v>111</v>
      </c>
      <c r="BU202" s="53" t="s">
        <v>110</v>
      </c>
      <c r="BV202" s="53" t="s">
        <v>111</v>
      </c>
      <c r="BW202" s="53" t="s">
        <v>128</v>
      </c>
      <c r="BX202" s="53" t="s">
        <v>125</v>
      </c>
      <c r="BY202" s="84" t="s">
        <v>119</v>
      </c>
      <c r="BZ202" s="53" t="s">
        <v>111</v>
      </c>
      <c r="CA202" s="53" t="s">
        <v>110</v>
      </c>
      <c r="CB202" s="53" t="s">
        <v>119</v>
      </c>
      <c r="CC202" s="53" t="s">
        <v>119</v>
      </c>
      <c r="CD202" s="53" t="s">
        <v>111</v>
      </c>
      <c r="CE202" s="53" t="s">
        <v>110</v>
      </c>
      <c r="CF202" s="53" t="s">
        <v>119</v>
      </c>
      <c r="CG202" s="53" t="s">
        <v>129</v>
      </c>
      <c r="CH202" s="84" t="s">
        <v>119</v>
      </c>
      <c r="CI202" s="53" t="s">
        <v>111</v>
      </c>
      <c r="CJ202" s="53" t="s">
        <v>129</v>
      </c>
      <c r="CK202" s="53" t="s">
        <v>124</v>
      </c>
      <c r="CL202" s="53" t="s">
        <v>129</v>
      </c>
      <c r="CM202" s="53" t="s">
        <v>110</v>
      </c>
      <c r="CN202" s="56"/>
      <c r="CO202" t="s">
        <v>786</v>
      </c>
      <c r="CP202">
        <f>IFERROR(VLOOKUP(H202,'Lista Lideres'!$A$1:$B$350,2,0),0)</f>
        <v>0</v>
      </c>
    </row>
    <row r="203" spans="1:94" ht="14.4" hidden="1" x14ac:dyDescent="0.3">
      <c r="A203" s="46">
        <v>45570.031877905094</v>
      </c>
      <c r="B203" s="47" t="s">
        <v>181</v>
      </c>
      <c r="C203" s="47" t="s">
        <v>783</v>
      </c>
      <c r="D203" s="47" t="s">
        <v>93</v>
      </c>
      <c r="E203" s="47" t="s">
        <v>304</v>
      </c>
      <c r="F203" s="47" t="s">
        <v>97</v>
      </c>
      <c r="G203" s="47" t="s">
        <v>205</v>
      </c>
      <c r="H203" s="47" t="s">
        <v>205</v>
      </c>
      <c r="I203" s="47" t="s">
        <v>149</v>
      </c>
      <c r="J203" s="47" t="s">
        <v>101</v>
      </c>
      <c r="K203" s="47" t="s">
        <v>191</v>
      </c>
      <c r="L203" s="83" t="s">
        <v>213</v>
      </c>
      <c r="M203" s="8" t="s">
        <v>104</v>
      </c>
      <c r="N203" s="83" t="s">
        <v>388</v>
      </c>
      <c r="O203" s="83" t="s">
        <v>282</v>
      </c>
      <c r="P203" s="83" t="s">
        <v>175</v>
      </c>
      <c r="Q203" s="114" t="s">
        <v>163</v>
      </c>
      <c r="R203" s="47" t="s">
        <v>176</v>
      </c>
      <c r="S203" s="47" t="s">
        <v>110</v>
      </c>
      <c r="T203" s="47" t="s">
        <v>110</v>
      </c>
      <c r="U203" s="47" t="s">
        <v>110</v>
      </c>
      <c r="V203" s="83" t="s">
        <v>126</v>
      </c>
      <c r="W203" s="83" t="s">
        <v>152</v>
      </c>
      <c r="X203" s="114" t="s">
        <v>114</v>
      </c>
      <c r="Y203" s="47" t="s">
        <v>111</v>
      </c>
      <c r="Z203" s="47" t="s">
        <v>110</v>
      </c>
      <c r="AA203" s="47" t="s">
        <v>110</v>
      </c>
      <c r="AB203" s="47" t="s">
        <v>110</v>
      </c>
      <c r="AC203" s="83" t="s">
        <v>111</v>
      </c>
      <c r="AD203" s="83" t="s">
        <v>137</v>
      </c>
      <c r="AE203" s="83" t="s">
        <v>118</v>
      </c>
      <c r="AF203" s="95" t="s">
        <v>110</v>
      </c>
      <c r="AG203" s="83" t="s">
        <v>168</v>
      </c>
      <c r="AH203" s="47" t="s">
        <v>168</v>
      </c>
      <c r="AI203" s="83" t="s">
        <v>110</v>
      </c>
      <c r="AJ203" s="83" t="s">
        <v>110</v>
      </c>
      <c r="AK203" s="83" t="s">
        <v>110</v>
      </c>
      <c r="AL203" s="47" t="s">
        <v>110</v>
      </c>
      <c r="AM203" s="47" t="s">
        <v>110</v>
      </c>
      <c r="AN203" s="47" t="s">
        <v>123</v>
      </c>
      <c r="AO203" s="83" t="s">
        <v>110</v>
      </c>
      <c r="AP203" s="47" t="s">
        <v>110</v>
      </c>
      <c r="AQ203" s="83" t="s">
        <v>126</v>
      </c>
      <c r="AR203" s="83" t="s">
        <v>110</v>
      </c>
      <c r="AS203" s="47" t="s">
        <v>110</v>
      </c>
      <c r="AT203" s="16" t="s">
        <v>111</v>
      </c>
      <c r="AU203" s="17" t="s">
        <v>110</v>
      </c>
      <c r="AV203" s="47" t="s">
        <v>111</v>
      </c>
      <c r="AW203" s="47" t="s">
        <v>110</v>
      </c>
      <c r="AX203" s="47" t="s">
        <v>119</v>
      </c>
      <c r="AY203" s="47" t="s">
        <v>111</v>
      </c>
      <c r="AZ203" s="83" t="s">
        <v>126</v>
      </c>
      <c r="BA203" s="83" t="s">
        <v>110</v>
      </c>
      <c r="BB203" s="83" t="s">
        <v>126</v>
      </c>
      <c r="BC203" s="83" t="s">
        <v>110</v>
      </c>
      <c r="BD203" s="95" t="s">
        <v>126</v>
      </c>
      <c r="BE203" s="83" t="s">
        <v>126</v>
      </c>
      <c r="BF203" s="83" t="s">
        <v>110</v>
      </c>
      <c r="BG203" s="47" t="s">
        <v>110</v>
      </c>
      <c r="BH203" s="83" t="s">
        <v>124</v>
      </c>
      <c r="BI203" s="47" t="s">
        <v>111</v>
      </c>
      <c r="BJ203" s="83" t="s">
        <v>119</v>
      </c>
      <c r="BK203" s="47" t="s">
        <v>110</v>
      </c>
      <c r="BL203" s="47" t="s">
        <v>126</v>
      </c>
      <c r="BM203" s="47" t="s">
        <v>110</v>
      </c>
      <c r="BN203" s="18" t="s">
        <v>111</v>
      </c>
      <c r="BO203" s="47" t="s">
        <v>111</v>
      </c>
      <c r="BP203" s="47" t="s">
        <v>111</v>
      </c>
      <c r="BQ203" s="47" t="s">
        <v>110</v>
      </c>
      <c r="BR203" s="47" t="s">
        <v>110</v>
      </c>
      <c r="BS203" s="83" t="s">
        <v>110</v>
      </c>
      <c r="BT203" s="47" t="s">
        <v>111</v>
      </c>
      <c r="BU203" s="47" t="s">
        <v>110</v>
      </c>
      <c r="BV203" s="47" t="s">
        <v>110</v>
      </c>
      <c r="BW203" s="47" t="s">
        <v>110</v>
      </c>
      <c r="BX203" s="47" t="s">
        <v>126</v>
      </c>
      <c r="BY203" s="83" t="s">
        <v>110</v>
      </c>
      <c r="BZ203" s="47" t="s">
        <v>119</v>
      </c>
      <c r="CA203" s="47" t="s">
        <v>110</v>
      </c>
      <c r="CB203" s="47" t="s">
        <v>119</v>
      </c>
      <c r="CC203" s="47" t="s">
        <v>110</v>
      </c>
      <c r="CD203" s="47" t="s">
        <v>110</v>
      </c>
      <c r="CE203" s="47" t="s">
        <v>110</v>
      </c>
      <c r="CF203" s="47" t="s">
        <v>110</v>
      </c>
      <c r="CG203" s="47" t="s">
        <v>119</v>
      </c>
      <c r="CH203" s="83" t="s">
        <v>110</v>
      </c>
      <c r="CI203" s="47" t="s">
        <v>111</v>
      </c>
      <c r="CJ203" s="47" t="s">
        <v>119</v>
      </c>
      <c r="CK203" s="47" t="s">
        <v>126</v>
      </c>
      <c r="CL203" s="47" t="s">
        <v>119</v>
      </c>
      <c r="CM203" s="47" t="s">
        <v>111</v>
      </c>
      <c r="CN203" s="49"/>
      <c r="CO203" t="s">
        <v>785</v>
      </c>
      <c r="CP203">
        <f>IFERROR(VLOOKUP(H203,'Lista Lideres'!$A$1:$B$350,2,0),0)</f>
        <v>0</v>
      </c>
    </row>
    <row r="204" spans="1:94" ht="14.4" hidden="1" x14ac:dyDescent="0.3">
      <c r="A204" s="52">
        <v>45570.976292210646</v>
      </c>
      <c r="B204" s="47" t="s">
        <v>181</v>
      </c>
      <c r="C204" s="53" t="s">
        <v>783</v>
      </c>
      <c r="D204" s="53" t="s">
        <v>93</v>
      </c>
      <c r="E204" s="53" t="s">
        <v>304</v>
      </c>
      <c r="F204" s="53" t="s">
        <v>96</v>
      </c>
      <c r="G204" s="53" t="s">
        <v>98</v>
      </c>
      <c r="H204" s="53" t="s">
        <v>528</v>
      </c>
      <c r="I204" s="53" t="s">
        <v>100</v>
      </c>
      <c r="J204" s="53" t="s">
        <v>183</v>
      </c>
      <c r="K204" s="53" t="s">
        <v>102</v>
      </c>
      <c r="L204" s="84" t="s">
        <v>103</v>
      </c>
      <c r="M204" s="8" t="s">
        <v>104</v>
      </c>
      <c r="N204" s="84" t="s">
        <v>388</v>
      </c>
      <c r="O204" s="84" t="s">
        <v>106</v>
      </c>
      <c r="P204" s="84" t="s">
        <v>175</v>
      </c>
      <c r="Q204" s="115" t="s">
        <v>151</v>
      </c>
      <c r="R204" s="53" t="s">
        <v>176</v>
      </c>
      <c r="S204" s="53" t="s">
        <v>110</v>
      </c>
      <c r="T204" s="53" t="s">
        <v>110</v>
      </c>
      <c r="U204" s="53" t="s">
        <v>110</v>
      </c>
      <c r="V204" s="84" t="s">
        <v>126</v>
      </c>
      <c r="W204" s="84" t="s">
        <v>113</v>
      </c>
      <c r="X204" s="115" t="s">
        <v>114</v>
      </c>
      <c r="Y204" s="53" t="s">
        <v>110</v>
      </c>
      <c r="Z204" s="53" t="s">
        <v>110</v>
      </c>
      <c r="AA204" s="53" t="s">
        <v>110</v>
      </c>
      <c r="AB204" s="53" t="s">
        <v>110</v>
      </c>
      <c r="AC204" s="84" t="s">
        <v>110</v>
      </c>
      <c r="AD204" s="84" t="s">
        <v>166</v>
      </c>
      <c r="AE204" s="84" t="s">
        <v>138</v>
      </c>
      <c r="AF204" s="96" t="s">
        <v>110</v>
      </c>
      <c r="AG204" s="84" t="s">
        <v>110</v>
      </c>
      <c r="AH204" s="53" t="s">
        <v>110</v>
      </c>
      <c r="AI204" s="84" t="s">
        <v>110</v>
      </c>
      <c r="AJ204" s="84" t="s">
        <v>110</v>
      </c>
      <c r="AK204" s="84" t="s">
        <v>110</v>
      </c>
      <c r="AL204" s="53" t="s">
        <v>110</v>
      </c>
      <c r="AM204" s="53" t="s">
        <v>110</v>
      </c>
      <c r="AN204" s="53" t="s">
        <v>110</v>
      </c>
      <c r="AO204" s="84" t="s">
        <v>110</v>
      </c>
      <c r="AP204" s="53" t="s">
        <v>110</v>
      </c>
      <c r="AQ204" s="84" t="s">
        <v>126</v>
      </c>
      <c r="AR204" s="84" t="s">
        <v>110</v>
      </c>
      <c r="AS204" s="53" t="s">
        <v>110</v>
      </c>
      <c r="AT204" s="9" t="s">
        <v>110</v>
      </c>
      <c r="AU204" s="10" t="s">
        <v>110</v>
      </c>
      <c r="AV204" s="53" t="s">
        <v>110</v>
      </c>
      <c r="AW204" s="53" t="s">
        <v>110</v>
      </c>
      <c r="AX204" s="53" t="s">
        <v>110</v>
      </c>
      <c r="AY204" s="53" t="s">
        <v>110</v>
      </c>
      <c r="AZ204" s="84" t="s">
        <v>126</v>
      </c>
      <c r="BA204" s="84" t="s">
        <v>110</v>
      </c>
      <c r="BB204" s="84" t="s">
        <v>126</v>
      </c>
      <c r="BC204" s="84" t="s">
        <v>110</v>
      </c>
      <c r="BD204" s="96" t="s">
        <v>126</v>
      </c>
      <c r="BE204" s="84" t="s">
        <v>126</v>
      </c>
      <c r="BF204" s="84" t="s">
        <v>110</v>
      </c>
      <c r="BG204" s="53" t="s">
        <v>110</v>
      </c>
      <c r="BH204" s="84" t="s">
        <v>126</v>
      </c>
      <c r="BI204" s="53" t="s">
        <v>111</v>
      </c>
      <c r="BJ204" s="84" t="s">
        <v>119</v>
      </c>
      <c r="BK204" s="53" t="s">
        <v>110</v>
      </c>
      <c r="BL204" s="53" t="s">
        <v>126</v>
      </c>
      <c r="BM204" s="53" t="s">
        <v>110</v>
      </c>
      <c r="BN204" s="11" t="s">
        <v>110</v>
      </c>
      <c r="BO204" s="53" t="s">
        <v>110</v>
      </c>
      <c r="BP204" s="53" t="s">
        <v>119</v>
      </c>
      <c r="BQ204" s="53" t="s">
        <v>110</v>
      </c>
      <c r="BR204" s="53" t="s">
        <v>110</v>
      </c>
      <c r="BS204" s="84" t="s">
        <v>110</v>
      </c>
      <c r="BT204" s="53" t="s">
        <v>110</v>
      </c>
      <c r="BU204" s="53" t="s">
        <v>110</v>
      </c>
      <c r="BV204" s="53" t="s">
        <v>110</v>
      </c>
      <c r="BW204" s="53" t="s">
        <v>110</v>
      </c>
      <c r="BX204" s="53" t="s">
        <v>126</v>
      </c>
      <c r="BY204" s="84" t="s">
        <v>110</v>
      </c>
      <c r="BZ204" s="53" t="s">
        <v>111</v>
      </c>
      <c r="CA204" s="53" t="s">
        <v>110</v>
      </c>
      <c r="CB204" s="53" t="s">
        <v>110</v>
      </c>
      <c r="CC204" s="53" t="s">
        <v>110</v>
      </c>
      <c r="CD204" s="53" t="s">
        <v>110</v>
      </c>
      <c r="CE204" s="53" t="s">
        <v>110</v>
      </c>
      <c r="CF204" s="53" t="s">
        <v>110</v>
      </c>
      <c r="CG204" s="53" t="s">
        <v>119</v>
      </c>
      <c r="CH204" s="84" t="s">
        <v>110</v>
      </c>
      <c r="CI204" s="53" t="s">
        <v>110</v>
      </c>
      <c r="CJ204" s="53" t="s">
        <v>110</v>
      </c>
      <c r="CK204" s="53" t="s">
        <v>126</v>
      </c>
      <c r="CL204" s="53" t="s">
        <v>119</v>
      </c>
      <c r="CM204" s="53" t="s">
        <v>110</v>
      </c>
      <c r="CN204" s="56"/>
      <c r="CO204" t="s">
        <v>786</v>
      </c>
      <c r="CP204">
        <f>IFERROR(VLOOKUP(H204,'Lista Lideres'!$A$1:$B$350,2,0),0)</f>
        <v>0</v>
      </c>
    </row>
    <row r="205" spans="1:94" ht="13.8" hidden="1" x14ac:dyDescent="0.3">
      <c r="A205" s="46">
        <v>45561.877215729168</v>
      </c>
      <c r="B205" s="47" t="s">
        <v>181</v>
      </c>
      <c r="C205" s="47" t="s">
        <v>783</v>
      </c>
      <c r="D205" s="47" t="s">
        <v>93</v>
      </c>
      <c r="E205" s="47" t="s">
        <v>236</v>
      </c>
      <c r="F205" s="47" t="s">
        <v>96</v>
      </c>
      <c r="G205" s="47" t="s">
        <v>212</v>
      </c>
      <c r="H205" s="47" t="s">
        <v>667</v>
      </c>
      <c r="I205" s="47" t="s">
        <v>100</v>
      </c>
      <c r="J205" s="47" t="s">
        <v>183</v>
      </c>
      <c r="K205" s="47" t="s">
        <v>102</v>
      </c>
      <c r="L205" s="83" t="s">
        <v>162</v>
      </c>
      <c r="M205" s="8" t="s">
        <v>104</v>
      </c>
      <c r="N205" s="83" t="s">
        <v>388</v>
      </c>
      <c r="O205" s="83" t="s">
        <v>106</v>
      </c>
      <c r="P205" s="83" t="s">
        <v>107</v>
      </c>
      <c r="Q205" s="114" t="s">
        <v>108</v>
      </c>
      <c r="R205" s="47" t="s">
        <v>164</v>
      </c>
      <c r="S205" s="47" t="s">
        <v>110</v>
      </c>
      <c r="T205" s="47" t="s">
        <v>111</v>
      </c>
      <c r="U205" s="47" t="s">
        <v>111</v>
      </c>
      <c r="V205" s="83" t="s">
        <v>126</v>
      </c>
      <c r="W205" s="83" t="s">
        <v>113</v>
      </c>
      <c r="X205" s="114" t="s">
        <v>114</v>
      </c>
      <c r="Y205" s="47" t="s">
        <v>111</v>
      </c>
      <c r="Z205" s="47" t="s">
        <v>110</v>
      </c>
      <c r="AA205" s="47" t="s">
        <v>110</v>
      </c>
      <c r="AB205" s="47" t="s">
        <v>110</v>
      </c>
      <c r="AC205" s="83" t="s">
        <v>119</v>
      </c>
      <c r="AD205" s="83" t="s">
        <v>221</v>
      </c>
      <c r="AE205" s="83" t="s">
        <v>118</v>
      </c>
      <c r="AF205" s="95" t="s">
        <v>110</v>
      </c>
      <c r="AG205" s="83" t="s">
        <v>110</v>
      </c>
      <c r="AH205" s="47" t="s">
        <v>122</v>
      </c>
      <c r="AI205" s="83" t="s">
        <v>110</v>
      </c>
      <c r="AJ205" s="83" t="s">
        <v>197</v>
      </c>
      <c r="AK205" s="83" t="s">
        <v>110</v>
      </c>
      <c r="AL205" s="47" t="s">
        <v>122</v>
      </c>
      <c r="AM205" s="47" t="s">
        <v>110</v>
      </c>
      <c r="AN205" s="47" t="s">
        <v>123</v>
      </c>
      <c r="AO205" s="83" t="s">
        <v>123</v>
      </c>
      <c r="AP205" s="47" t="s">
        <v>110</v>
      </c>
      <c r="AQ205" s="83" t="s">
        <v>126</v>
      </c>
      <c r="AR205" s="83" t="s">
        <v>110</v>
      </c>
      <c r="AS205" s="47" t="s">
        <v>110</v>
      </c>
      <c r="AT205" s="16" t="s">
        <v>119</v>
      </c>
      <c r="AU205" s="17" t="s">
        <v>111</v>
      </c>
      <c r="AV205" s="47" t="s">
        <v>119</v>
      </c>
      <c r="AW205" s="47" t="s">
        <v>129</v>
      </c>
      <c r="AX205" s="47" t="s">
        <v>119</v>
      </c>
      <c r="AY205" s="47" t="s">
        <v>120</v>
      </c>
      <c r="AZ205" s="83" t="s">
        <v>126</v>
      </c>
      <c r="BA205" s="83" t="s">
        <v>111</v>
      </c>
      <c r="BB205" s="83" t="s">
        <v>126</v>
      </c>
      <c r="BC205" s="83" t="s">
        <v>110</v>
      </c>
      <c r="BD205" s="95" t="s">
        <v>126</v>
      </c>
      <c r="BE205" s="83" t="s">
        <v>126</v>
      </c>
      <c r="BF205" s="83" t="s">
        <v>141</v>
      </c>
      <c r="BG205" s="47" t="s">
        <v>111</v>
      </c>
      <c r="BH205" s="83" t="s">
        <v>124</v>
      </c>
      <c r="BI205" s="47" t="s">
        <v>111</v>
      </c>
      <c r="BJ205" s="83" t="s">
        <v>119</v>
      </c>
      <c r="BK205" s="47" t="s">
        <v>110</v>
      </c>
      <c r="BL205" s="47" t="s">
        <v>126</v>
      </c>
      <c r="BM205" s="47" t="s">
        <v>127</v>
      </c>
      <c r="BN205" s="18" t="s">
        <v>111</v>
      </c>
      <c r="BO205" s="47" t="s">
        <v>110</v>
      </c>
      <c r="BP205" s="47" t="s">
        <v>120</v>
      </c>
      <c r="BQ205" s="47" t="s">
        <v>111</v>
      </c>
      <c r="BR205" s="47" t="s">
        <v>111</v>
      </c>
      <c r="BS205" s="83" t="s">
        <v>111</v>
      </c>
      <c r="BT205" s="47" t="s">
        <v>111</v>
      </c>
      <c r="BU205" s="47" t="s">
        <v>110</v>
      </c>
      <c r="BV205" s="47" t="s">
        <v>119</v>
      </c>
      <c r="BW205" s="47" t="s">
        <v>123</v>
      </c>
      <c r="BX205" s="47" t="s">
        <v>124</v>
      </c>
      <c r="BY205" s="83" t="s">
        <v>110</v>
      </c>
      <c r="BZ205" s="47" t="s">
        <v>111</v>
      </c>
      <c r="CA205" s="47" t="s">
        <v>110</v>
      </c>
      <c r="CB205" s="47" t="s">
        <v>119</v>
      </c>
      <c r="CC205" s="47" t="s">
        <v>111</v>
      </c>
      <c r="CD205" s="47" t="s">
        <v>110</v>
      </c>
      <c r="CE205" s="47" t="s">
        <v>127</v>
      </c>
      <c r="CF205" s="47" t="s">
        <v>111</v>
      </c>
      <c r="CG205" s="47" t="s">
        <v>110</v>
      </c>
      <c r="CH205" s="83" t="s">
        <v>119</v>
      </c>
      <c r="CI205" s="47" t="s">
        <v>111</v>
      </c>
      <c r="CJ205" s="47" t="s">
        <v>119</v>
      </c>
      <c r="CK205" s="47" t="s">
        <v>125</v>
      </c>
      <c r="CL205" s="47" t="s">
        <v>110</v>
      </c>
      <c r="CM205" s="47" t="s">
        <v>111</v>
      </c>
      <c r="CN205" s="50" t="s">
        <v>668</v>
      </c>
      <c r="CO205" t="s">
        <v>786</v>
      </c>
      <c r="CP205">
        <f>IFERROR(VLOOKUP(H205,'Lista Lideres'!$A$1:$B$350,2,0),0)</f>
        <v>0</v>
      </c>
    </row>
    <row r="206" spans="1:94" ht="13.8" hidden="1" x14ac:dyDescent="0.3">
      <c r="A206" s="52">
        <v>45564.312070324071</v>
      </c>
      <c r="B206" s="47" t="s">
        <v>181</v>
      </c>
      <c r="C206" s="53" t="s">
        <v>783</v>
      </c>
      <c r="D206" s="53" t="s">
        <v>93</v>
      </c>
      <c r="E206" s="53" t="s">
        <v>669</v>
      </c>
      <c r="F206" s="53" t="s">
        <v>97</v>
      </c>
      <c r="G206" s="53" t="s">
        <v>670</v>
      </c>
      <c r="H206" s="53" t="s">
        <v>670</v>
      </c>
      <c r="I206" s="53" t="s">
        <v>149</v>
      </c>
      <c r="J206" s="53" t="s">
        <v>183</v>
      </c>
      <c r="K206" s="53" t="s">
        <v>102</v>
      </c>
      <c r="L206" s="84" t="s">
        <v>103</v>
      </c>
      <c r="M206" s="8" t="s">
        <v>104</v>
      </c>
      <c r="N206" s="84" t="s">
        <v>388</v>
      </c>
      <c r="O206" s="84" t="s">
        <v>106</v>
      </c>
      <c r="P206" s="84" t="s">
        <v>107</v>
      </c>
      <c r="Q206" s="115" t="s">
        <v>108</v>
      </c>
      <c r="R206" s="53" t="s">
        <v>176</v>
      </c>
      <c r="S206" s="53" t="s">
        <v>110</v>
      </c>
      <c r="T206" s="53" t="s">
        <v>110</v>
      </c>
      <c r="U206" s="53" t="s">
        <v>119</v>
      </c>
      <c r="V206" s="84" t="s">
        <v>112</v>
      </c>
      <c r="W206" s="84" t="s">
        <v>113</v>
      </c>
      <c r="X206" s="115" t="s">
        <v>153</v>
      </c>
      <c r="Y206" s="53" t="s">
        <v>110</v>
      </c>
      <c r="Z206" s="53" t="s">
        <v>110</v>
      </c>
      <c r="AA206" s="53" t="s">
        <v>110</v>
      </c>
      <c r="AB206" s="53" t="s">
        <v>110</v>
      </c>
      <c r="AC206" s="84" t="s">
        <v>110</v>
      </c>
      <c r="AD206" s="84" t="s">
        <v>117</v>
      </c>
      <c r="AE206" s="84" t="s">
        <v>138</v>
      </c>
      <c r="AF206" s="96" t="s">
        <v>111</v>
      </c>
      <c r="AG206" s="84" t="s">
        <v>120</v>
      </c>
      <c r="AH206" s="53" t="s">
        <v>122</v>
      </c>
      <c r="AI206" s="84" t="s">
        <v>122</v>
      </c>
      <c r="AJ206" s="84" t="s">
        <v>122</v>
      </c>
      <c r="AK206" s="84" t="s">
        <v>110</v>
      </c>
      <c r="AL206" s="53" t="s">
        <v>122</v>
      </c>
      <c r="AM206" s="53" t="s">
        <v>110</v>
      </c>
      <c r="AN206" s="53" t="s">
        <v>123</v>
      </c>
      <c r="AO206" s="84" t="s">
        <v>178</v>
      </c>
      <c r="AP206" s="53" t="s">
        <v>178</v>
      </c>
      <c r="AQ206" s="84" t="s">
        <v>125</v>
      </c>
      <c r="AR206" s="84" t="s">
        <v>129</v>
      </c>
      <c r="AS206" s="53" t="s">
        <v>119</v>
      </c>
      <c r="AT206" s="9" t="s">
        <v>110</v>
      </c>
      <c r="AU206" s="10" t="s">
        <v>110</v>
      </c>
      <c r="AV206" s="53" t="s">
        <v>110</v>
      </c>
      <c r="AW206" s="53" t="s">
        <v>110</v>
      </c>
      <c r="AX206" s="53" t="s">
        <v>110</v>
      </c>
      <c r="AY206" s="53" t="s">
        <v>120</v>
      </c>
      <c r="AZ206" s="84" t="s">
        <v>126</v>
      </c>
      <c r="BA206" s="84" t="s">
        <v>111</v>
      </c>
      <c r="BB206" s="84" t="s">
        <v>126</v>
      </c>
      <c r="BC206" s="84" t="s">
        <v>119</v>
      </c>
      <c r="BD206" s="96" t="s">
        <v>214</v>
      </c>
      <c r="BE206" s="84" t="s">
        <v>126</v>
      </c>
      <c r="BF206" s="84" t="s">
        <v>122</v>
      </c>
      <c r="BG206" s="53" t="s">
        <v>119</v>
      </c>
      <c r="BH206" s="84" t="s">
        <v>214</v>
      </c>
      <c r="BI206" s="53" t="s">
        <v>110</v>
      </c>
      <c r="BJ206" s="84" t="s">
        <v>110</v>
      </c>
      <c r="BK206" s="53" t="s">
        <v>177</v>
      </c>
      <c r="BL206" s="53" t="s">
        <v>124</v>
      </c>
      <c r="BM206" s="53" t="s">
        <v>209</v>
      </c>
      <c r="BN206" s="11" t="s">
        <v>110</v>
      </c>
      <c r="BO206" s="53" t="s">
        <v>110</v>
      </c>
      <c r="BP206" s="53" t="s">
        <v>120</v>
      </c>
      <c r="BQ206" s="53" t="s">
        <v>115</v>
      </c>
      <c r="BR206" s="53" t="s">
        <v>111</v>
      </c>
      <c r="BS206" s="84" t="s">
        <v>111</v>
      </c>
      <c r="BT206" s="53" t="s">
        <v>110</v>
      </c>
      <c r="BU206" s="53" t="s">
        <v>110</v>
      </c>
      <c r="BV206" s="53" t="s">
        <v>111</v>
      </c>
      <c r="BW206" s="53" t="s">
        <v>110</v>
      </c>
      <c r="BX206" s="53" t="s">
        <v>142</v>
      </c>
      <c r="BY206" s="84" t="s">
        <v>110</v>
      </c>
      <c r="BZ206" s="53" t="s">
        <v>110</v>
      </c>
      <c r="CA206" s="53" t="s">
        <v>111</v>
      </c>
      <c r="CB206" s="53" t="s">
        <v>110</v>
      </c>
      <c r="CC206" s="53" t="s">
        <v>110</v>
      </c>
      <c r="CD206" s="53" t="s">
        <v>119</v>
      </c>
      <c r="CE206" s="53" t="s">
        <v>110</v>
      </c>
      <c r="CF206" s="53" t="s">
        <v>110</v>
      </c>
      <c r="CG206" s="53" t="s">
        <v>129</v>
      </c>
      <c r="CH206" s="84" t="s">
        <v>119</v>
      </c>
      <c r="CI206" s="53" t="s">
        <v>110</v>
      </c>
      <c r="CJ206" s="53" t="s">
        <v>129</v>
      </c>
      <c r="CK206" s="53" t="s">
        <v>124</v>
      </c>
      <c r="CL206" s="53" t="s">
        <v>129</v>
      </c>
      <c r="CM206" s="53" t="s">
        <v>111</v>
      </c>
      <c r="CN206" s="50" t="s">
        <v>671</v>
      </c>
      <c r="CO206" t="s">
        <v>785</v>
      </c>
      <c r="CP206">
        <f>IFERROR(VLOOKUP(H206,'Lista Lideres'!$A$1:$B$350,2,0),0)</f>
        <v>0</v>
      </c>
    </row>
    <row r="207" spans="1:94" ht="14.4" hidden="1" x14ac:dyDescent="0.3">
      <c r="A207" s="52">
        <v>45572.944695891201</v>
      </c>
      <c r="B207" s="47" t="s">
        <v>181</v>
      </c>
      <c r="C207" s="53" t="s">
        <v>783</v>
      </c>
      <c r="D207" s="53" t="s">
        <v>93</v>
      </c>
      <c r="E207" s="53" t="s">
        <v>304</v>
      </c>
      <c r="F207" s="53" t="s">
        <v>96</v>
      </c>
      <c r="G207" s="53" t="s">
        <v>672</v>
      </c>
      <c r="H207" s="53" t="s">
        <v>672</v>
      </c>
      <c r="I207" s="53" t="s">
        <v>149</v>
      </c>
      <c r="J207" s="53" t="s">
        <v>101</v>
      </c>
      <c r="K207" s="53" t="s">
        <v>191</v>
      </c>
      <c r="L207" s="84" t="s">
        <v>150</v>
      </c>
      <c r="M207" s="8" t="s">
        <v>104</v>
      </c>
      <c r="N207" s="84" t="s">
        <v>388</v>
      </c>
      <c r="O207" s="84" t="s">
        <v>106</v>
      </c>
      <c r="P207" s="84" t="s">
        <v>264</v>
      </c>
      <c r="Q207" s="115" t="s">
        <v>163</v>
      </c>
      <c r="R207" s="53" t="s">
        <v>164</v>
      </c>
      <c r="S207" s="53" t="s">
        <v>119</v>
      </c>
      <c r="T207" s="53" t="s">
        <v>119</v>
      </c>
      <c r="U207" s="53" t="s">
        <v>129</v>
      </c>
      <c r="V207" s="84" t="s">
        <v>126</v>
      </c>
      <c r="W207" s="84" t="s">
        <v>113</v>
      </c>
      <c r="X207" s="115" t="s">
        <v>235</v>
      </c>
      <c r="Y207" s="53" t="s">
        <v>206</v>
      </c>
      <c r="Z207" s="53" t="s">
        <v>119</v>
      </c>
      <c r="AA207" s="53" t="s">
        <v>119</v>
      </c>
      <c r="AB207" s="53" t="s">
        <v>129</v>
      </c>
      <c r="AC207" s="84" t="s">
        <v>110</v>
      </c>
      <c r="AD207" s="84" t="s">
        <v>166</v>
      </c>
      <c r="AE207" s="84" t="s">
        <v>138</v>
      </c>
      <c r="AF207" s="96" t="s">
        <v>119</v>
      </c>
      <c r="AG207" s="84" t="s">
        <v>111</v>
      </c>
      <c r="AH207" s="53" t="s">
        <v>168</v>
      </c>
      <c r="AI207" s="84" t="s">
        <v>154</v>
      </c>
      <c r="AJ207" s="84" t="s">
        <v>110</v>
      </c>
      <c r="AK207" s="84" t="s">
        <v>225</v>
      </c>
      <c r="AL207" s="53" t="s">
        <v>168</v>
      </c>
      <c r="AM207" s="53" t="s">
        <v>123</v>
      </c>
      <c r="AN207" s="53" t="s">
        <v>123</v>
      </c>
      <c r="AO207" s="84" t="s">
        <v>123</v>
      </c>
      <c r="AP207" s="53" t="s">
        <v>123</v>
      </c>
      <c r="AQ207" s="84" t="s">
        <v>125</v>
      </c>
      <c r="AR207" s="84" t="s">
        <v>119</v>
      </c>
      <c r="AS207" s="53" t="s">
        <v>110</v>
      </c>
      <c r="AT207" s="9" t="s">
        <v>111</v>
      </c>
      <c r="AU207" s="10" t="s">
        <v>119</v>
      </c>
      <c r="AV207" s="53" t="s">
        <v>111</v>
      </c>
      <c r="AW207" s="53" t="s">
        <v>111</v>
      </c>
      <c r="AX207" s="53" t="s">
        <v>111</v>
      </c>
      <c r="AY207" s="53" t="s">
        <v>110</v>
      </c>
      <c r="AZ207" s="84" t="s">
        <v>124</v>
      </c>
      <c r="BA207" s="84" t="s">
        <v>119</v>
      </c>
      <c r="BB207" s="84" t="s">
        <v>139</v>
      </c>
      <c r="BC207" s="84" t="s">
        <v>110</v>
      </c>
      <c r="BD207" s="96" t="s">
        <v>124</v>
      </c>
      <c r="BE207" s="84" t="s">
        <v>140</v>
      </c>
      <c r="BF207" s="84" t="s">
        <v>110</v>
      </c>
      <c r="BG207" s="53" t="s">
        <v>110</v>
      </c>
      <c r="BH207" s="84" t="s">
        <v>124</v>
      </c>
      <c r="BI207" s="53" t="s">
        <v>119</v>
      </c>
      <c r="BJ207" s="84" t="s">
        <v>111</v>
      </c>
      <c r="BK207" s="53" t="s">
        <v>122</v>
      </c>
      <c r="BL207" s="53" t="s">
        <v>126</v>
      </c>
      <c r="BM207" s="53" t="s">
        <v>209</v>
      </c>
      <c r="BN207" s="11" t="s">
        <v>119</v>
      </c>
      <c r="BO207" s="53" t="s">
        <v>129</v>
      </c>
      <c r="BP207" s="53" t="s">
        <v>119</v>
      </c>
      <c r="BQ207" s="53" t="s">
        <v>119</v>
      </c>
      <c r="BR207" s="53" t="s">
        <v>119</v>
      </c>
      <c r="BS207" s="84" t="s">
        <v>110</v>
      </c>
      <c r="BT207" s="53" t="s">
        <v>119</v>
      </c>
      <c r="BU207" s="53" t="s">
        <v>119</v>
      </c>
      <c r="BV207" s="53" t="s">
        <v>111</v>
      </c>
      <c r="BW207" s="53" t="s">
        <v>110</v>
      </c>
      <c r="BX207" s="53" t="s">
        <v>126</v>
      </c>
      <c r="BY207" s="84" t="s">
        <v>119</v>
      </c>
      <c r="BZ207" s="53" t="s">
        <v>129</v>
      </c>
      <c r="CA207" s="53" t="s">
        <v>119</v>
      </c>
      <c r="CB207" s="53" t="s">
        <v>111</v>
      </c>
      <c r="CC207" s="53" t="s">
        <v>119</v>
      </c>
      <c r="CD207" s="53" t="s">
        <v>111</v>
      </c>
      <c r="CE207" s="53" t="s">
        <v>110</v>
      </c>
      <c r="CF207" s="53" t="s">
        <v>110</v>
      </c>
      <c r="CG207" s="53" t="s">
        <v>119</v>
      </c>
      <c r="CH207" s="84" t="s">
        <v>110</v>
      </c>
      <c r="CI207" s="53" t="s">
        <v>111</v>
      </c>
      <c r="CJ207" s="53" t="s">
        <v>110</v>
      </c>
      <c r="CK207" s="53" t="s">
        <v>124</v>
      </c>
      <c r="CL207" s="53" t="s">
        <v>129</v>
      </c>
      <c r="CM207" s="53" t="s">
        <v>119</v>
      </c>
      <c r="CN207" s="56"/>
      <c r="CO207" t="s">
        <v>785</v>
      </c>
      <c r="CP207">
        <f>IFERROR(VLOOKUP(H207,'Lista Lideres'!$A$1:$B$350,2,0),0)</f>
        <v>0</v>
      </c>
    </row>
    <row r="208" spans="1:94" ht="13.8" hidden="1" x14ac:dyDescent="0.3">
      <c r="A208" s="46">
        <v>45565.850215162034</v>
      </c>
      <c r="B208" s="47" t="s">
        <v>181</v>
      </c>
      <c r="C208" s="47" t="s">
        <v>783</v>
      </c>
      <c r="D208" s="47" t="s">
        <v>93</v>
      </c>
      <c r="E208" s="47" t="s">
        <v>304</v>
      </c>
      <c r="F208" s="47" t="s">
        <v>97</v>
      </c>
      <c r="G208" s="47" t="s">
        <v>673</v>
      </c>
      <c r="H208" s="47" t="s">
        <v>674</v>
      </c>
      <c r="I208" s="47" t="s">
        <v>149</v>
      </c>
      <c r="J208" s="47" t="s">
        <v>196</v>
      </c>
      <c r="K208" s="47" t="s">
        <v>191</v>
      </c>
      <c r="L208" s="83" t="s">
        <v>150</v>
      </c>
      <c r="M208" s="8" t="s">
        <v>104</v>
      </c>
      <c r="N208" s="83" t="s">
        <v>388</v>
      </c>
      <c r="O208" s="83" t="s">
        <v>106</v>
      </c>
      <c r="P208" s="83" t="s">
        <v>107</v>
      </c>
      <c r="Q208" s="114" t="s">
        <v>151</v>
      </c>
      <c r="R208" s="47" t="s">
        <v>314</v>
      </c>
      <c r="S208" s="47" t="s">
        <v>110</v>
      </c>
      <c r="T208" s="47" t="s">
        <v>119</v>
      </c>
      <c r="U208" s="47" t="s">
        <v>111</v>
      </c>
      <c r="V208" s="83" t="s">
        <v>136</v>
      </c>
      <c r="W208" s="83" t="s">
        <v>152</v>
      </c>
      <c r="X208" s="114" t="s">
        <v>165</v>
      </c>
      <c r="Y208" s="47" t="s">
        <v>115</v>
      </c>
      <c r="Z208" s="47" t="s">
        <v>168</v>
      </c>
      <c r="AA208" s="47" t="s">
        <v>168</v>
      </c>
      <c r="AB208" s="47" t="s">
        <v>115</v>
      </c>
      <c r="AC208" s="83" t="s">
        <v>110</v>
      </c>
      <c r="AD208" s="83" t="s">
        <v>117</v>
      </c>
      <c r="AE208" s="83" t="s">
        <v>118</v>
      </c>
      <c r="AF208" s="95" t="s">
        <v>111</v>
      </c>
      <c r="AG208" s="83" t="s">
        <v>110</v>
      </c>
      <c r="AH208" s="47" t="s">
        <v>110</v>
      </c>
      <c r="AI208" s="83" t="s">
        <v>110</v>
      </c>
      <c r="AJ208" s="83" t="s">
        <v>110</v>
      </c>
      <c r="AK208" s="83" t="s">
        <v>110</v>
      </c>
      <c r="AL208" s="47" t="s">
        <v>110</v>
      </c>
      <c r="AM208" s="47" t="s">
        <v>110</v>
      </c>
      <c r="AN208" s="47" t="s">
        <v>110</v>
      </c>
      <c r="AO208" s="83" t="s">
        <v>110</v>
      </c>
      <c r="AP208" s="47" t="s">
        <v>110</v>
      </c>
      <c r="AQ208" s="83" t="s">
        <v>126</v>
      </c>
      <c r="AR208" s="83" t="s">
        <v>110</v>
      </c>
      <c r="AS208" s="47" t="s">
        <v>110</v>
      </c>
      <c r="AT208" s="16" t="s">
        <v>119</v>
      </c>
      <c r="AU208" s="17" t="s">
        <v>111</v>
      </c>
      <c r="AV208" s="47" t="s">
        <v>119</v>
      </c>
      <c r="AW208" s="47" t="s">
        <v>119</v>
      </c>
      <c r="AX208" s="47" t="s">
        <v>129</v>
      </c>
      <c r="AY208" s="47" t="s">
        <v>120</v>
      </c>
      <c r="AZ208" s="83" t="s">
        <v>126</v>
      </c>
      <c r="BA208" s="83" t="s">
        <v>110</v>
      </c>
      <c r="BB208" s="83" t="s">
        <v>126</v>
      </c>
      <c r="BC208" s="83" t="s">
        <v>110</v>
      </c>
      <c r="BD208" s="95" t="s">
        <v>126</v>
      </c>
      <c r="BE208" s="83" t="s">
        <v>126</v>
      </c>
      <c r="BF208" s="83" t="s">
        <v>110</v>
      </c>
      <c r="BG208" s="47" t="s">
        <v>110</v>
      </c>
      <c r="BH208" s="83" t="s">
        <v>126</v>
      </c>
      <c r="BI208" s="47" t="s">
        <v>120</v>
      </c>
      <c r="BJ208" s="83" t="s">
        <v>110</v>
      </c>
      <c r="BK208" s="47" t="s">
        <v>110</v>
      </c>
      <c r="BL208" s="47" t="s">
        <v>126</v>
      </c>
      <c r="BM208" s="47" t="s">
        <v>110</v>
      </c>
      <c r="BN208" s="18" t="s">
        <v>115</v>
      </c>
      <c r="BO208" s="47" t="s">
        <v>115</v>
      </c>
      <c r="BP208" s="47" t="s">
        <v>120</v>
      </c>
      <c r="BQ208" s="47" t="s">
        <v>111</v>
      </c>
      <c r="BR208" s="47" t="s">
        <v>111</v>
      </c>
      <c r="BS208" s="83" t="s">
        <v>111</v>
      </c>
      <c r="BT208" s="47" t="s">
        <v>115</v>
      </c>
      <c r="BU208" s="47" t="s">
        <v>115</v>
      </c>
      <c r="BV208" s="47" t="s">
        <v>110</v>
      </c>
      <c r="BW208" s="47" t="s">
        <v>121</v>
      </c>
      <c r="BX208" s="47" t="s">
        <v>126</v>
      </c>
      <c r="BY208" s="83" t="s">
        <v>111</v>
      </c>
      <c r="BZ208" s="47" t="s">
        <v>115</v>
      </c>
      <c r="CA208" s="47" t="s">
        <v>110</v>
      </c>
      <c r="CB208" s="47" t="s">
        <v>129</v>
      </c>
      <c r="CC208" s="47" t="s">
        <v>111</v>
      </c>
      <c r="CD208" s="47" t="s">
        <v>110</v>
      </c>
      <c r="CE208" s="47" t="s">
        <v>116</v>
      </c>
      <c r="CF208" s="47" t="s">
        <v>111</v>
      </c>
      <c r="CG208" s="47" t="s">
        <v>111</v>
      </c>
      <c r="CH208" s="83" t="s">
        <v>110</v>
      </c>
      <c r="CI208" s="47" t="s">
        <v>110</v>
      </c>
      <c r="CJ208" s="47" t="s">
        <v>119</v>
      </c>
      <c r="CK208" s="47" t="s">
        <v>125</v>
      </c>
      <c r="CL208" s="47" t="s">
        <v>110</v>
      </c>
      <c r="CM208" s="47" t="s">
        <v>120</v>
      </c>
      <c r="CN208" s="55" t="s">
        <v>675</v>
      </c>
      <c r="CO208" t="s">
        <v>785</v>
      </c>
      <c r="CP208">
        <f>IFERROR(VLOOKUP(H208,'Lista Lideres'!$A$1:$B$350,2,0),0)</f>
        <v>0</v>
      </c>
    </row>
    <row r="209" spans="1:94" ht="13.8" hidden="1" x14ac:dyDescent="0.3">
      <c r="A209" s="52">
        <v>45568.735046921298</v>
      </c>
      <c r="B209" s="47" t="s">
        <v>181</v>
      </c>
      <c r="C209" s="53" t="s">
        <v>783</v>
      </c>
      <c r="D209" s="53" t="s">
        <v>93</v>
      </c>
      <c r="E209" s="53" t="s">
        <v>426</v>
      </c>
      <c r="F209" s="53" t="s">
        <v>97</v>
      </c>
      <c r="G209" s="53" t="s">
        <v>676</v>
      </c>
      <c r="H209" s="53" t="s">
        <v>677</v>
      </c>
      <c r="I209" s="53" t="s">
        <v>149</v>
      </c>
      <c r="J209" s="53" t="s">
        <v>173</v>
      </c>
      <c r="K209" s="53" t="s">
        <v>191</v>
      </c>
      <c r="L209" s="84" t="s">
        <v>213</v>
      </c>
      <c r="M209" s="8" t="s">
        <v>104</v>
      </c>
      <c r="N209" s="84" t="s">
        <v>388</v>
      </c>
      <c r="O209" s="84" t="s">
        <v>106</v>
      </c>
      <c r="P209" s="84" t="s">
        <v>107</v>
      </c>
      <c r="Q209" s="115" t="s">
        <v>151</v>
      </c>
      <c r="R209" s="53" t="s">
        <v>176</v>
      </c>
      <c r="S209" s="53" t="s">
        <v>111</v>
      </c>
      <c r="T209" s="53" t="s">
        <v>111</v>
      </c>
      <c r="U209" s="53" t="s">
        <v>115</v>
      </c>
      <c r="V209" s="84" t="s">
        <v>136</v>
      </c>
      <c r="W209" s="84" t="s">
        <v>113</v>
      </c>
      <c r="X209" s="115" t="s">
        <v>153</v>
      </c>
      <c r="Y209" s="53" t="s">
        <v>111</v>
      </c>
      <c r="Z209" s="53" t="s">
        <v>115</v>
      </c>
      <c r="AA209" s="53" t="s">
        <v>115</v>
      </c>
      <c r="AB209" s="53" t="s">
        <v>111</v>
      </c>
      <c r="AC209" s="84" t="s">
        <v>116</v>
      </c>
      <c r="AD209" s="84" t="s">
        <v>137</v>
      </c>
      <c r="AE209" s="84" t="s">
        <v>138</v>
      </c>
      <c r="AF209" s="96" t="s">
        <v>111</v>
      </c>
      <c r="AG209" s="84" t="s">
        <v>119</v>
      </c>
      <c r="AH209" s="53" t="s">
        <v>110</v>
      </c>
      <c r="AI209" s="84" t="s">
        <v>121</v>
      </c>
      <c r="AJ209" s="84" t="s">
        <v>197</v>
      </c>
      <c r="AK209" s="84" t="s">
        <v>121</v>
      </c>
      <c r="AL209" s="53" t="s">
        <v>128</v>
      </c>
      <c r="AM209" s="53" t="s">
        <v>128</v>
      </c>
      <c r="AN209" s="53" t="s">
        <v>128</v>
      </c>
      <c r="AO209" s="84" t="s">
        <v>128</v>
      </c>
      <c r="AP209" s="53" t="s">
        <v>110</v>
      </c>
      <c r="AQ209" s="84" t="s">
        <v>124</v>
      </c>
      <c r="AR209" s="84" t="s">
        <v>110</v>
      </c>
      <c r="AS209" s="53" t="s">
        <v>111</v>
      </c>
      <c r="AT209" s="9" t="s">
        <v>129</v>
      </c>
      <c r="AU209" s="10" t="s">
        <v>111</v>
      </c>
      <c r="AV209" s="53" t="s">
        <v>119</v>
      </c>
      <c r="AW209" s="53" t="s">
        <v>119</v>
      </c>
      <c r="AX209" s="53" t="s">
        <v>119</v>
      </c>
      <c r="AY209" s="53" t="s">
        <v>111</v>
      </c>
      <c r="AZ209" s="84" t="s">
        <v>125</v>
      </c>
      <c r="BA209" s="84" t="s">
        <v>111</v>
      </c>
      <c r="BB209" s="84" t="s">
        <v>142</v>
      </c>
      <c r="BC209" s="84" t="s">
        <v>110</v>
      </c>
      <c r="BD209" s="96" t="s">
        <v>125</v>
      </c>
      <c r="BE209" s="84" t="s">
        <v>125</v>
      </c>
      <c r="BF209" s="84" t="s">
        <v>141</v>
      </c>
      <c r="BG209" s="53" t="s">
        <v>111</v>
      </c>
      <c r="BH209" s="84" t="s">
        <v>125</v>
      </c>
      <c r="BI209" s="53" t="s">
        <v>111</v>
      </c>
      <c r="BJ209" s="84" t="s">
        <v>119</v>
      </c>
      <c r="BK209" s="53" t="s">
        <v>128</v>
      </c>
      <c r="BL209" s="53" t="s">
        <v>125</v>
      </c>
      <c r="BM209" s="53" t="s">
        <v>127</v>
      </c>
      <c r="BN209" s="11" t="s">
        <v>111</v>
      </c>
      <c r="BO209" s="53" t="s">
        <v>111</v>
      </c>
      <c r="BP209" s="53" t="s">
        <v>120</v>
      </c>
      <c r="BQ209" s="53" t="s">
        <v>115</v>
      </c>
      <c r="BR209" s="53" t="s">
        <v>115</v>
      </c>
      <c r="BS209" s="84" t="s">
        <v>111</v>
      </c>
      <c r="BT209" s="53" t="s">
        <v>115</v>
      </c>
      <c r="BU209" s="53" t="s">
        <v>115</v>
      </c>
      <c r="BV209" s="53" t="s">
        <v>119</v>
      </c>
      <c r="BW209" s="53" t="s">
        <v>123</v>
      </c>
      <c r="BX209" s="53" t="s">
        <v>124</v>
      </c>
      <c r="BY209" s="84" t="s">
        <v>111</v>
      </c>
      <c r="BZ209" s="53" t="s">
        <v>115</v>
      </c>
      <c r="CA209" s="53" t="s">
        <v>115</v>
      </c>
      <c r="CB209" s="53" t="s">
        <v>119</v>
      </c>
      <c r="CC209" s="53" t="s">
        <v>111</v>
      </c>
      <c r="CD209" s="53" t="s">
        <v>119</v>
      </c>
      <c r="CE209" s="53" t="s">
        <v>127</v>
      </c>
      <c r="CF209" s="53" t="s">
        <v>110</v>
      </c>
      <c r="CG209" s="53" t="s">
        <v>111</v>
      </c>
      <c r="CH209" s="84" t="s">
        <v>111</v>
      </c>
      <c r="CI209" s="53" t="s">
        <v>111</v>
      </c>
      <c r="CJ209" s="53" t="s">
        <v>119</v>
      </c>
      <c r="CK209" s="53" t="s">
        <v>125</v>
      </c>
      <c r="CL209" s="53" t="s">
        <v>111</v>
      </c>
      <c r="CM209" s="53" t="s">
        <v>120</v>
      </c>
      <c r="CN209" s="50" t="s">
        <v>678</v>
      </c>
      <c r="CO209" t="s">
        <v>785</v>
      </c>
      <c r="CP209">
        <f>IFERROR(VLOOKUP(H209,'Lista Lideres'!$A$1:$B$350,2,0),0)</f>
        <v>0</v>
      </c>
    </row>
    <row r="210" spans="1:94" ht="14.4" hidden="1" x14ac:dyDescent="0.3">
      <c r="A210" s="46">
        <v>45569.981314247685</v>
      </c>
      <c r="B210" s="47" t="s">
        <v>181</v>
      </c>
      <c r="C210" s="47" t="s">
        <v>783</v>
      </c>
      <c r="D210" s="47" t="s">
        <v>93</v>
      </c>
      <c r="E210" s="47" t="s">
        <v>679</v>
      </c>
      <c r="F210" s="47" t="s">
        <v>97</v>
      </c>
      <c r="G210" s="47" t="s">
        <v>313</v>
      </c>
      <c r="H210" s="47" t="s">
        <v>313</v>
      </c>
      <c r="I210" s="47" t="s">
        <v>149</v>
      </c>
      <c r="J210" s="47" t="s">
        <v>101</v>
      </c>
      <c r="K210" s="47" t="s">
        <v>191</v>
      </c>
      <c r="L210" s="83" t="s">
        <v>213</v>
      </c>
      <c r="M210" s="8" t="s">
        <v>104</v>
      </c>
      <c r="N210" s="83" t="s">
        <v>388</v>
      </c>
      <c r="O210" s="83" t="s">
        <v>282</v>
      </c>
      <c r="P210" s="83" t="s">
        <v>175</v>
      </c>
      <c r="Q210" s="114" t="s">
        <v>108</v>
      </c>
      <c r="R210" s="47" t="s">
        <v>164</v>
      </c>
      <c r="S210" s="47" t="s">
        <v>110</v>
      </c>
      <c r="T210" s="47" t="s">
        <v>110</v>
      </c>
      <c r="U210" s="47" t="s">
        <v>110</v>
      </c>
      <c r="V210" s="83" t="s">
        <v>126</v>
      </c>
      <c r="W210" s="83" t="s">
        <v>152</v>
      </c>
      <c r="X210" s="114" t="s">
        <v>153</v>
      </c>
      <c r="Y210" s="47" t="s">
        <v>206</v>
      </c>
      <c r="Z210" s="47" t="s">
        <v>110</v>
      </c>
      <c r="AA210" s="47" t="s">
        <v>110</v>
      </c>
      <c r="AB210" s="47" t="s">
        <v>119</v>
      </c>
      <c r="AC210" s="83" t="s">
        <v>111</v>
      </c>
      <c r="AD210" s="83" t="s">
        <v>166</v>
      </c>
      <c r="AE210" s="83" t="s">
        <v>138</v>
      </c>
      <c r="AF210" s="95" t="s">
        <v>110</v>
      </c>
      <c r="AG210" s="83" t="s">
        <v>168</v>
      </c>
      <c r="AH210" s="47" t="s">
        <v>168</v>
      </c>
      <c r="AI210" s="83" t="s">
        <v>154</v>
      </c>
      <c r="AJ210" s="83" t="s">
        <v>197</v>
      </c>
      <c r="AK210" s="83" t="s">
        <v>225</v>
      </c>
      <c r="AL210" s="47" t="s">
        <v>110</v>
      </c>
      <c r="AM210" s="47" t="s">
        <v>110</v>
      </c>
      <c r="AN210" s="47" t="s">
        <v>110</v>
      </c>
      <c r="AO210" s="83" t="s">
        <v>110</v>
      </c>
      <c r="AP210" s="47" t="s">
        <v>128</v>
      </c>
      <c r="AQ210" s="83" t="s">
        <v>124</v>
      </c>
      <c r="AR210" s="83" t="s">
        <v>111</v>
      </c>
      <c r="AS210" s="47" t="s">
        <v>110</v>
      </c>
      <c r="AT210" s="16" t="s">
        <v>119</v>
      </c>
      <c r="AU210" s="17" t="s">
        <v>111</v>
      </c>
      <c r="AV210" s="47" t="s">
        <v>110</v>
      </c>
      <c r="AW210" s="47" t="s">
        <v>110</v>
      </c>
      <c r="AX210" s="47" t="s">
        <v>129</v>
      </c>
      <c r="AY210" s="47" t="s">
        <v>111</v>
      </c>
      <c r="AZ210" s="83" t="s">
        <v>126</v>
      </c>
      <c r="BA210" s="83" t="s">
        <v>111</v>
      </c>
      <c r="BB210" s="83" t="s">
        <v>139</v>
      </c>
      <c r="BC210" s="83" t="s">
        <v>110</v>
      </c>
      <c r="BD210" s="95" t="s">
        <v>125</v>
      </c>
      <c r="BE210" s="83" t="s">
        <v>140</v>
      </c>
      <c r="BF210" s="83" t="s">
        <v>141</v>
      </c>
      <c r="BG210" s="47" t="s">
        <v>110</v>
      </c>
      <c r="BH210" s="83" t="s">
        <v>124</v>
      </c>
      <c r="BI210" s="47" t="s">
        <v>119</v>
      </c>
      <c r="BJ210" s="83" t="s">
        <v>129</v>
      </c>
      <c r="BK210" s="47" t="s">
        <v>121</v>
      </c>
      <c r="BL210" s="47" t="s">
        <v>142</v>
      </c>
      <c r="BM210" s="47" t="s">
        <v>127</v>
      </c>
      <c r="BN210" s="18" t="s">
        <v>110</v>
      </c>
      <c r="BO210" s="47" t="s">
        <v>119</v>
      </c>
      <c r="BP210" s="47" t="s">
        <v>120</v>
      </c>
      <c r="BQ210" s="47" t="s">
        <v>115</v>
      </c>
      <c r="BR210" s="47" t="s">
        <v>115</v>
      </c>
      <c r="BS210" s="83" t="s">
        <v>110</v>
      </c>
      <c r="BT210" s="47" t="s">
        <v>111</v>
      </c>
      <c r="BU210" s="47" t="s">
        <v>110</v>
      </c>
      <c r="BV210" s="47" t="s">
        <v>110</v>
      </c>
      <c r="BW210" s="47" t="s">
        <v>110</v>
      </c>
      <c r="BX210" s="47" t="s">
        <v>126</v>
      </c>
      <c r="BY210" s="83" t="s">
        <v>110</v>
      </c>
      <c r="BZ210" s="47" t="s">
        <v>111</v>
      </c>
      <c r="CA210" s="47" t="s">
        <v>111</v>
      </c>
      <c r="CB210" s="47" t="s">
        <v>119</v>
      </c>
      <c r="CC210" s="47" t="s">
        <v>110</v>
      </c>
      <c r="CD210" s="47" t="s">
        <v>111</v>
      </c>
      <c r="CE210" s="47" t="s">
        <v>110</v>
      </c>
      <c r="CF210" s="47" t="s">
        <v>110</v>
      </c>
      <c r="CG210" s="47" t="s">
        <v>110</v>
      </c>
      <c r="CH210" s="83" t="s">
        <v>110</v>
      </c>
      <c r="CI210" s="47" t="s">
        <v>111</v>
      </c>
      <c r="CJ210" s="47" t="s">
        <v>110</v>
      </c>
      <c r="CK210" s="47" t="s">
        <v>125</v>
      </c>
      <c r="CL210" s="47" t="s">
        <v>110</v>
      </c>
      <c r="CM210" s="47" t="s">
        <v>111</v>
      </c>
      <c r="CN210" s="49"/>
      <c r="CO210" t="s">
        <v>785</v>
      </c>
      <c r="CP210">
        <f>IFERROR(VLOOKUP(H210,'Lista Lideres'!$A$1:$B$350,2,0),0)</f>
        <v>0</v>
      </c>
    </row>
    <row r="211" spans="1:94" ht="14.4" hidden="1" x14ac:dyDescent="0.3">
      <c r="A211" s="52">
        <v>45563.727171053237</v>
      </c>
      <c r="B211" s="47" t="s">
        <v>181</v>
      </c>
      <c r="C211" s="53" t="s">
        <v>783</v>
      </c>
      <c r="D211" s="53" t="s">
        <v>93</v>
      </c>
      <c r="E211" s="53" t="s">
        <v>236</v>
      </c>
      <c r="F211" s="53" t="s">
        <v>171</v>
      </c>
      <c r="G211" s="53" t="s">
        <v>680</v>
      </c>
      <c r="H211" s="53" t="s">
        <v>680</v>
      </c>
      <c r="I211" s="53" t="s">
        <v>149</v>
      </c>
      <c r="J211" s="53" t="s">
        <v>101</v>
      </c>
      <c r="K211" s="53" t="s">
        <v>191</v>
      </c>
      <c r="L211" s="84" t="s">
        <v>135</v>
      </c>
      <c r="M211" s="8" t="s">
        <v>104</v>
      </c>
      <c r="N211" s="84" t="s">
        <v>388</v>
      </c>
      <c r="O211" s="84" t="s">
        <v>106</v>
      </c>
      <c r="P211" s="84" t="s">
        <v>107</v>
      </c>
      <c r="Q211" s="115" t="s">
        <v>108</v>
      </c>
      <c r="R211" s="53" t="s">
        <v>164</v>
      </c>
      <c r="S211" s="53" t="s">
        <v>129</v>
      </c>
      <c r="T211" s="53" t="s">
        <v>119</v>
      </c>
      <c r="U211" s="53" t="s">
        <v>119</v>
      </c>
      <c r="V211" s="84" t="s">
        <v>126</v>
      </c>
      <c r="W211" s="84" t="s">
        <v>113</v>
      </c>
      <c r="X211" s="115" t="s">
        <v>153</v>
      </c>
      <c r="Y211" s="53" t="s">
        <v>111</v>
      </c>
      <c r="Z211" s="53" t="s">
        <v>111</v>
      </c>
      <c r="AA211" s="53" t="s">
        <v>110</v>
      </c>
      <c r="AB211" s="53" t="s">
        <v>111</v>
      </c>
      <c r="AC211" s="84" t="s">
        <v>116</v>
      </c>
      <c r="AD211" s="84" t="s">
        <v>117</v>
      </c>
      <c r="AE211" s="84" t="s">
        <v>118</v>
      </c>
      <c r="AF211" s="96" t="s">
        <v>119</v>
      </c>
      <c r="AG211" s="84" t="s">
        <v>119</v>
      </c>
      <c r="AH211" s="53" t="s">
        <v>122</v>
      </c>
      <c r="AI211" s="84" t="s">
        <v>154</v>
      </c>
      <c r="AJ211" s="84" t="s">
        <v>197</v>
      </c>
      <c r="AK211" s="84" t="s">
        <v>121</v>
      </c>
      <c r="AL211" s="53" t="s">
        <v>177</v>
      </c>
      <c r="AM211" s="53" t="s">
        <v>123</v>
      </c>
      <c r="AN211" s="53" t="s">
        <v>110</v>
      </c>
      <c r="AO211" s="84" t="s">
        <v>110</v>
      </c>
      <c r="AP211" s="53" t="s">
        <v>178</v>
      </c>
      <c r="AQ211" s="84" t="s">
        <v>124</v>
      </c>
      <c r="AR211" s="84" t="s">
        <v>119</v>
      </c>
      <c r="AS211" s="53" t="s">
        <v>115</v>
      </c>
      <c r="AT211" s="9" t="s">
        <v>119</v>
      </c>
      <c r="AU211" s="10" t="s">
        <v>115</v>
      </c>
      <c r="AV211" s="53" t="s">
        <v>119</v>
      </c>
      <c r="AW211" s="53" t="s">
        <v>119</v>
      </c>
      <c r="AX211" s="53" t="s">
        <v>111</v>
      </c>
      <c r="AY211" s="53" t="s">
        <v>111</v>
      </c>
      <c r="AZ211" s="84" t="s">
        <v>125</v>
      </c>
      <c r="BA211" s="84" t="s">
        <v>129</v>
      </c>
      <c r="BB211" s="84" t="s">
        <v>139</v>
      </c>
      <c r="BC211" s="84" t="s">
        <v>120</v>
      </c>
      <c r="BD211" s="96" t="s">
        <v>126</v>
      </c>
      <c r="BE211" s="84" t="s">
        <v>140</v>
      </c>
      <c r="BF211" s="84" t="s">
        <v>141</v>
      </c>
      <c r="BG211" s="53" t="s">
        <v>111</v>
      </c>
      <c r="BH211" s="84" t="s">
        <v>142</v>
      </c>
      <c r="BI211" s="53" t="s">
        <v>120</v>
      </c>
      <c r="BJ211" s="84" t="s">
        <v>129</v>
      </c>
      <c r="BK211" s="53" t="s">
        <v>122</v>
      </c>
      <c r="BL211" s="53" t="s">
        <v>124</v>
      </c>
      <c r="BM211" s="53" t="s">
        <v>127</v>
      </c>
      <c r="BN211" s="11" t="s">
        <v>111</v>
      </c>
      <c r="BO211" s="53" t="s">
        <v>115</v>
      </c>
      <c r="BP211" s="53" t="s">
        <v>120</v>
      </c>
      <c r="BQ211" s="53" t="s">
        <v>119</v>
      </c>
      <c r="BR211" s="53" t="s">
        <v>115</v>
      </c>
      <c r="BS211" s="84" t="s">
        <v>111</v>
      </c>
      <c r="BT211" s="53" t="s">
        <v>115</v>
      </c>
      <c r="BU211" s="53" t="s">
        <v>115</v>
      </c>
      <c r="BV211" s="53" t="s">
        <v>119</v>
      </c>
      <c r="BW211" s="53" t="s">
        <v>123</v>
      </c>
      <c r="BX211" s="53" t="s">
        <v>142</v>
      </c>
      <c r="BY211" s="84" t="s">
        <v>111</v>
      </c>
      <c r="BZ211" s="53" t="s">
        <v>111</v>
      </c>
      <c r="CA211" s="53" t="s">
        <v>110</v>
      </c>
      <c r="CB211" s="53" t="s">
        <v>129</v>
      </c>
      <c r="CC211" s="53" t="s">
        <v>129</v>
      </c>
      <c r="CD211" s="53" t="s">
        <v>110</v>
      </c>
      <c r="CE211" s="53" t="s">
        <v>116</v>
      </c>
      <c r="CF211" s="53" t="s">
        <v>119</v>
      </c>
      <c r="CG211" s="53" t="s">
        <v>129</v>
      </c>
      <c r="CH211" s="84" t="s">
        <v>119</v>
      </c>
      <c r="CI211" s="53" t="s">
        <v>115</v>
      </c>
      <c r="CJ211" s="53" t="s">
        <v>129</v>
      </c>
      <c r="CK211" s="53" t="s">
        <v>124</v>
      </c>
      <c r="CL211" s="53" t="s">
        <v>110</v>
      </c>
      <c r="CM211" s="53" t="s">
        <v>111</v>
      </c>
      <c r="CN211" s="56"/>
      <c r="CO211" t="s">
        <v>785</v>
      </c>
      <c r="CP211">
        <f>IFERROR(VLOOKUP(H211,'Lista Lideres'!$A$1:$B$350,2,0),0)</f>
        <v>0</v>
      </c>
    </row>
    <row r="212" spans="1:94" ht="14.4" hidden="1" x14ac:dyDescent="0.3">
      <c r="A212" s="46">
        <v>45566.06620350694</v>
      </c>
      <c r="B212" s="47" t="s">
        <v>181</v>
      </c>
      <c r="C212" s="47" t="s">
        <v>783</v>
      </c>
      <c r="D212" s="47" t="s">
        <v>93</v>
      </c>
      <c r="E212" s="47" t="s">
        <v>498</v>
      </c>
      <c r="F212" s="47" t="s">
        <v>171</v>
      </c>
      <c r="G212" s="47" t="s">
        <v>681</v>
      </c>
      <c r="H212" s="47" t="s">
        <v>681</v>
      </c>
      <c r="I212" s="47" t="s">
        <v>161</v>
      </c>
      <c r="J212" s="47" t="s">
        <v>101</v>
      </c>
      <c r="K212" s="47" t="s">
        <v>102</v>
      </c>
      <c r="L212" s="83" t="s">
        <v>135</v>
      </c>
      <c r="M212" s="8" t="s">
        <v>104</v>
      </c>
      <c r="N212" s="83" t="s">
        <v>388</v>
      </c>
      <c r="O212" s="83" t="s">
        <v>106</v>
      </c>
      <c r="P212" s="83" t="s">
        <v>107</v>
      </c>
      <c r="Q212" s="114" t="s">
        <v>163</v>
      </c>
      <c r="R212" s="83" t="s">
        <v>184</v>
      </c>
      <c r="S212" s="47" t="s">
        <v>111</v>
      </c>
      <c r="T212" s="47" t="s">
        <v>110</v>
      </c>
      <c r="U212" s="47" t="s">
        <v>115</v>
      </c>
      <c r="V212" s="83" t="s">
        <v>136</v>
      </c>
      <c r="W212" s="83" t="s">
        <v>113</v>
      </c>
      <c r="X212" s="114" t="s">
        <v>165</v>
      </c>
      <c r="Y212" s="47" t="s">
        <v>115</v>
      </c>
      <c r="Z212" s="47" t="s">
        <v>111</v>
      </c>
      <c r="AA212" s="47" t="s">
        <v>111</v>
      </c>
      <c r="AB212" s="47" t="s">
        <v>115</v>
      </c>
      <c r="AC212" s="83" t="s">
        <v>116</v>
      </c>
      <c r="AD212" s="83" t="s">
        <v>117</v>
      </c>
      <c r="AE212" s="83" t="s">
        <v>138</v>
      </c>
      <c r="AF212" s="95" t="s">
        <v>111</v>
      </c>
      <c r="AG212" s="83" t="s">
        <v>111</v>
      </c>
      <c r="AH212" s="47" t="s">
        <v>110</v>
      </c>
      <c r="AI212" s="83" t="s">
        <v>110</v>
      </c>
      <c r="AJ212" s="83" t="s">
        <v>110</v>
      </c>
      <c r="AK212" s="83" t="s">
        <v>110</v>
      </c>
      <c r="AL212" s="47" t="s">
        <v>121</v>
      </c>
      <c r="AM212" s="47" t="s">
        <v>110</v>
      </c>
      <c r="AN212" s="47" t="s">
        <v>110</v>
      </c>
      <c r="AO212" s="83" t="s">
        <v>110</v>
      </c>
      <c r="AP212" s="47" t="s">
        <v>110</v>
      </c>
      <c r="AQ212" s="83" t="s">
        <v>124</v>
      </c>
      <c r="AR212" s="83" t="s">
        <v>111</v>
      </c>
      <c r="AS212" s="47" t="s">
        <v>111</v>
      </c>
      <c r="AT212" s="16" t="s">
        <v>129</v>
      </c>
      <c r="AU212" s="17" t="s">
        <v>115</v>
      </c>
      <c r="AV212" s="47" t="s">
        <v>129</v>
      </c>
      <c r="AW212" s="47" t="s">
        <v>129</v>
      </c>
      <c r="AX212" s="47" t="s">
        <v>110</v>
      </c>
      <c r="AY212" s="47" t="s">
        <v>120</v>
      </c>
      <c r="AZ212" s="83" t="s">
        <v>126</v>
      </c>
      <c r="BA212" s="83" t="s">
        <v>120</v>
      </c>
      <c r="BB212" s="83" t="s">
        <v>125</v>
      </c>
      <c r="BC212" s="83" t="s">
        <v>110</v>
      </c>
      <c r="BD212" s="95" t="s">
        <v>126</v>
      </c>
      <c r="BE212" s="83" t="s">
        <v>125</v>
      </c>
      <c r="BF212" s="83" t="s">
        <v>128</v>
      </c>
      <c r="BG212" s="47" t="s">
        <v>110</v>
      </c>
      <c r="BH212" s="83" t="s">
        <v>142</v>
      </c>
      <c r="BI212" s="47" t="s">
        <v>120</v>
      </c>
      <c r="BJ212" s="83" t="s">
        <v>110</v>
      </c>
      <c r="BK212" s="47" t="s">
        <v>110</v>
      </c>
      <c r="BL212" s="47" t="s">
        <v>126</v>
      </c>
      <c r="BM212" s="47" t="s">
        <v>110</v>
      </c>
      <c r="BN212" s="18" t="s">
        <v>115</v>
      </c>
      <c r="BO212" s="47" t="s">
        <v>115</v>
      </c>
      <c r="BP212" s="47" t="s">
        <v>120</v>
      </c>
      <c r="BQ212" s="47" t="s">
        <v>115</v>
      </c>
      <c r="BR212" s="47" t="s">
        <v>115</v>
      </c>
      <c r="BS212" s="83" t="s">
        <v>115</v>
      </c>
      <c r="BT212" s="47" t="s">
        <v>115</v>
      </c>
      <c r="BU212" s="47" t="s">
        <v>111</v>
      </c>
      <c r="BV212" s="47" t="s">
        <v>110</v>
      </c>
      <c r="BW212" s="47" t="s">
        <v>110</v>
      </c>
      <c r="BX212" s="47" t="s">
        <v>126</v>
      </c>
      <c r="BY212" s="83" t="s">
        <v>111</v>
      </c>
      <c r="BZ212" s="47" t="s">
        <v>115</v>
      </c>
      <c r="CA212" s="47" t="s">
        <v>110</v>
      </c>
      <c r="CB212" s="47" t="s">
        <v>129</v>
      </c>
      <c r="CC212" s="47" t="s">
        <v>111</v>
      </c>
      <c r="CD212" s="47" t="s">
        <v>110</v>
      </c>
      <c r="CE212" s="47" t="s">
        <v>116</v>
      </c>
      <c r="CF212" s="47" t="s">
        <v>110</v>
      </c>
      <c r="CG212" s="47" t="s">
        <v>119</v>
      </c>
      <c r="CH212" s="83" t="s">
        <v>110</v>
      </c>
      <c r="CI212" s="47" t="s">
        <v>111</v>
      </c>
      <c r="CJ212" s="47" t="s">
        <v>129</v>
      </c>
      <c r="CK212" s="47" t="s">
        <v>126</v>
      </c>
      <c r="CL212" s="47" t="s">
        <v>110</v>
      </c>
      <c r="CM212" s="47" t="s">
        <v>120</v>
      </c>
      <c r="CN212" s="51"/>
      <c r="CO212" t="s">
        <v>785</v>
      </c>
      <c r="CP212">
        <f>IFERROR(VLOOKUP(H212,'Lista Lideres'!$A$1:$B$350,2,0),0)</f>
        <v>0</v>
      </c>
    </row>
    <row r="213" spans="1:94" ht="14.4" hidden="1" x14ac:dyDescent="0.3">
      <c r="A213" s="52">
        <v>45565.825537951387</v>
      </c>
      <c r="B213" s="47" t="s">
        <v>181</v>
      </c>
      <c r="C213" s="53" t="s">
        <v>783</v>
      </c>
      <c r="D213" s="53" t="s">
        <v>93</v>
      </c>
      <c r="E213" s="53" t="s">
        <v>682</v>
      </c>
      <c r="F213" s="53" t="s">
        <v>96</v>
      </c>
      <c r="G213" s="53" t="s">
        <v>683</v>
      </c>
      <c r="H213" s="53" t="s">
        <v>683</v>
      </c>
      <c r="I213" s="53" t="s">
        <v>149</v>
      </c>
      <c r="J213" s="53" t="s">
        <v>183</v>
      </c>
      <c r="K213" s="53" t="s">
        <v>191</v>
      </c>
      <c r="L213" s="84" t="s">
        <v>103</v>
      </c>
      <c r="M213" s="8" t="s">
        <v>104</v>
      </c>
      <c r="N213" s="84" t="s">
        <v>388</v>
      </c>
      <c r="O213" s="84" t="s">
        <v>106</v>
      </c>
      <c r="P213" s="84" t="s">
        <v>107</v>
      </c>
      <c r="Q213" s="115" t="s">
        <v>108</v>
      </c>
      <c r="R213" s="53" t="s">
        <v>164</v>
      </c>
      <c r="S213" s="53" t="s">
        <v>111</v>
      </c>
      <c r="T213" s="53" t="s">
        <v>115</v>
      </c>
      <c r="U213" s="53" t="s">
        <v>115</v>
      </c>
      <c r="V213" s="84" t="s">
        <v>112</v>
      </c>
      <c r="W213" s="84" t="s">
        <v>113</v>
      </c>
      <c r="X213" s="115" t="s">
        <v>235</v>
      </c>
      <c r="Y213" s="53" t="s">
        <v>115</v>
      </c>
      <c r="Z213" s="53" t="s">
        <v>115</v>
      </c>
      <c r="AA213" s="53" t="s">
        <v>111</v>
      </c>
      <c r="AB213" s="53" t="s">
        <v>111</v>
      </c>
      <c r="AC213" s="84" t="s">
        <v>116</v>
      </c>
      <c r="AD213" s="84" t="s">
        <v>117</v>
      </c>
      <c r="AE213" s="84" t="s">
        <v>138</v>
      </c>
      <c r="AF213" s="96" t="s">
        <v>110</v>
      </c>
      <c r="AG213" s="84" t="s">
        <v>111</v>
      </c>
      <c r="AH213" s="53" t="s">
        <v>122</v>
      </c>
      <c r="AI213" s="84" t="s">
        <v>110</v>
      </c>
      <c r="AJ213" s="84" t="s">
        <v>122</v>
      </c>
      <c r="AK213" s="84" t="s">
        <v>110</v>
      </c>
      <c r="AL213" s="53" t="s">
        <v>110</v>
      </c>
      <c r="AM213" s="53" t="s">
        <v>110</v>
      </c>
      <c r="AN213" s="53" t="s">
        <v>121</v>
      </c>
      <c r="AO213" s="84" t="s">
        <v>121</v>
      </c>
      <c r="AP213" s="53" t="s">
        <v>128</v>
      </c>
      <c r="AQ213" s="84" t="s">
        <v>124</v>
      </c>
      <c r="AR213" s="84" t="s">
        <v>111</v>
      </c>
      <c r="AS213" s="53" t="s">
        <v>110</v>
      </c>
      <c r="AT213" s="9" t="s">
        <v>111</v>
      </c>
      <c r="AU213" s="10" t="s">
        <v>111</v>
      </c>
      <c r="AV213" s="53" t="s">
        <v>110</v>
      </c>
      <c r="AW213" s="53" t="s">
        <v>110</v>
      </c>
      <c r="AX213" s="53" t="s">
        <v>111</v>
      </c>
      <c r="AY213" s="53" t="s">
        <v>120</v>
      </c>
      <c r="AZ213" s="84" t="s">
        <v>124</v>
      </c>
      <c r="BA213" s="84" t="s">
        <v>110</v>
      </c>
      <c r="BB213" s="84" t="s">
        <v>126</v>
      </c>
      <c r="BC213" s="84" t="s">
        <v>111</v>
      </c>
      <c r="BD213" s="96" t="s">
        <v>126</v>
      </c>
      <c r="BE213" s="84" t="s">
        <v>124</v>
      </c>
      <c r="BF213" s="84" t="s">
        <v>110</v>
      </c>
      <c r="BG213" s="53" t="s">
        <v>110</v>
      </c>
      <c r="BH213" s="84" t="s">
        <v>124</v>
      </c>
      <c r="BI213" s="53" t="s">
        <v>119</v>
      </c>
      <c r="BJ213" s="84" t="s">
        <v>110</v>
      </c>
      <c r="BK213" s="53" t="s">
        <v>122</v>
      </c>
      <c r="BL213" s="53" t="s">
        <v>126</v>
      </c>
      <c r="BM213" s="53" t="s">
        <v>110</v>
      </c>
      <c r="BN213" s="11" t="s">
        <v>111</v>
      </c>
      <c r="BO213" s="53" t="s">
        <v>111</v>
      </c>
      <c r="BP213" s="53" t="s">
        <v>120</v>
      </c>
      <c r="BQ213" s="53" t="s">
        <v>115</v>
      </c>
      <c r="BR213" s="53" t="s">
        <v>115</v>
      </c>
      <c r="BS213" s="84" t="s">
        <v>111</v>
      </c>
      <c r="BT213" s="53" t="s">
        <v>115</v>
      </c>
      <c r="BU213" s="53" t="s">
        <v>110</v>
      </c>
      <c r="BV213" s="53" t="s">
        <v>111</v>
      </c>
      <c r="BW213" s="53" t="s">
        <v>110</v>
      </c>
      <c r="BX213" s="53" t="s">
        <v>126</v>
      </c>
      <c r="BY213" s="84" t="s">
        <v>111</v>
      </c>
      <c r="BZ213" s="53" t="s">
        <v>111</v>
      </c>
      <c r="CA213" s="53" t="s">
        <v>111</v>
      </c>
      <c r="CB213" s="53" t="s">
        <v>129</v>
      </c>
      <c r="CC213" s="53" t="s">
        <v>119</v>
      </c>
      <c r="CD213" s="53" t="s">
        <v>115</v>
      </c>
      <c r="CE213" s="53" t="s">
        <v>110</v>
      </c>
      <c r="CF213" s="53" t="s">
        <v>111</v>
      </c>
      <c r="CG213" s="53" t="s">
        <v>119</v>
      </c>
      <c r="CH213" s="84" t="s">
        <v>111</v>
      </c>
      <c r="CI213" s="53" t="s">
        <v>115</v>
      </c>
      <c r="CJ213" s="53" t="s">
        <v>129</v>
      </c>
      <c r="CK213" s="53" t="s">
        <v>126</v>
      </c>
      <c r="CL213" s="53" t="s">
        <v>129</v>
      </c>
      <c r="CM213" s="53" t="s">
        <v>110</v>
      </c>
      <c r="CN213" s="49"/>
      <c r="CO213" t="s">
        <v>785</v>
      </c>
      <c r="CP213">
        <f>IFERROR(VLOOKUP(H213,'Lista Lideres'!$A$1:$B$350,2,0),0)</f>
        <v>0</v>
      </c>
    </row>
    <row r="214" spans="1:94" ht="13.8" hidden="1" x14ac:dyDescent="0.3">
      <c r="A214" s="46">
        <v>45562.181040937503</v>
      </c>
      <c r="B214" s="47" t="s">
        <v>181</v>
      </c>
      <c r="C214" s="47" t="s">
        <v>783</v>
      </c>
      <c r="D214" s="47" t="s">
        <v>93</v>
      </c>
      <c r="E214" s="47" t="s">
        <v>304</v>
      </c>
      <c r="F214" s="47" t="s">
        <v>146</v>
      </c>
      <c r="G214" s="47" t="s">
        <v>684</v>
      </c>
      <c r="H214" s="47" t="s">
        <v>684</v>
      </c>
      <c r="I214" s="47" t="s">
        <v>100</v>
      </c>
      <c r="J214" s="47" t="s">
        <v>101</v>
      </c>
      <c r="K214" s="47" t="s">
        <v>102</v>
      </c>
      <c r="L214" s="83" t="s">
        <v>150</v>
      </c>
      <c r="M214" s="8" t="s">
        <v>104</v>
      </c>
      <c r="N214" s="83" t="s">
        <v>388</v>
      </c>
      <c r="O214" s="83" t="s">
        <v>106</v>
      </c>
      <c r="P214" s="83" t="s">
        <v>107</v>
      </c>
      <c r="Q214" s="114" t="s">
        <v>108</v>
      </c>
      <c r="R214" s="47" t="s">
        <v>164</v>
      </c>
      <c r="S214" s="47" t="s">
        <v>119</v>
      </c>
      <c r="T214" s="47" t="s">
        <v>110</v>
      </c>
      <c r="U214" s="47" t="s">
        <v>119</v>
      </c>
      <c r="V214" s="83" t="s">
        <v>126</v>
      </c>
      <c r="W214" s="83" t="s">
        <v>113</v>
      </c>
      <c r="X214" s="114" t="s">
        <v>153</v>
      </c>
      <c r="Y214" s="47" t="s">
        <v>110</v>
      </c>
      <c r="Z214" s="47" t="s">
        <v>110</v>
      </c>
      <c r="AA214" s="47" t="s">
        <v>110</v>
      </c>
      <c r="AB214" s="47" t="s">
        <v>110</v>
      </c>
      <c r="AC214" s="83" t="s">
        <v>110</v>
      </c>
      <c r="AD214" s="83" t="s">
        <v>166</v>
      </c>
      <c r="AE214" s="83" t="s">
        <v>138</v>
      </c>
      <c r="AF214" s="95" t="s">
        <v>119</v>
      </c>
      <c r="AG214" s="83" t="s">
        <v>110</v>
      </c>
      <c r="AH214" s="47" t="s">
        <v>110</v>
      </c>
      <c r="AI214" s="83" t="s">
        <v>122</v>
      </c>
      <c r="AJ214" s="83" t="s">
        <v>110</v>
      </c>
      <c r="AK214" s="83" t="s">
        <v>110</v>
      </c>
      <c r="AL214" s="47" t="s">
        <v>110</v>
      </c>
      <c r="AM214" s="47" t="s">
        <v>110</v>
      </c>
      <c r="AN214" s="47" t="s">
        <v>123</v>
      </c>
      <c r="AO214" s="83" t="s">
        <v>123</v>
      </c>
      <c r="AP214" s="47" t="s">
        <v>123</v>
      </c>
      <c r="AQ214" s="83" t="s">
        <v>126</v>
      </c>
      <c r="AR214" s="83" t="s">
        <v>110</v>
      </c>
      <c r="AS214" s="47" t="s">
        <v>110</v>
      </c>
      <c r="AT214" s="16" t="s">
        <v>129</v>
      </c>
      <c r="AU214" s="17" t="s">
        <v>119</v>
      </c>
      <c r="AV214" s="47" t="s">
        <v>110</v>
      </c>
      <c r="AW214" s="47" t="s">
        <v>111</v>
      </c>
      <c r="AX214" s="47" t="s">
        <v>110</v>
      </c>
      <c r="AY214" s="47" t="s">
        <v>111</v>
      </c>
      <c r="AZ214" s="83" t="s">
        <v>124</v>
      </c>
      <c r="BA214" s="83" t="s">
        <v>120</v>
      </c>
      <c r="BB214" s="83" t="s">
        <v>126</v>
      </c>
      <c r="BC214" s="83" t="s">
        <v>110</v>
      </c>
      <c r="BD214" s="95" t="s">
        <v>124</v>
      </c>
      <c r="BE214" s="83" t="s">
        <v>126</v>
      </c>
      <c r="BF214" s="83" t="s">
        <v>110</v>
      </c>
      <c r="BG214" s="47" t="s">
        <v>110</v>
      </c>
      <c r="BH214" s="83" t="s">
        <v>124</v>
      </c>
      <c r="BI214" s="47" t="s">
        <v>110</v>
      </c>
      <c r="BJ214" s="83" t="s">
        <v>120</v>
      </c>
      <c r="BK214" s="47" t="s">
        <v>110</v>
      </c>
      <c r="BL214" s="47" t="s">
        <v>126</v>
      </c>
      <c r="BM214" s="47" t="s">
        <v>110</v>
      </c>
      <c r="BN214" s="18" t="s">
        <v>110</v>
      </c>
      <c r="BO214" s="47" t="s">
        <v>111</v>
      </c>
      <c r="BP214" s="47" t="s">
        <v>120</v>
      </c>
      <c r="BQ214" s="47" t="s">
        <v>119</v>
      </c>
      <c r="BR214" s="47" t="s">
        <v>119</v>
      </c>
      <c r="BS214" s="83" t="s">
        <v>110</v>
      </c>
      <c r="BT214" s="47" t="s">
        <v>115</v>
      </c>
      <c r="BU214" s="47" t="s">
        <v>110</v>
      </c>
      <c r="BV214" s="47" t="s">
        <v>110</v>
      </c>
      <c r="BW214" s="47" t="s">
        <v>128</v>
      </c>
      <c r="BX214" s="47" t="s">
        <v>126</v>
      </c>
      <c r="BY214" s="83" t="s">
        <v>110</v>
      </c>
      <c r="BZ214" s="47" t="s">
        <v>115</v>
      </c>
      <c r="CA214" s="47" t="s">
        <v>119</v>
      </c>
      <c r="CB214" s="47" t="s">
        <v>119</v>
      </c>
      <c r="CC214" s="47" t="s">
        <v>110</v>
      </c>
      <c r="CD214" s="47" t="s">
        <v>111</v>
      </c>
      <c r="CE214" s="47" t="s">
        <v>110</v>
      </c>
      <c r="CF214" s="47" t="s">
        <v>119</v>
      </c>
      <c r="CG214" s="47" t="s">
        <v>129</v>
      </c>
      <c r="CH214" s="83" t="s">
        <v>110</v>
      </c>
      <c r="CI214" s="47" t="s">
        <v>111</v>
      </c>
      <c r="CJ214" s="47" t="s">
        <v>110</v>
      </c>
      <c r="CK214" s="47" t="s">
        <v>126</v>
      </c>
      <c r="CL214" s="47" t="s">
        <v>119</v>
      </c>
      <c r="CM214" s="47" t="s">
        <v>111</v>
      </c>
      <c r="CN214" s="55" t="s">
        <v>685</v>
      </c>
      <c r="CO214" t="s">
        <v>786</v>
      </c>
      <c r="CP214">
        <f>IFERROR(VLOOKUP(H214,'Lista Lideres'!$A$1:$B$350,2,0),0)</f>
        <v>0</v>
      </c>
    </row>
    <row r="215" spans="1:94" ht="13.8" hidden="1" x14ac:dyDescent="0.3">
      <c r="A215" s="52">
        <v>45563.924674340276</v>
      </c>
      <c r="B215" s="47" t="s">
        <v>181</v>
      </c>
      <c r="C215" s="53" t="s">
        <v>783</v>
      </c>
      <c r="D215" s="53" t="s">
        <v>131</v>
      </c>
      <c r="E215" s="53" t="s">
        <v>686</v>
      </c>
      <c r="F215" s="53" t="s">
        <v>96</v>
      </c>
      <c r="G215" s="53" t="s">
        <v>687</v>
      </c>
      <c r="H215" s="53" t="s">
        <v>688</v>
      </c>
      <c r="I215" s="53" t="s">
        <v>195</v>
      </c>
      <c r="J215" s="53" t="s">
        <v>196</v>
      </c>
      <c r="K215" s="53" t="s">
        <v>102</v>
      </c>
      <c r="L215" s="84" t="s">
        <v>103</v>
      </c>
      <c r="M215" s="8" t="s">
        <v>104</v>
      </c>
      <c r="N215" s="84" t="s">
        <v>388</v>
      </c>
      <c r="O215" s="84" t="s">
        <v>282</v>
      </c>
      <c r="P215" s="84" t="s">
        <v>175</v>
      </c>
      <c r="Q215" s="115" t="s">
        <v>108</v>
      </c>
      <c r="R215" s="53" t="s">
        <v>164</v>
      </c>
      <c r="S215" s="53" t="s">
        <v>111</v>
      </c>
      <c r="T215" s="53" t="s">
        <v>119</v>
      </c>
      <c r="U215" s="53" t="s">
        <v>111</v>
      </c>
      <c r="V215" s="84" t="s">
        <v>112</v>
      </c>
      <c r="W215" s="84" t="s">
        <v>113</v>
      </c>
      <c r="X215" s="115" t="s">
        <v>153</v>
      </c>
      <c r="Y215" s="53" t="s">
        <v>115</v>
      </c>
      <c r="Z215" s="53" t="s">
        <v>110</v>
      </c>
      <c r="AA215" s="53" t="s">
        <v>110</v>
      </c>
      <c r="AB215" s="53" t="s">
        <v>115</v>
      </c>
      <c r="AC215" s="84" t="s">
        <v>110</v>
      </c>
      <c r="AD215" s="84" t="s">
        <v>137</v>
      </c>
      <c r="AE215" s="84" t="s">
        <v>138</v>
      </c>
      <c r="AF215" s="96" t="s">
        <v>110</v>
      </c>
      <c r="AG215" s="84" t="s">
        <v>168</v>
      </c>
      <c r="AH215" s="53" t="s">
        <v>110</v>
      </c>
      <c r="AI215" s="84" t="s">
        <v>110</v>
      </c>
      <c r="AJ215" s="84" t="s">
        <v>110</v>
      </c>
      <c r="AK215" s="84" t="s">
        <v>110</v>
      </c>
      <c r="AL215" s="53" t="s">
        <v>110</v>
      </c>
      <c r="AM215" s="53" t="s">
        <v>110</v>
      </c>
      <c r="AN215" s="53" t="s">
        <v>123</v>
      </c>
      <c r="AO215" s="84" t="s">
        <v>110</v>
      </c>
      <c r="AP215" s="53" t="s">
        <v>110</v>
      </c>
      <c r="AQ215" s="84" t="s">
        <v>126</v>
      </c>
      <c r="AR215" s="84" t="s">
        <v>110</v>
      </c>
      <c r="AS215" s="53" t="s">
        <v>110</v>
      </c>
      <c r="AT215" s="9" t="s">
        <v>119</v>
      </c>
      <c r="AU215" s="10" t="s">
        <v>110</v>
      </c>
      <c r="AV215" s="53" t="s">
        <v>110</v>
      </c>
      <c r="AW215" s="53" t="s">
        <v>119</v>
      </c>
      <c r="AX215" s="53" t="s">
        <v>110</v>
      </c>
      <c r="AY215" s="53" t="s">
        <v>110</v>
      </c>
      <c r="AZ215" s="84" t="s">
        <v>124</v>
      </c>
      <c r="BA215" s="84" t="s">
        <v>110</v>
      </c>
      <c r="BB215" s="84" t="s">
        <v>126</v>
      </c>
      <c r="BC215" s="84" t="s">
        <v>111</v>
      </c>
      <c r="BD215" s="96" t="s">
        <v>124</v>
      </c>
      <c r="BE215" s="84" t="s">
        <v>126</v>
      </c>
      <c r="BF215" s="84" t="s">
        <v>110</v>
      </c>
      <c r="BG215" s="53" t="s">
        <v>110</v>
      </c>
      <c r="BH215" s="84" t="s">
        <v>126</v>
      </c>
      <c r="BI215" s="53" t="s">
        <v>111</v>
      </c>
      <c r="BJ215" s="84" t="s">
        <v>111</v>
      </c>
      <c r="BK215" s="53" t="s">
        <v>110</v>
      </c>
      <c r="BL215" s="53" t="s">
        <v>126</v>
      </c>
      <c r="BM215" s="53" t="s">
        <v>110</v>
      </c>
      <c r="BN215" s="11" t="s">
        <v>111</v>
      </c>
      <c r="BO215" s="53" t="s">
        <v>111</v>
      </c>
      <c r="BP215" s="53" t="s">
        <v>120</v>
      </c>
      <c r="BQ215" s="53" t="s">
        <v>110</v>
      </c>
      <c r="BR215" s="53" t="s">
        <v>110</v>
      </c>
      <c r="BS215" s="84" t="s">
        <v>110</v>
      </c>
      <c r="BT215" s="53" t="s">
        <v>111</v>
      </c>
      <c r="BU215" s="53" t="s">
        <v>111</v>
      </c>
      <c r="BV215" s="53" t="s">
        <v>110</v>
      </c>
      <c r="BW215" s="53" t="s">
        <v>110</v>
      </c>
      <c r="BX215" s="53" t="s">
        <v>125</v>
      </c>
      <c r="BY215" s="84" t="s">
        <v>110</v>
      </c>
      <c r="BZ215" s="53" t="s">
        <v>111</v>
      </c>
      <c r="CA215" s="53" t="s">
        <v>119</v>
      </c>
      <c r="CB215" s="53" t="s">
        <v>119</v>
      </c>
      <c r="CC215" s="53" t="s">
        <v>110</v>
      </c>
      <c r="CD215" s="53" t="s">
        <v>110</v>
      </c>
      <c r="CE215" s="53" t="s">
        <v>110</v>
      </c>
      <c r="CF215" s="53" t="s">
        <v>110</v>
      </c>
      <c r="CG215" s="53" t="s">
        <v>119</v>
      </c>
      <c r="CH215" s="84" t="s">
        <v>110</v>
      </c>
      <c r="CI215" s="53" t="s">
        <v>110</v>
      </c>
      <c r="CJ215" s="53" t="s">
        <v>119</v>
      </c>
      <c r="CK215" s="53" t="s">
        <v>126</v>
      </c>
      <c r="CL215" s="53" t="s">
        <v>110</v>
      </c>
      <c r="CM215" s="53" t="s">
        <v>111</v>
      </c>
      <c r="CN215" s="50" t="s">
        <v>689</v>
      </c>
      <c r="CO215" t="s">
        <v>786</v>
      </c>
      <c r="CP215">
        <f>IFERROR(VLOOKUP(H215,'Lista Lideres'!$A$1:$B$350,2,0),0)</f>
        <v>0</v>
      </c>
    </row>
    <row r="216" spans="1:94" ht="14.4" hidden="1" x14ac:dyDescent="0.3">
      <c r="A216" s="46">
        <v>45568.79349059028</v>
      </c>
      <c r="B216" s="47" t="s">
        <v>181</v>
      </c>
      <c r="C216" s="47" t="s">
        <v>783</v>
      </c>
      <c r="D216" s="47" t="s">
        <v>93</v>
      </c>
      <c r="E216" s="47" t="s">
        <v>690</v>
      </c>
      <c r="F216" s="47" t="s">
        <v>96</v>
      </c>
      <c r="G216" s="47" t="s">
        <v>134</v>
      </c>
      <c r="H216" s="47" t="s">
        <v>691</v>
      </c>
      <c r="I216" s="47" t="s">
        <v>100</v>
      </c>
      <c r="J216" s="47" t="s">
        <v>101</v>
      </c>
      <c r="K216" s="47" t="s">
        <v>102</v>
      </c>
      <c r="L216" s="83" t="s">
        <v>103</v>
      </c>
      <c r="M216" s="8" t="s">
        <v>104</v>
      </c>
      <c r="N216" s="83" t="s">
        <v>388</v>
      </c>
      <c r="O216" s="83" t="s">
        <v>106</v>
      </c>
      <c r="P216" s="83" t="s">
        <v>175</v>
      </c>
      <c r="Q216" s="114" t="s">
        <v>108</v>
      </c>
      <c r="R216" s="47" t="s">
        <v>164</v>
      </c>
      <c r="S216" s="47" t="s">
        <v>110</v>
      </c>
      <c r="T216" s="47" t="s">
        <v>119</v>
      </c>
      <c r="U216" s="47" t="s">
        <v>110</v>
      </c>
      <c r="V216" s="83" t="s">
        <v>112</v>
      </c>
      <c r="W216" s="83" t="s">
        <v>113</v>
      </c>
      <c r="X216" s="114" t="s">
        <v>235</v>
      </c>
      <c r="Y216" s="47" t="s">
        <v>110</v>
      </c>
      <c r="Z216" s="47" t="s">
        <v>110</v>
      </c>
      <c r="AA216" s="47" t="s">
        <v>110</v>
      </c>
      <c r="AB216" s="47" t="s">
        <v>110</v>
      </c>
      <c r="AC216" s="83" t="s">
        <v>116</v>
      </c>
      <c r="AD216" s="83" t="s">
        <v>137</v>
      </c>
      <c r="AE216" s="83" t="s">
        <v>167</v>
      </c>
      <c r="AF216" s="95" t="s">
        <v>110</v>
      </c>
      <c r="AG216" s="83" t="s">
        <v>129</v>
      </c>
      <c r="AH216" s="47" t="s">
        <v>128</v>
      </c>
      <c r="AI216" s="83" t="s">
        <v>121</v>
      </c>
      <c r="AJ216" s="83" t="s">
        <v>128</v>
      </c>
      <c r="AK216" s="83" t="s">
        <v>128</v>
      </c>
      <c r="AL216" s="47" t="s">
        <v>128</v>
      </c>
      <c r="AM216" s="47" t="s">
        <v>121</v>
      </c>
      <c r="AN216" s="47" t="s">
        <v>110</v>
      </c>
      <c r="AO216" s="83" t="s">
        <v>110</v>
      </c>
      <c r="AP216" s="47" t="s">
        <v>121</v>
      </c>
      <c r="AQ216" s="83" t="s">
        <v>125</v>
      </c>
      <c r="AR216" s="83" t="s">
        <v>119</v>
      </c>
      <c r="AS216" s="47" t="s">
        <v>110</v>
      </c>
      <c r="AT216" s="16" t="s">
        <v>110</v>
      </c>
      <c r="AU216" s="17" t="s">
        <v>110</v>
      </c>
      <c r="AV216" s="47" t="s">
        <v>110</v>
      </c>
      <c r="AW216" s="47" t="s">
        <v>110</v>
      </c>
      <c r="AX216" s="47" t="s">
        <v>119</v>
      </c>
      <c r="AY216" s="47" t="s">
        <v>111</v>
      </c>
      <c r="AZ216" s="83" t="s">
        <v>142</v>
      </c>
      <c r="BA216" s="83" t="s">
        <v>110</v>
      </c>
      <c r="BB216" s="83" t="s">
        <v>142</v>
      </c>
      <c r="BC216" s="83" t="s">
        <v>110</v>
      </c>
      <c r="BD216" s="95" t="s">
        <v>125</v>
      </c>
      <c r="BE216" s="83" t="s">
        <v>142</v>
      </c>
      <c r="BF216" s="83" t="s">
        <v>121</v>
      </c>
      <c r="BG216" s="47" t="s">
        <v>110</v>
      </c>
      <c r="BH216" s="83" t="s">
        <v>125</v>
      </c>
      <c r="BI216" s="47" t="s">
        <v>111</v>
      </c>
      <c r="BJ216" s="83" t="s">
        <v>111</v>
      </c>
      <c r="BK216" s="47" t="s">
        <v>110</v>
      </c>
      <c r="BL216" s="47" t="s">
        <v>125</v>
      </c>
      <c r="BM216" s="47" t="s">
        <v>127</v>
      </c>
      <c r="BN216" s="18" t="s">
        <v>111</v>
      </c>
      <c r="BO216" s="47" t="s">
        <v>111</v>
      </c>
      <c r="BP216" s="47" t="s">
        <v>120</v>
      </c>
      <c r="BQ216" s="47" t="s">
        <v>110</v>
      </c>
      <c r="BR216" s="47" t="s">
        <v>110</v>
      </c>
      <c r="BS216" s="83" t="s">
        <v>111</v>
      </c>
      <c r="BT216" s="47" t="s">
        <v>111</v>
      </c>
      <c r="BU216" s="47" t="s">
        <v>111</v>
      </c>
      <c r="BV216" s="47" t="s">
        <v>110</v>
      </c>
      <c r="BW216" s="47" t="s">
        <v>178</v>
      </c>
      <c r="BX216" s="47" t="s">
        <v>126</v>
      </c>
      <c r="BY216" s="83" t="s">
        <v>111</v>
      </c>
      <c r="BZ216" s="47" t="s">
        <v>111</v>
      </c>
      <c r="CA216" s="47" t="s">
        <v>110</v>
      </c>
      <c r="CB216" s="47" t="s">
        <v>110</v>
      </c>
      <c r="CC216" s="47" t="s">
        <v>110</v>
      </c>
      <c r="CD216" s="47" t="s">
        <v>110</v>
      </c>
      <c r="CE216" s="47" t="s">
        <v>127</v>
      </c>
      <c r="CF216" s="47" t="s">
        <v>110</v>
      </c>
      <c r="CG216" s="47" t="s">
        <v>119</v>
      </c>
      <c r="CH216" s="83" t="s">
        <v>110</v>
      </c>
      <c r="CI216" s="47" t="s">
        <v>111</v>
      </c>
      <c r="CJ216" s="47" t="s">
        <v>119</v>
      </c>
      <c r="CK216" s="47" t="s">
        <v>125</v>
      </c>
      <c r="CL216" s="47" t="s">
        <v>111</v>
      </c>
      <c r="CM216" s="47" t="s">
        <v>111</v>
      </c>
      <c r="CN216" s="51"/>
      <c r="CO216" t="s">
        <v>786</v>
      </c>
      <c r="CP216">
        <f>IFERROR(VLOOKUP(H216,'Lista Lideres'!$A$1:$B$350,2,0),0)</f>
        <v>0</v>
      </c>
    </row>
    <row r="217" spans="1:94" ht="14.4" hidden="1" x14ac:dyDescent="0.3">
      <c r="A217" s="52">
        <v>45567.925677060186</v>
      </c>
      <c r="B217" s="47" t="s">
        <v>181</v>
      </c>
      <c r="C217" s="53" t="s">
        <v>783</v>
      </c>
      <c r="D217" s="53" t="s">
        <v>131</v>
      </c>
      <c r="E217" s="53" t="s">
        <v>336</v>
      </c>
      <c r="F217" s="53" t="s">
        <v>96</v>
      </c>
      <c r="G217" s="53" t="s">
        <v>692</v>
      </c>
      <c r="H217" s="53" t="s">
        <v>341</v>
      </c>
      <c r="I217" s="53" t="s">
        <v>195</v>
      </c>
      <c r="J217" s="53" t="s">
        <v>101</v>
      </c>
      <c r="K217" s="53" t="s">
        <v>102</v>
      </c>
      <c r="L217" s="84" t="s">
        <v>150</v>
      </c>
      <c r="M217" s="8" t="s">
        <v>104</v>
      </c>
      <c r="N217" s="84" t="s">
        <v>388</v>
      </c>
      <c r="O217" s="84" t="s">
        <v>106</v>
      </c>
      <c r="P217" s="84" t="s">
        <v>107</v>
      </c>
      <c r="Q217" s="115" t="s">
        <v>108</v>
      </c>
      <c r="R217" s="53" t="s">
        <v>109</v>
      </c>
      <c r="S217" s="53" t="s">
        <v>111</v>
      </c>
      <c r="T217" s="53" t="s">
        <v>111</v>
      </c>
      <c r="U217" s="53" t="s">
        <v>111</v>
      </c>
      <c r="V217" s="84" t="s">
        <v>112</v>
      </c>
      <c r="W217" s="84" t="s">
        <v>113</v>
      </c>
      <c r="X217" s="115" t="s">
        <v>165</v>
      </c>
      <c r="Y217" s="53" t="s">
        <v>115</v>
      </c>
      <c r="Z217" s="53" t="s">
        <v>111</v>
      </c>
      <c r="AA217" s="53" t="s">
        <v>111</v>
      </c>
      <c r="AB217" s="53" t="s">
        <v>115</v>
      </c>
      <c r="AC217" s="84" t="s">
        <v>116</v>
      </c>
      <c r="AD217" s="84" t="s">
        <v>137</v>
      </c>
      <c r="AE217" s="84" t="s">
        <v>118</v>
      </c>
      <c r="AF217" s="96" t="s">
        <v>119</v>
      </c>
      <c r="AG217" s="84" t="s">
        <v>111</v>
      </c>
      <c r="AH217" s="53" t="s">
        <v>128</v>
      </c>
      <c r="AI217" s="84" t="s">
        <v>110</v>
      </c>
      <c r="AJ217" s="84" t="s">
        <v>121</v>
      </c>
      <c r="AK217" s="84" t="s">
        <v>121</v>
      </c>
      <c r="AL217" s="53" t="s">
        <v>122</v>
      </c>
      <c r="AM217" s="53" t="s">
        <v>123</v>
      </c>
      <c r="AN217" s="53" t="s">
        <v>123</v>
      </c>
      <c r="AO217" s="84" t="s">
        <v>123</v>
      </c>
      <c r="AP217" s="53" t="s">
        <v>178</v>
      </c>
      <c r="AQ217" s="84" t="s">
        <v>124</v>
      </c>
      <c r="AR217" s="84" t="s">
        <v>111</v>
      </c>
      <c r="AS217" s="53" t="s">
        <v>115</v>
      </c>
      <c r="AT217" s="9" t="s">
        <v>129</v>
      </c>
      <c r="AU217" s="10" t="s">
        <v>111</v>
      </c>
      <c r="AV217" s="53" t="s">
        <v>129</v>
      </c>
      <c r="AW217" s="53" t="s">
        <v>129</v>
      </c>
      <c r="AX217" s="53" t="s">
        <v>119</v>
      </c>
      <c r="AY217" s="53" t="s">
        <v>120</v>
      </c>
      <c r="AZ217" s="84" t="s">
        <v>125</v>
      </c>
      <c r="BA217" s="84" t="s">
        <v>111</v>
      </c>
      <c r="BB217" s="84" t="s">
        <v>139</v>
      </c>
      <c r="BC217" s="84" t="s">
        <v>119</v>
      </c>
      <c r="BD217" s="96" t="s">
        <v>125</v>
      </c>
      <c r="BE217" s="84" t="s">
        <v>140</v>
      </c>
      <c r="BF217" s="84" t="s">
        <v>121</v>
      </c>
      <c r="BG217" s="53" t="s">
        <v>111</v>
      </c>
      <c r="BH217" s="84" t="s">
        <v>142</v>
      </c>
      <c r="BI217" s="53" t="s">
        <v>111</v>
      </c>
      <c r="BJ217" s="84" t="s">
        <v>129</v>
      </c>
      <c r="BK217" s="53" t="s">
        <v>128</v>
      </c>
      <c r="BL217" s="53" t="s">
        <v>126</v>
      </c>
      <c r="BM217" s="53" t="s">
        <v>209</v>
      </c>
      <c r="BN217" s="11" t="s">
        <v>115</v>
      </c>
      <c r="BO217" s="53" t="s">
        <v>115</v>
      </c>
      <c r="BP217" s="53" t="s">
        <v>120</v>
      </c>
      <c r="BQ217" s="53" t="s">
        <v>115</v>
      </c>
      <c r="BR217" s="53" t="s">
        <v>115</v>
      </c>
      <c r="BS217" s="84" t="s">
        <v>115</v>
      </c>
      <c r="BT217" s="53" t="s">
        <v>115</v>
      </c>
      <c r="BU217" s="53" t="s">
        <v>111</v>
      </c>
      <c r="BV217" s="53" t="s">
        <v>111</v>
      </c>
      <c r="BW217" s="53" t="s">
        <v>110</v>
      </c>
      <c r="BX217" s="53" t="s">
        <v>126</v>
      </c>
      <c r="BY217" s="84" t="s">
        <v>111</v>
      </c>
      <c r="BZ217" s="53" t="s">
        <v>115</v>
      </c>
      <c r="CA217" s="53" t="s">
        <v>111</v>
      </c>
      <c r="CB217" s="53" t="s">
        <v>119</v>
      </c>
      <c r="CC217" s="53" t="s">
        <v>111</v>
      </c>
      <c r="CD217" s="53" t="s">
        <v>111</v>
      </c>
      <c r="CE217" s="53" t="s">
        <v>127</v>
      </c>
      <c r="CF217" s="53" t="s">
        <v>115</v>
      </c>
      <c r="CG217" s="53" t="s">
        <v>119</v>
      </c>
      <c r="CH217" s="84" t="s">
        <v>119</v>
      </c>
      <c r="CI217" s="53" t="s">
        <v>115</v>
      </c>
      <c r="CJ217" s="53" t="s">
        <v>129</v>
      </c>
      <c r="CK217" s="53" t="s">
        <v>125</v>
      </c>
      <c r="CL217" s="53" t="s">
        <v>110</v>
      </c>
      <c r="CM217" s="53" t="s">
        <v>120</v>
      </c>
      <c r="CN217" s="56"/>
      <c r="CO217" t="s">
        <v>786</v>
      </c>
      <c r="CP217">
        <f>IFERROR(VLOOKUP(H217,'Lista Lideres'!$A$1:$B$350,2,0),0)</f>
        <v>0</v>
      </c>
    </row>
    <row r="218" spans="1:94" ht="13.8" hidden="1" x14ac:dyDescent="0.3">
      <c r="A218" s="46">
        <v>45565.852676296301</v>
      </c>
      <c r="B218" s="47" t="s">
        <v>181</v>
      </c>
      <c r="C218" s="47" t="s">
        <v>783</v>
      </c>
      <c r="D218" s="47" t="s">
        <v>131</v>
      </c>
      <c r="E218" s="47" t="s">
        <v>304</v>
      </c>
      <c r="F218" s="47" t="s">
        <v>96</v>
      </c>
      <c r="G218" s="47" t="s">
        <v>693</v>
      </c>
      <c r="H218" s="47" t="s">
        <v>694</v>
      </c>
      <c r="I218" s="47" t="s">
        <v>100</v>
      </c>
      <c r="J218" s="47" t="s">
        <v>101</v>
      </c>
      <c r="K218" s="47" t="s">
        <v>102</v>
      </c>
      <c r="L218" s="83" t="s">
        <v>135</v>
      </c>
      <c r="M218" s="8" t="s">
        <v>104</v>
      </c>
      <c r="N218" s="83" t="s">
        <v>388</v>
      </c>
      <c r="O218" s="83" t="s">
        <v>106</v>
      </c>
      <c r="P218" s="83" t="s">
        <v>107</v>
      </c>
      <c r="Q218" s="114" t="s">
        <v>108</v>
      </c>
      <c r="R218" s="47" t="s">
        <v>164</v>
      </c>
      <c r="S218" s="47" t="s">
        <v>110</v>
      </c>
      <c r="T218" s="47" t="s">
        <v>119</v>
      </c>
      <c r="U218" s="47" t="s">
        <v>110</v>
      </c>
      <c r="V218" s="83" t="s">
        <v>126</v>
      </c>
      <c r="W218" s="83" t="s">
        <v>113</v>
      </c>
      <c r="X218" s="114" t="s">
        <v>235</v>
      </c>
      <c r="Y218" s="47" t="s">
        <v>110</v>
      </c>
      <c r="Z218" s="47" t="s">
        <v>110</v>
      </c>
      <c r="AA218" s="47" t="s">
        <v>110</v>
      </c>
      <c r="AB218" s="47" t="s">
        <v>110</v>
      </c>
      <c r="AC218" s="83" t="s">
        <v>110</v>
      </c>
      <c r="AD218" s="83" t="s">
        <v>166</v>
      </c>
      <c r="AE218" s="83" t="s">
        <v>138</v>
      </c>
      <c r="AF218" s="95" t="s">
        <v>119</v>
      </c>
      <c r="AG218" s="83" t="s">
        <v>168</v>
      </c>
      <c r="AH218" s="47" t="s">
        <v>110</v>
      </c>
      <c r="AI218" s="83" t="s">
        <v>110</v>
      </c>
      <c r="AJ218" s="83" t="s">
        <v>110</v>
      </c>
      <c r="AK218" s="83" t="s">
        <v>110</v>
      </c>
      <c r="AL218" s="47" t="s">
        <v>110</v>
      </c>
      <c r="AM218" s="47" t="s">
        <v>110</v>
      </c>
      <c r="AN218" s="47" t="s">
        <v>168</v>
      </c>
      <c r="AO218" s="83" t="s">
        <v>110</v>
      </c>
      <c r="AP218" s="47" t="s">
        <v>128</v>
      </c>
      <c r="AQ218" s="83" t="s">
        <v>125</v>
      </c>
      <c r="AR218" s="83" t="s">
        <v>111</v>
      </c>
      <c r="AS218" s="47" t="s">
        <v>110</v>
      </c>
      <c r="AT218" s="16" t="s">
        <v>110</v>
      </c>
      <c r="AU218" s="17" t="s">
        <v>110</v>
      </c>
      <c r="AV218" s="47" t="s">
        <v>119</v>
      </c>
      <c r="AW218" s="47" t="s">
        <v>129</v>
      </c>
      <c r="AX218" s="47" t="s">
        <v>110</v>
      </c>
      <c r="AY218" s="47" t="s">
        <v>120</v>
      </c>
      <c r="AZ218" s="83" t="s">
        <v>126</v>
      </c>
      <c r="BA218" s="83" t="s">
        <v>110</v>
      </c>
      <c r="BB218" s="83" t="s">
        <v>126</v>
      </c>
      <c r="BC218" s="83" t="s">
        <v>119</v>
      </c>
      <c r="BD218" s="95" t="s">
        <v>125</v>
      </c>
      <c r="BE218" s="83" t="s">
        <v>126</v>
      </c>
      <c r="BF218" s="83" t="s">
        <v>110</v>
      </c>
      <c r="BG218" s="47" t="s">
        <v>119</v>
      </c>
      <c r="BH218" s="83" t="s">
        <v>126</v>
      </c>
      <c r="BI218" s="47" t="s">
        <v>110</v>
      </c>
      <c r="BJ218" s="83" t="s">
        <v>129</v>
      </c>
      <c r="BK218" s="47" t="s">
        <v>110</v>
      </c>
      <c r="BL218" s="47" t="s">
        <v>124</v>
      </c>
      <c r="BM218" s="47" t="s">
        <v>110</v>
      </c>
      <c r="BN218" s="18" t="s">
        <v>115</v>
      </c>
      <c r="BO218" s="47" t="s">
        <v>111</v>
      </c>
      <c r="BP218" s="47" t="s">
        <v>120</v>
      </c>
      <c r="BQ218" s="47" t="s">
        <v>119</v>
      </c>
      <c r="BR218" s="47" t="s">
        <v>110</v>
      </c>
      <c r="BS218" s="83" t="s">
        <v>110</v>
      </c>
      <c r="BT218" s="47" t="s">
        <v>111</v>
      </c>
      <c r="BU218" s="47" t="s">
        <v>119</v>
      </c>
      <c r="BV218" s="47" t="s">
        <v>110</v>
      </c>
      <c r="BW218" s="47" t="s">
        <v>123</v>
      </c>
      <c r="BX218" s="47" t="s">
        <v>125</v>
      </c>
      <c r="BY218" s="83" t="s">
        <v>110</v>
      </c>
      <c r="BZ218" s="47" t="s">
        <v>111</v>
      </c>
      <c r="CA218" s="47" t="s">
        <v>111</v>
      </c>
      <c r="CB218" s="47" t="s">
        <v>110</v>
      </c>
      <c r="CC218" s="47" t="s">
        <v>119</v>
      </c>
      <c r="CD218" s="47" t="s">
        <v>110</v>
      </c>
      <c r="CE218" s="47" t="s">
        <v>110</v>
      </c>
      <c r="CF218" s="47" t="s">
        <v>111</v>
      </c>
      <c r="CG218" s="47" t="s">
        <v>129</v>
      </c>
      <c r="CH218" s="83" t="s">
        <v>110</v>
      </c>
      <c r="CI218" s="47" t="s">
        <v>110</v>
      </c>
      <c r="CJ218" s="47" t="s">
        <v>110</v>
      </c>
      <c r="CK218" s="47" t="s">
        <v>126</v>
      </c>
      <c r="CL218" s="47" t="s">
        <v>119</v>
      </c>
      <c r="CM218" s="47" t="s">
        <v>110</v>
      </c>
      <c r="CN218" s="55" t="s">
        <v>695</v>
      </c>
      <c r="CO218" t="s">
        <v>786</v>
      </c>
      <c r="CP218">
        <f>IFERROR(VLOOKUP(H218,'Lista Lideres'!$A$1:$B$350,2,0),0)</f>
        <v>0</v>
      </c>
    </row>
    <row r="219" spans="1:94" ht="14.4" hidden="1" x14ac:dyDescent="0.3">
      <c r="A219" s="52">
        <v>45564.954652291664</v>
      </c>
      <c r="B219" s="47" t="s">
        <v>181</v>
      </c>
      <c r="C219" s="53" t="s">
        <v>783</v>
      </c>
      <c r="D219" s="53" t="s">
        <v>93</v>
      </c>
      <c r="E219" s="53" t="s">
        <v>475</v>
      </c>
      <c r="F219" s="53" t="s">
        <v>171</v>
      </c>
      <c r="G219" s="53" t="s">
        <v>696</v>
      </c>
      <c r="H219" s="53" t="s">
        <v>697</v>
      </c>
      <c r="I219" s="53" t="s">
        <v>100</v>
      </c>
      <c r="J219" s="53" t="s">
        <v>183</v>
      </c>
      <c r="K219" s="53" t="s">
        <v>102</v>
      </c>
      <c r="L219" s="84" t="s">
        <v>103</v>
      </c>
      <c r="M219" s="8" t="s">
        <v>104</v>
      </c>
      <c r="N219" s="84" t="s">
        <v>388</v>
      </c>
      <c r="O219" s="84" t="s">
        <v>106</v>
      </c>
      <c r="P219" s="84" t="s">
        <v>107</v>
      </c>
      <c r="Q219" s="115" t="s">
        <v>163</v>
      </c>
      <c r="R219" s="84" t="s">
        <v>184</v>
      </c>
      <c r="S219" s="53" t="s">
        <v>110</v>
      </c>
      <c r="T219" s="53" t="s">
        <v>110</v>
      </c>
      <c r="U219" s="53" t="s">
        <v>110</v>
      </c>
      <c r="V219" s="84" t="s">
        <v>136</v>
      </c>
      <c r="W219" s="84" t="s">
        <v>113</v>
      </c>
      <c r="X219" s="115" t="s">
        <v>235</v>
      </c>
      <c r="Y219" s="53" t="s">
        <v>115</v>
      </c>
      <c r="Z219" s="53" t="s">
        <v>115</v>
      </c>
      <c r="AA219" s="53" t="s">
        <v>111</v>
      </c>
      <c r="AB219" s="53" t="s">
        <v>115</v>
      </c>
      <c r="AC219" s="84" t="s">
        <v>116</v>
      </c>
      <c r="AD219" s="84" t="s">
        <v>117</v>
      </c>
      <c r="AE219" s="84" t="s">
        <v>167</v>
      </c>
      <c r="AF219" s="96" t="s">
        <v>120</v>
      </c>
      <c r="AG219" s="84" t="s">
        <v>110</v>
      </c>
      <c r="AH219" s="53" t="s">
        <v>110</v>
      </c>
      <c r="AI219" s="84" t="s">
        <v>110</v>
      </c>
      <c r="AJ219" s="84" t="s">
        <v>110</v>
      </c>
      <c r="AK219" s="84" t="s">
        <v>110</v>
      </c>
      <c r="AL219" s="53" t="s">
        <v>110</v>
      </c>
      <c r="AM219" s="53" t="s">
        <v>110</v>
      </c>
      <c r="AN219" s="53" t="s">
        <v>110</v>
      </c>
      <c r="AO219" s="84" t="s">
        <v>110</v>
      </c>
      <c r="AP219" s="53" t="s">
        <v>110</v>
      </c>
      <c r="AQ219" s="84" t="s">
        <v>126</v>
      </c>
      <c r="AR219" s="84" t="s">
        <v>110</v>
      </c>
      <c r="AS219" s="53" t="s">
        <v>110</v>
      </c>
      <c r="AT219" s="9" t="s">
        <v>110</v>
      </c>
      <c r="AU219" s="10" t="s">
        <v>110</v>
      </c>
      <c r="AV219" s="53" t="s">
        <v>110</v>
      </c>
      <c r="AW219" s="53" t="s">
        <v>110</v>
      </c>
      <c r="AX219" s="53" t="s">
        <v>110</v>
      </c>
      <c r="AY219" s="53" t="s">
        <v>120</v>
      </c>
      <c r="AZ219" s="84" t="s">
        <v>142</v>
      </c>
      <c r="BA219" s="84" t="s">
        <v>110</v>
      </c>
      <c r="BB219" s="84" t="s">
        <v>126</v>
      </c>
      <c r="BC219" s="84" t="s">
        <v>110</v>
      </c>
      <c r="BD219" s="96" t="s">
        <v>126</v>
      </c>
      <c r="BE219" s="84" t="s">
        <v>126</v>
      </c>
      <c r="BF219" s="84" t="s">
        <v>121</v>
      </c>
      <c r="BG219" s="53" t="s">
        <v>110</v>
      </c>
      <c r="BH219" s="84" t="s">
        <v>142</v>
      </c>
      <c r="BI219" s="53" t="s">
        <v>120</v>
      </c>
      <c r="BJ219" s="84" t="s">
        <v>110</v>
      </c>
      <c r="BK219" s="53" t="s">
        <v>110</v>
      </c>
      <c r="BL219" s="53" t="s">
        <v>126</v>
      </c>
      <c r="BM219" s="53" t="s">
        <v>110</v>
      </c>
      <c r="BN219" s="11" t="s">
        <v>110</v>
      </c>
      <c r="BO219" s="53" t="s">
        <v>111</v>
      </c>
      <c r="BP219" s="53" t="s">
        <v>120</v>
      </c>
      <c r="BQ219" s="53" t="s">
        <v>110</v>
      </c>
      <c r="BR219" s="53" t="s">
        <v>110</v>
      </c>
      <c r="BS219" s="84" t="s">
        <v>115</v>
      </c>
      <c r="BT219" s="53" t="s">
        <v>110</v>
      </c>
      <c r="BU219" s="53" t="s">
        <v>110</v>
      </c>
      <c r="BV219" s="53" t="s">
        <v>110</v>
      </c>
      <c r="BW219" s="53" t="s">
        <v>110</v>
      </c>
      <c r="BX219" s="53" t="s">
        <v>126</v>
      </c>
      <c r="BY219" s="84" t="s">
        <v>110</v>
      </c>
      <c r="BZ219" s="53" t="s">
        <v>111</v>
      </c>
      <c r="CA219" s="53" t="s">
        <v>110</v>
      </c>
      <c r="CB219" s="53" t="s">
        <v>129</v>
      </c>
      <c r="CC219" s="53" t="s">
        <v>110</v>
      </c>
      <c r="CD219" s="53" t="s">
        <v>110</v>
      </c>
      <c r="CE219" s="53" t="s">
        <v>110</v>
      </c>
      <c r="CF219" s="53" t="s">
        <v>110</v>
      </c>
      <c r="CG219" s="53" t="s">
        <v>110</v>
      </c>
      <c r="CH219" s="84" t="s">
        <v>110</v>
      </c>
      <c r="CI219" s="53" t="s">
        <v>115</v>
      </c>
      <c r="CJ219" s="53" t="s">
        <v>129</v>
      </c>
      <c r="CK219" s="53" t="s">
        <v>126</v>
      </c>
      <c r="CL219" s="53" t="s">
        <v>110</v>
      </c>
      <c r="CM219" s="53" t="s">
        <v>120</v>
      </c>
      <c r="CN219" s="49"/>
      <c r="CO219" t="s">
        <v>786</v>
      </c>
      <c r="CP219">
        <f>IFERROR(VLOOKUP(H219,'Lista Lideres'!$A$1:$B$350,2,0),0)</f>
        <v>1</v>
      </c>
    </row>
    <row r="220" spans="1:94" ht="14.4" hidden="1" x14ac:dyDescent="0.3">
      <c r="A220" s="46">
        <v>45564.064870833332</v>
      </c>
      <c r="B220" s="47" t="s">
        <v>181</v>
      </c>
      <c r="C220" s="47" t="s">
        <v>783</v>
      </c>
      <c r="D220" s="47" t="s">
        <v>93</v>
      </c>
      <c r="E220" s="47" t="s">
        <v>304</v>
      </c>
      <c r="F220" s="47" t="s">
        <v>97</v>
      </c>
      <c r="G220" s="47" t="s">
        <v>698</v>
      </c>
      <c r="H220" s="47" t="s">
        <v>699</v>
      </c>
      <c r="I220" s="47" t="s">
        <v>100</v>
      </c>
      <c r="J220" s="47" t="s">
        <v>183</v>
      </c>
      <c r="K220" s="47" t="s">
        <v>102</v>
      </c>
      <c r="L220" s="83" t="s">
        <v>103</v>
      </c>
      <c r="M220" s="8" t="s">
        <v>104</v>
      </c>
      <c r="N220" s="83" t="s">
        <v>388</v>
      </c>
      <c r="O220" s="83" t="s">
        <v>282</v>
      </c>
      <c r="P220" s="83" t="s">
        <v>107</v>
      </c>
      <c r="Q220" s="114" t="s">
        <v>108</v>
      </c>
      <c r="R220" s="47" t="s">
        <v>164</v>
      </c>
      <c r="S220" s="47" t="s">
        <v>111</v>
      </c>
      <c r="T220" s="47" t="s">
        <v>111</v>
      </c>
      <c r="U220" s="47" t="s">
        <v>111</v>
      </c>
      <c r="V220" s="83" t="s">
        <v>112</v>
      </c>
      <c r="W220" s="83" t="s">
        <v>152</v>
      </c>
      <c r="X220" s="114" t="s">
        <v>165</v>
      </c>
      <c r="Y220" s="47" t="s">
        <v>115</v>
      </c>
      <c r="Z220" s="47" t="s">
        <v>110</v>
      </c>
      <c r="AA220" s="47" t="s">
        <v>111</v>
      </c>
      <c r="AB220" s="47" t="s">
        <v>111</v>
      </c>
      <c r="AC220" s="83" t="s">
        <v>116</v>
      </c>
      <c r="AD220" s="83" t="s">
        <v>117</v>
      </c>
      <c r="AE220" s="83" t="s">
        <v>167</v>
      </c>
      <c r="AF220" s="95" t="s">
        <v>120</v>
      </c>
      <c r="AG220" s="83" t="s">
        <v>110</v>
      </c>
      <c r="AH220" s="47" t="s">
        <v>110</v>
      </c>
      <c r="AI220" s="83" t="s">
        <v>110</v>
      </c>
      <c r="AJ220" s="83" t="s">
        <v>110</v>
      </c>
      <c r="AK220" s="83" t="s">
        <v>110</v>
      </c>
      <c r="AL220" s="47" t="s">
        <v>121</v>
      </c>
      <c r="AM220" s="47" t="s">
        <v>110</v>
      </c>
      <c r="AN220" s="47" t="s">
        <v>121</v>
      </c>
      <c r="AO220" s="83" t="s">
        <v>121</v>
      </c>
      <c r="AP220" s="47" t="s">
        <v>110</v>
      </c>
      <c r="AQ220" s="83" t="s">
        <v>124</v>
      </c>
      <c r="AR220" s="83" t="s">
        <v>111</v>
      </c>
      <c r="AS220" s="47" t="s">
        <v>111</v>
      </c>
      <c r="AT220" s="16" t="s">
        <v>119</v>
      </c>
      <c r="AU220" s="17" t="s">
        <v>115</v>
      </c>
      <c r="AV220" s="47" t="s">
        <v>119</v>
      </c>
      <c r="AW220" s="47" t="s">
        <v>119</v>
      </c>
      <c r="AX220" s="47" t="s">
        <v>110</v>
      </c>
      <c r="AY220" s="47" t="s">
        <v>111</v>
      </c>
      <c r="AZ220" s="83" t="s">
        <v>125</v>
      </c>
      <c r="BA220" s="83" t="s">
        <v>111</v>
      </c>
      <c r="BB220" s="83" t="s">
        <v>126</v>
      </c>
      <c r="BC220" s="83" t="s">
        <v>111</v>
      </c>
      <c r="BD220" s="95" t="s">
        <v>125</v>
      </c>
      <c r="BE220" s="83" t="s">
        <v>126</v>
      </c>
      <c r="BF220" s="83" t="s">
        <v>121</v>
      </c>
      <c r="BG220" s="47" t="s">
        <v>110</v>
      </c>
      <c r="BH220" s="83" t="s">
        <v>126</v>
      </c>
      <c r="BI220" s="47" t="s">
        <v>120</v>
      </c>
      <c r="BJ220" s="83" t="s">
        <v>119</v>
      </c>
      <c r="BK220" s="47" t="s">
        <v>128</v>
      </c>
      <c r="BL220" s="47" t="s">
        <v>125</v>
      </c>
      <c r="BM220" s="47" t="s">
        <v>186</v>
      </c>
      <c r="BN220" s="18" t="s">
        <v>115</v>
      </c>
      <c r="BO220" s="47" t="s">
        <v>115</v>
      </c>
      <c r="BP220" s="47" t="s">
        <v>120</v>
      </c>
      <c r="BQ220" s="47" t="s">
        <v>115</v>
      </c>
      <c r="BR220" s="47" t="s">
        <v>115</v>
      </c>
      <c r="BS220" s="83" t="s">
        <v>115</v>
      </c>
      <c r="BT220" s="47" t="s">
        <v>115</v>
      </c>
      <c r="BU220" s="47" t="s">
        <v>115</v>
      </c>
      <c r="BV220" s="47" t="s">
        <v>119</v>
      </c>
      <c r="BW220" s="47" t="s">
        <v>110</v>
      </c>
      <c r="BX220" s="47" t="s">
        <v>126</v>
      </c>
      <c r="BY220" s="83" t="s">
        <v>110</v>
      </c>
      <c r="BZ220" s="47" t="s">
        <v>115</v>
      </c>
      <c r="CA220" s="47" t="s">
        <v>115</v>
      </c>
      <c r="CB220" s="47" t="s">
        <v>110</v>
      </c>
      <c r="CC220" s="47" t="s">
        <v>111</v>
      </c>
      <c r="CD220" s="47" t="s">
        <v>110</v>
      </c>
      <c r="CE220" s="47" t="s">
        <v>110</v>
      </c>
      <c r="CF220" s="47" t="s">
        <v>111</v>
      </c>
      <c r="CG220" s="47" t="s">
        <v>119</v>
      </c>
      <c r="CH220" s="83" t="s">
        <v>111</v>
      </c>
      <c r="CI220" s="47" t="s">
        <v>111</v>
      </c>
      <c r="CJ220" s="47" t="s">
        <v>119</v>
      </c>
      <c r="CK220" s="47" t="s">
        <v>125</v>
      </c>
      <c r="CL220" s="47" t="s">
        <v>110</v>
      </c>
      <c r="CM220" s="47" t="s">
        <v>111</v>
      </c>
      <c r="CN220" s="51"/>
      <c r="CO220" t="s">
        <v>786</v>
      </c>
      <c r="CP220">
        <f>IFERROR(VLOOKUP(H220,'Lista Lideres'!$A$1:$B$350,2,0),0)</f>
        <v>1</v>
      </c>
    </row>
    <row r="221" spans="1:94" ht="14.4" hidden="1" x14ac:dyDescent="0.3">
      <c r="A221" s="52">
        <v>45567.946606990736</v>
      </c>
      <c r="B221" s="47" t="s">
        <v>181</v>
      </c>
      <c r="C221" s="53" t="s">
        <v>783</v>
      </c>
      <c r="D221" s="53" t="s">
        <v>131</v>
      </c>
      <c r="E221" s="53" t="s">
        <v>304</v>
      </c>
      <c r="F221" s="53" t="s">
        <v>171</v>
      </c>
      <c r="G221" s="53" t="s">
        <v>700</v>
      </c>
      <c r="H221" s="53" t="s">
        <v>701</v>
      </c>
      <c r="I221" s="53" t="s">
        <v>100</v>
      </c>
      <c r="J221" s="53" t="s">
        <v>183</v>
      </c>
      <c r="K221" s="53" t="s">
        <v>102</v>
      </c>
      <c r="L221" s="84" t="s">
        <v>103</v>
      </c>
      <c r="M221" s="8" t="s">
        <v>104</v>
      </c>
      <c r="N221" s="84" t="s">
        <v>388</v>
      </c>
      <c r="O221" s="84" t="s">
        <v>106</v>
      </c>
      <c r="P221" s="84" t="s">
        <v>107</v>
      </c>
      <c r="Q221" s="115" t="s">
        <v>108</v>
      </c>
      <c r="R221" s="53" t="s">
        <v>176</v>
      </c>
      <c r="S221" s="53" t="s">
        <v>110</v>
      </c>
      <c r="T221" s="53" t="s">
        <v>110</v>
      </c>
      <c r="U221" s="53" t="s">
        <v>119</v>
      </c>
      <c r="V221" s="84" t="s">
        <v>112</v>
      </c>
      <c r="W221" s="84" t="s">
        <v>113</v>
      </c>
      <c r="X221" s="115" t="s">
        <v>114</v>
      </c>
      <c r="Y221" s="53" t="s">
        <v>110</v>
      </c>
      <c r="Z221" s="53" t="s">
        <v>110</v>
      </c>
      <c r="AA221" s="53" t="s">
        <v>110</v>
      </c>
      <c r="AB221" s="53" t="s">
        <v>110</v>
      </c>
      <c r="AC221" s="84" t="s">
        <v>110</v>
      </c>
      <c r="AD221" s="84" t="s">
        <v>166</v>
      </c>
      <c r="AE221" s="84" t="s">
        <v>118</v>
      </c>
      <c r="AF221" s="96" t="s">
        <v>110</v>
      </c>
      <c r="AG221" s="84" t="s">
        <v>111</v>
      </c>
      <c r="AH221" s="53" t="s">
        <v>110</v>
      </c>
      <c r="AI221" s="84" t="s">
        <v>110</v>
      </c>
      <c r="AJ221" s="84" t="s">
        <v>110</v>
      </c>
      <c r="AK221" s="84" t="s">
        <v>110</v>
      </c>
      <c r="AL221" s="53" t="s">
        <v>110</v>
      </c>
      <c r="AM221" s="53" t="s">
        <v>110</v>
      </c>
      <c r="AN221" s="53" t="s">
        <v>110</v>
      </c>
      <c r="AO221" s="84" t="s">
        <v>123</v>
      </c>
      <c r="AP221" s="53" t="s">
        <v>123</v>
      </c>
      <c r="AQ221" s="84" t="s">
        <v>126</v>
      </c>
      <c r="AR221" s="84" t="s">
        <v>110</v>
      </c>
      <c r="AS221" s="53" t="s">
        <v>111</v>
      </c>
      <c r="AT221" s="9" t="s">
        <v>119</v>
      </c>
      <c r="AU221" s="10" t="s">
        <v>110</v>
      </c>
      <c r="AV221" s="53" t="s">
        <v>119</v>
      </c>
      <c r="AW221" s="53" t="s">
        <v>119</v>
      </c>
      <c r="AX221" s="53" t="s">
        <v>110</v>
      </c>
      <c r="AY221" s="53" t="s">
        <v>120</v>
      </c>
      <c r="AZ221" s="84" t="s">
        <v>126</v>
      </c>
      <c r="BA221" s="84" t="s">
        <v>110</v>
      </c>
      <c r="BB221" s="84" t="s">
        <v>126</v>
      </c>
      <c r="BC221" s="84" t="s">
        <v>110</v>
      </c>
      <c r="BD221" s="96" t="s">
        <v>124</v>
      </c>
      <c r="BE221" s="84" t="s">
        <v>126</v>
      </c>
      <c r="BF221" s="84" t="s">
        <v>110</v>
      </c>
      <c r="BG221" s="53" t="s">
        <v>119</v>
      </c>
      <c r="BH221" s="84" t="s">
        <v>124</v>
      </c>
      <c r="BI221" s="53" t="s">
        <v>111</v>
      </c>
      <c r="BJ221" s="84" t="s">
        <v>119</v>
      </c>
      <c r="BK221" s="53" t="s">
        <v>110</v>
      </c>
      <c r="BL221" s="53" t="s">
        <v>126</v>
      </c>
      <c r="BM221" s="53" t="s">
        <v>110</v>
      </c>
      <c r="BN221" s="11" t="s">
        <v>111</v>
      </c>
      <c r="BO221" s="53" t="s">
        <v>110</v>
      </c>
      <c r="BP221" s="53" t="s">
        <v>120</v>
      </c>
      <c r="BQ221" s="53" t="s">
        <v>111</v>
      </c>
      <c r="BR221" s="53" t="s">
        <v>111</v>
      </c>
      <c r="BS221" s="84" t="s">
        <v>110</v>
      </c>
      <c r="BT221" s="53" t="s">
        <v>110</v>
      </c>
      <c r="BU221" s="53" t="s">
        <v>111</v>
      </c>
      <c r="BV221" s="53" t="s">
        <v>110</v>
      </c>
      <c r="BW221" s="53" t="s">
        <v>128</v>
      </c>
      <c r="BX221" s="53" t="s">
        <v>126</v>
      </c>
      <c r="BY221" s="84" t="s">
        <v>110</v>
      </c>
      <c r="BZ221" s="53" t="s">
        <v>110</v>
      </c>
      <c r="CA221" s="53" t="s">
        <v>110</v>
      </c>
      <c r="CB221" s="53" t="s">
        <v>110</v>
      </c>
      <c r="CC221" s="53" t="s">
        <v>110</v>
      </c>
      <c r="CD221" s="53" t="s">
        <v>110</v>
      </c>
      <c r="CE221" s="53" t="s">
        <v>110</v>
      </c>
      <c r="CF221" s="53" t="s">
        <v>110</v>
      </c>
      <c r="CG221" s="53" t="s">
        <v>110</v>
      </c>
      <c r="CH221" s="84" t="s">
        <v>110</v>
      </c>
      <c r="CI221" s="53" t="s">
        <v>110</v>
      </c>
      <c r="CJ221" s="53" t="s">
        <v>110</v>
      </c>
      <c r="CK221" s="53" t="s">
        <v>126</v>
      </c>
      <c r="CL221" s="53" t="s">
        <v>110</v>
      </c>
      <c r="CM221" s="53" t="s">
        <v>110</v>
      </c>
      <c r="CN221" s="49"/>
      <c r="CO221" t="s">
        <v>786</v>
      </c>
      <c r="CP221">
        <f>IFERROR(VLOOKUP(H221,'Lista Lideres'!$A$1:$B$350,2,0),0)</f>
        <v>1</v>
      </c>
    </row>
    <row r="222" spans="1:94" ht="13.8" hidden="1" x14ac:dyDescent="0.3">
      <c r="A222" s="46">
        <v>45563.004839340283</v>
      </c>
      <c r="B222" s="47" t="s">
        <v>181</v>
      </c>
      <c r="C222" s="47" t="s">
        <v>783</v>
      </c>
      <c r="D222" s="47" t="s">
        <v>131</v>
      </c>
      <c r="E222" s="47" t="s">
        <v>702</v>
      </c>
      <c r="F222" s="47" t="s">
        <v>97</v>
      </c>
      <c r="G222" s="47" t="s">
        <v>703</v>
      </c>
      <c r="H222" s="47" t="s">
        <v>704</v>
      </c>
      <c r="I222" s="47" t="s">
        <v>100</v>
      </c>
      <c r="J222" s="47" t="s">
        <v>101</v>
      </c>
      <c r="K222" s="47" t="s">
        <v>102</v>
      </c>
      <c r="L222" s="83" t="s">
        <v>103</v>
      </c>
      <c r="M222" s="8" t="s">
        <v>104</v>
      </c>
      <c r="N222" s="83" t="s">
        <v>388</v>
      </c>
      <c r="O222" s="83" t="s">
        <v>106</v>
      </c>
      <c r="P222" s="83" t="s">
        <v>175</v>
      </c>
      <c r="Q222" s="114" t="s">
        <v>163</v>
      </c>
      <c r="R222" s="47" t="s">
        <v>109</v>
      </c>
      <c r="S222" s="47" t="s">
        <v>110</v>
      </c>
      <c r="T222" s="47" t="s">
        <v>115</v>
      </c>
      <c r="U222" s="47" t="s">
        <v>119</v>
      </c>
      <c r="V222" s="83" t="s">
        <v>320</v>
      </c>
      <c r="W222" s="83" t="s">
        <v>113</v>
      </c>
      <c r="X222" s="114" t="s">
        <v>235</v>
      </c>
      <c r="Y222" s="47" t="s">
        <v>111</v>
      </c>
      <c r="Z222" s="47" t="s">
        <v>115</v>
      </c>
      <c r="AA222" s="47" t="s">
        <v>115</v>
      </c>
      <c r="AB222" s="47" t="s">
        <v>111</v>
      </c>
      <c r="AC222" s="83" t="s">
        <v>111</v>
      </c>
      <c r="AD222" s="83" t="s">
        <v>117</v>
      </c>
      <c r="AE222" s="83" t="s">
        <v>118</v>
      </c>
      <c r="AF222" s="95" t="s">
        <v>120</v>
      </c>
      <c r="AG222" s="83" t="s">
        <v>110</v>
      </c>
      <c r="AH222" s="47" t="s">
        <v>177</v>
      </c>
      <c r="AI222" s="83" t="s">
        <v>122</v>
      </c>
      <c r="AJ222" s="83" t="s">
        <v>128</v>
      </c>
      <c r="AK222" s="83" t="s">
        <v>121</v>
      </c>
      <c r="AL222" s="47" t="s">
        <v>177</v>
      </c>
      <c r="AM222" s="47" t="s">
        <v>177</v>
      </c>
      <c r="AN222" s="47" t="s">
        <v>123</v>
      </c>
      <c r="AO222" s="83" t="s">
        <v>123</v>
      </c>
      <c r="AP222" s="47" t="s">
        <v>178</v>
      </c>
      <c r="AQ222" s="83" t="s">
        <v>124</v>
      </c>
      <c r="AR222" s="83" t="s">
        <v>111</v>
      </c>
      <c r="AS222" s="47" t="s">
        <v>111</v>
      </c>
      <c r="AT222" s="16" t="s">
        <v>111</v>
      </c>
      <c r="AU222" s="17" t="s">
        <v>110</v>
      </c>
      <c r="AV222" s="47" t="s">
        <v>119</v>
      </c>
      <c r="AW222" s="47" t="s">
        <v>111</v>
      </c>
      <c r="AX222" s="47" t="s">
        <v>120</v>
      </c>
      <c r="AY222" s="47" t="s">
        <v>111</v>
      </c>
      <c r="AZ222" s="83" t="s">
        <v>124</v>
      </c>
      <c r="BA222" s="83" t="s">
        <v>120</v>
      </c>
      <c r="BB222" s="83" t="s">
        <v>214</v>
      </c>
      <c r="BC222" s="83" t="s">
        <v>111</v>
      </c>
      <c r="BD222" s="95" t="s">
        <v>124</v>
      </c>
      <c r="BE222" s="83" t="s">
        <v>126</v>
      </c>
      <c r="BF222" s="83" t="s">
        <v>128</v>
      </c>
      <c r="BG222" s="47" t="s">
        <v>111</v>
      </c>
      <c r="BH222" s="83" t="s">
        <v>124</v>
      </c>
      <c r="BI222" s="47" t="s">
        <v>111</v>
      </c>
      <c r="BJ222" s="83" t="s">
        <v>120</v>
      </c>
      <c r="BK222" s="47" t="s">
        <v>122</v>
      </c>
      <c r="BL222" s="47" t="s">
        <v>125</v>
      </c>
      <c r="BM222" s="47" t="s">
        <v>127</v>
      </c>
      <c r="BN222" s="18" t="s">
        <v>110</v>
      </c>
      <c r="BO222" s="47" t="s">
        <v>111</v>
      </c>
      <c r="BP222" s="47" t="s">
        <v>110</v>
      </c>
      <c r="BQ222" s="47" t="s">
        <v>115</v>
      </c>
      <c r="BR222" s="47" t="s">
        <v>110</v>
      </c>
      <c r="BS222" s="83" t="s">
        <v>111</v>
      </c>
      <c r="BT222" s="47" t="s">
        <v>110</v>
      </c>
      <c r="BU222" s="47" t="s">
        <v>111</v>
      </c>
      <c r="BV222" s="47" t="s">
        <v>129</v>
      </c>
      <c r="BW222" s="47" t="s">
        <v>123</v>
      </c>
      <c r="BX222" s="47" t="s">
        <v>124</v>
      </c>
      <c r="BY222" s="83" t="s">
        <v>115</v>
      </c>
      <c r="BZ222" s="47" t="s">
        <v>119</v>
      </c>
      <c r="CA222" s="47" t="s">
        <v>119</v>
      </c>
      <c r="CB222" s="47" t="s">
        <v>119</v>
      </c>
      <c r="CC222" s="47" t="s">
        <v>119</v>
      </c>
      <c r="CD222" s="47" t="s">
        <v>111</v>
      </c>
      <c r="CE222" s="47" t="s">
        <v>127</v>
      </c>
      <c r="CF222" s="47" t="s">
        <v>111</v>
      </c>
      <c r="CG222" s="47" t="s">
        <v>111</v>
      </c>
      <c r="CH222" s="83" t="s">
        <v>111</v>
      </c>
      <c r="CI222" s="47" t="s">
        <v>115</v>
      </c>
      <c r="CJ222" s="47" t="s">
        <v>111</v>
      </c>
      <c r="CK222" s="47" t="s">
        <v>125</v>
      </c>
      <c r="CL222" s="47" t="s">
        <v>111</v>
      </c>
      <c r="CM222" s="47" t="s">
        <v>110</v>
      </c>
      <c r="CN222" s="55" t="s">
        <v>705</v>
      </c>
      <c r="CO222" t="s">
        <v>786</v>
      </c>
      <c r="CP222">
        <f>IFERROR(VLOOKUP(H222,'Lista Lideres'!$A$1:$B$350,2,0),0)</f>
        <v>0</v>
      </c>
    </row>
    <row r="223" spans="1:94" ht="14.4" hidden="1" x14ac:dyDescent="0.3">
      <c r="A223" s="52">
        <v>45562.986665706019</v>
      </c>
      <c r="B223" s="47" t="s">
        <v>181</v>
      </c>
      <c r="C223" s="53" t="s">
        <v>783</v>
      </c>
      <c r="D223" s="53" t="s">
        <v>93</v>
      </c>
      <c r="E223" s="53" t="s">
        <v>304</v>
      </c>
      <c r="F223" s="53" t="s">
        <v>96</v>
      </c>
      <c r="G223" s="53" t="s">
        <v>611</v>
      </c>
      <c r="H223" s="53" t="s">
        <v>706</v>
      </c>
      <c r="I223" s="53" t="s">
        <v>100</v>
      </c>
      <c r="J223" s="53" t="s">
        <v>101</v>
      </c>
      <c r="K223" s="53" t="s">
        <v>102</v>
      </c>
      <c r="L223" s="84" t="s">
        <v>162</v>
      </c>
      <c r="M223" s="8" t="s">
        <v>104</v>
      </c>
      <c r="N223" s="84" t="s">
        <v>388</v>
      </c>
      <c r="O223" s="84" t="s">
        <v>106</v>
      </c>
      <c r="P223" s="84" t="s">
        <v>107</v>
      </c>
      <c r="Q223" s="115" t="s">
        <v>108</v>
      </c>
      <c r="R223" s="84" t="s">
        <v>184</v>
      </c>
      <c r="S223" s="53" t="s">
        <v>110</v>
      </c>
      <c r="T223" s="53" t="s">
        <v>119</v>
      </c>
      <c r="U223" s="53" t="s">
        <v>110</v>
      </c>
      <c r="V223" s="84" t="s">
        <v>126</v>
      </c>
      <c r="W223" s="84" t="s">
        <v>113</v>
      </c>
      <c r="X223" s="115" t="s">
        <v>153</v>
      </c>
      <c r="Y223" s="53" t="s">
        <v>111</v>
      </c>
      <c r="Z223" s="53" t="s">
        <v>111</v>
      </c>
      <c r="AA223" s="53" t="s">
        <v>111</v>
      </c>
      <c r="AB223" s="53" t="s">
        <v>111</v>
      </c>
      <c r="AC223" s="84" t="s">
        <v>110</v>
      </c>
      <c r="AD223" s="84" t="s">
        <v>137</v>
      </c>
      <c r="AE223" s="84" t="s">
        <v>118</v>
      </c>
      <c r="AF223" s="96" t="s">
        <v>119</v>
      </c>
      <c r="AG223" s="84" t="s">
        <v>119</v>
      </c>
      <c r="AH223" s="53" t="s">
        <v>122</v>
      </c>
      <c r="AI223" s="84" t="s">
        <v>122</v>
      </c>
      <c r="AJ223" s="84" t="s">
        <v>110</v>
      </c>
      <c r="AK223" s="84" t="s">
        <v>122</v>
      </c>
      <c r="AL223" s="53" t="s">
        <v>110</v>
      </c>
      <c r="AM223" s="53" t="s">
        <v>110</v>
      </c>
      <c r="AN223" s="53" t="s">
        <v>110</v>
      </c>
      <c r="AO223" s="84" t="s">
        <v>110</v>
      </c>
      <c r="AP223" s="53" t="s">
        <v>110</v>
      </c>
      <c r="AQ223" s="84" t="s">
        <v>126</v>
      </c>
      <c r="AR223" s="84" t="s">
        <v>110</v>
      </c>
      <c r="AS223" s="53" t="s">
        <v>111</v>
      </c>
      <c r="AT223" s="9" t="s">
        <v>119</v>
      </c>
      <c r="AU223" s="10" t="s">
        <v>111</v>
      </c>
      <c r="AV223" s="53" t="s">
        <v>119</v>
      </c>
      <c r="AW223" s="53" t="s">
        <v>119</v>
      </c>
      <c r="AX223" s="53" t="s">
        <v>119</v>
      </c>
      <c r="AY223" s="53" t="s">
        <v>111</v>
      </c>
      <c r="AZ223" s="84" t="s">
        <v>124</v>
      </c>
      <c r="BA223" s="84" t="s">
        <v>111</v>
      </c>
      <c r="BB223" s="84" t="s">
        <v>125</v>
      </c>
      <c r="BC223" s="84" t="s">
        <v>111</v>
      </c>
      <c r="BD223" s="96" t="s">
        <v>124</v>
      </c>
      <c r="BE223" s="84" t="s">
        <v>124</v>
      </c>
      <c r="BF223" s="84" t="s">
        <v>110</v>
      </c>
      <c r="BG223" s="53" t="s">
        <v>111</v>
      </c>
      <c r="BH223" s="84" t="s">
        <v>125</v>
      </c>
      <c r="BI223" s="53" t="s">
        <v>111</v>
      </c>
      <c r="BJ223" s="84" t="s">
        <v>111</v>
      </c>
      <c r="BK223" s="53" t="s">
        <v>128</v>
      </c>
      <c r="BL223" s="53" t="s">
        <v>124</v>
      </c>
      <c r="BM223" s="53" t="s">
        <v>110</v>
      </c>
      <c r="BN223" s="11" t="s">
        <v>111</v>
      </c>
      <c r="BO223" s="53" t="s">
        <v>111</v>
      </c>
      <c r="BP223" s="53" t="s">
        <v>120</v>
      </c>
      <c r="BQ223" s="53" t="s">
        <v>111</v>
      </c>
      <c r="BR223" s="53" t="s">
        <v>111</v>
      </c>
      <c r="BS223" s="84" t="s">
        <v>111</v>
      </c>
      <c r="BT223" s="53" t="s">
        <v>111</v>
      </c>
      <c r="BU223" s="53" t="s">
        <v>119</v>
      </c>
      <c r="BV223" s="53" t="s">
        <v>110</v>
      </c>
      <c r="BW223" s="53" t="s">
        <v>110</v>
      </c>
      <c r="BX223" s="53" t="s">
        <v>125</v>
      </c>
      <c r="BY223" s="84" t="s">
        <v>111</v>
      </c>
      <c r="BZ223" s="53" t="s">
        <v>115</v>
      </c>
      <c r="CA223" s="53" t="s">
        <v>110</v>
      </c>
      <c r="CB223" s="53" t="s">
        <v>119</v>
      </c>
      <c r="CC223" s="53" t="s">
        <v>119</v>
      </c>
      <c r="CD223" s="53" t="s">
        <v>111</v>
      </c>
      <c r="CE223" s="53" t="s">
        <v>127</v>
      </c>
      <c r="CF223" s="53" t="s">
        <v>111</v>
      </c>
      <c r="CG223" s="53" t="s">
        <v>119</v>
      </c>
      <c r="CH223" s="84" t="s">
        <v>111</v>
      </c>
      <c r="CI223" s="53" t="s">
        <v>111</v>
      </c>
      <c r="CJ223" s="53" t="s">
        <v>119</v>
      </c>
      <c r="CK223" s="53" t="s">
        <v>125</v>
      </c>
      <c r="CL223" s="53" t="s">
        <v>111</v>
      </c>
      <c r="CM223" s="53" t="s">
        <v>111</v>
      </c>
      <c r="CN223" s="56"/>
      <c r="CO223" t="s">
        <v>786</v>
      </c>
      <c r="CP223">
        <f>IFERROR(VLOOKUP(H223,'Lista Lideres'!$A$1:$B$350,2,0),0)</f>
        <v>0</v>
      </c>
    </row>
    <row r="224" spans="1:94" ht="13.8" hidden="1" x14ac:dyDescent="0.3">
      <c r="A224" s="46">
        <v>45561.896572268517</v>
      </c>
      <c r="B224" s="47" t="s">
        <v>181</v>
      </c>
      <c r="C224" s="47" t="s">
        <v>783</v>
      </c>
      <c r="D224" s="47" t="s">
        <v>93</v>
      </c>
      <c r="E224" s="47" t="s">
        <v>707</v>
      </c>
      <c r="F224" s="47" t="s">
        <v>171</v>
      </c>
      <c r="G224" s="47" t="s">
        <v>528</v>
      </c>
      <c r="H224" s="47" t="s">
        <v>528</v>
      </c>
      <c r="I224" s="47" t="s">
        <v>100</v>
      </c>
      <c r="J224" s="47" t="s">
        <v>101</v>
      </c>
      <c r="K224" s="47" t="s">
        <v>102</v>
      </c>
      <c r="L224" s="83" t="s">
        <v>103</v>
      </c>
      <c r="M224" s="8" t="s">
        <v>104</v>
      </c>
      <c r="N224" s="83" t="s">
        <v>388</v>
      </c>
      <c r="O224" s="83" t="s">
        <v>106</v>
      </c>
      <c r="P224" s="83" t="s">
        <v>175</v>
      </c>
      <c r="Q224" s="114" t="s">
        <v>163</v>
      </c>
      <c r="R224" s="47" t="s">
        <v>109</v>
      </c>
      <c r="S224" s="47" t="s">
        <v>119</v>
      </c>
      <c r="T224" s="47" t="s">
        <v>129</v>
      </c>
      <c r="U224" s="47" t="s">
        <v>129</v>
      </c>
      <c r="V224" s="83" t="s">
        <v>136</v>
      </c>
      <c r="W224" s="83" t="s">
        <v>152</v>
      </c>
      <c r="X224" s="114" t="s">
        <v>235</v>
      </c>
      <c r="Y224" s="47" t="s">
        <v>110</v>
      </c>
      <c r="Z224" s="47" t="s">
        <v>110</v>
      </c>
      <c r="AA224" s="47" t="s">
        <v>110</v>
      </c>
      <c r="AB224" s="47" t="s">
        <v>110</v>
      </c>
      <c r="AC224" s="83" t="s">
        <v>116</v>
      </c>
      <c r="AD224" s="83" t="s">
        <v>137</v>
      </c>
      <c r="AE224" s="83" t="s">
        <v>118</v>
      </c>
      <c r="AF224" s="95" t="s">
        <v>119</v>
      </c>
      <c r="AG224" s="83" t="s">
        <v>110</v>
      </c>
      <c r="AH224" s="47" t="s">
        <v>122</v>
      </c>
      <c r="AI224" s="83" t="s">
        <v>110</v>
      </c>
      <c r="AJ224" s="83" t="s">
        <v>110</v>
      </c>
      <c r="AK224" s="83" t="s">
        <v>121</v>
      </c>
      <c r="AL224" s="47" t="s">
        <v>177</v>
      </c>
      <c r="AM224" s="47" t="s">
        <v>110</v>
      </c>
      <c r="AN224" s="47" t="s">
        <v>177</v>
      </c>
      <c r="AO224" s="83" t="s">
        <v>178</v>
      </c>
      <c r="AP224" s="47" t="s">
        <v>123</v>
      </c>
      <c r="AQ224" s="83" t="s">
        <v>126</v>
      </c>
      <c r="AR224" s="83" t="s">
        <v>110</v>
      </c>
      <c r="AS224" s="47" t="s">
        <v>110</v>
      </c>
      <c r="AT224" s="16" t="s">
        <v>119</v>
      </c>
      <c r="AU224" s="17" t="s">
        <v>110</v>
      </c>
      <c r="AV224" s="47" t="s">
        <v>110</v>
      </c>
      <c r="AW224" s="47" t="s">
        <v>110</v>
      </c>
      <c r="AX224" s="47" t="s">
        <v>110</v>
      </c>
      <c r="AY224" s="47" t="s">
        <v>120</v>
      </c>
      <c r="AZ224" s="83" t="s">
        <v>126</v>
      </c>
      <c r="BA224" s="83" t="s">
        <v>110</v>
      </c>
      <c r="BB224" s="83" t="s">
        <v>126</v>
      </c>
      <c r="BC224" s="83" t="s">
        <v>110</v>
      </c>
      <c r="BD224" s="95" t="s">
        <v>126</v>
      </c>
      <c r="BE224" s="83" t="s">
        <v>126</v>
      </c>
      <c r="BF224" s="83" t="s">
        <v>110</v>
      </c>
      <c r="BG224" s="47" t="s">
        <v>119</v>
      </c>
      <c r="BH224" s="83" t="s">
        <v>125</v>
      </c>
      <c r="BI224" s="47" t="s">
        <v>110</v>
      </c>
      <c r="BJ224" s="83" t="s">
        <v>110</v>
      </c>
      <c r="BK224" s="47" t="s">
        <v>110</v>
      </c>
      <c r="BL224" s="47" t="s">
        <v>126</v>
      </c>
      <c r="BM224" s="47" t="s">
        <v>110</v>
      </c>
      <c r="BN224" s="18" t="s">
        <v>110</v>
      </c>
      <c r="BO224" s="47" t="s">
        <v>111</v>
      </c>
      <c r="BP224" s="47" t="s">
        <v>120</v>
      </c>
      <c r="BQ224" s="47" t="s">
        <v>110</v>
      </c>
      <c r="BR224" s="47" t="s">
        <v>110</v>
      </c>
      <c r="BS224" s="83" t="s">
        <v>110</v>
      </c>
      <c r="BT224" s="47" t="s">
        <v>110</v>
      </c>
      <c r="BU224" s="47" t="s">
        <v>110</v>
      </c>
      <c r="BV224" s="47" t="s">
        <v>110</v>
      </c>
      <c r="BW224" s="47" t="s">
        <v>110</v>
      </c>
      <c r="BX224" s="47" t="s">
        <v>142</v>
      </c>
      <c r="BY224" s="83" t="s">
        <v>110</v>
      </c>
      <c r="BZ224" s="47" t="s">
        <v>115</v>
      </c>
      <c r="CA224" s="47" t="s">
        <v>110</v>
      </c>
      <c r="CB224" s="47" t="s">
        <v>119</v>
      </c>
      <c r="CC224" s="47" t="s">
        <v>110</v>
      </c>
      <c r="CD224" s="47" t="s">
        <v>110</v>
      </c>
      <c r="CE224" s="47" t="s">
        <v>110</v>
      </c>
      <c r="CF224" s="47" t="s">
        <v>111</v>
      </c>
      <c r="CG224" s="47" t="s">
        <v>129</v>
      </c>
      <c r="CH224" s="83" t="s">
        <v>110</v>
      </c>
      <c r="CI224" s="47" t="s">
        <v>110</v>
      </c>
      <c r="CJ224" s="47" t="s">
        <v>110</v>
      </c>
      <c r="CK224" s="47" t="s">
        <v>126</v>
      </c>
      <c r="CL224" s="47" t="s">
        <v>119</v>
      </c>
      <c r="CM224" s="47" t="s">
        <v>110</v>
      </c>
      <c r="CN224" s="55" t="s">
        <v>708</v>
      </c>
      <c r="CO224" t="s">
        <v>786</v>
      </c>
      <c r="CP224">
        <f>IFERROR(VLOOKUP(H224,'Lista Lideres'!$A$1:$B$350,2,0),0)</f>
        <v>0</v>
      </c>
    </row>
    <row r="225" spans="1:94" ht="14.4" hidden="1" x14ac:dyDescent="0.3">
      <c r="A225" s="52">
        <v>45563.783764328706</v>
      </c>
      <c r="B225" s="47" t="s">
        <v>181</v>
      </c>
      <c r="C225" s="53" t="s">
        <v>783</v>
      </c>
      <c r="D225" s="53" t="s">
        <v>93</v>
      </c>
      <c r="E225" s="53" t="s">
        <v>709</v>
      </c>
      <c r="F225" s="53" t="s">
        <v>97</v>
      </c>
      <c r="G225" s="53" t="s">
        <v>528</v>
      </c>
      <c r="H225" s="53" t="s">
        <v>528</v>
      </c>
      <c r="I225" s="53" t="s">
        <v>100</v>
      </c>
      <c r="J225" s="53" t="s">
        <v>101</v>
      </c>
      <c r="K225" s="53" t="s">
        <v>102</v>
      </c>
      <c r="L225" s="84" t="s">
        <v>103</v>
      </c>
      <c r="M225" s="8" t="s">
        <v>104</v>
      </c>
      <c r="N225" s="84" t="s">
        <v>388</v>
      </c>
      <c r="O225" s="84" t="s">
        <v>106</v>
      </c>
      <c r="P225" s="84" t="s">
        <v>107</v>
      </c>
      <c r="Q225" s="115" t="s">
        <v>108</v>
      </c>
      <c r="R225" s="53" t="s">
        <v>164</v>
      </c>
      <c r="S225" s="53" t="s">
        <v>110</v>
      </c>
      <c r="T225" s="53" t="s">
        <v>119</v>
      </c>
      <c r="U225" s="53" t="s">
        <v>111</v>
      </c>
      <c r="V225" s="84" t="s">
        <v>112</v>
      </c>
      <c r="W225" s="84" t="s">
        <v>113</v>
      </c>
      <c r="X225" s="115" t="s">
        <v>153</v>
      </c>
      <c r="Y225" s="53" t="s">
        <v>115</v>
      </c>
      <c r="Z225" s="53" t="s">
        <v>115</v>
      </c>
      <c r="AA225" s="53" t="s">
        <v>115</v>
      </c>
      <c r="AB225" s="53" t="s">
        <v>111</v>
      </c>
      <c r="AC225" s="84" t="s">
        <v>116</v>
      </c>
      <c r="AD225" s="84" t="s">
        <v>117</v>
      </c>
      <c r="AE225" s="84" t="s">
        <v>118</v>
      </c>
      <c r="AF225" s="96" t="s">
        <v>119</v>
      </c>
      <c r="AG225" s="84" t="s">
        <v>119</v>
      </c>
      <c r="AH225" s="53" t="s">
        <v>110</v>
      </c>
      <c r="AI225" s="84" t="s">
        <v>110</v>
      </c>
      <c r="AJ225" s="84" t="s">
        <v>110</v>
      </c>
      <c r="AK225" s="84" t="s">
        <v>110</v>
      </c>
      <c r="AL225" s="53" t="s">
        <v>128</v>
      </c>
      <c r="AM225" s="53" t="s">
        <v>110</v>
      </c>
      <c r="AN225" s="53" t="s">
        <v>110</v>
      </c>
      <c r="AO225" s="84" t="s">
        <v>128</v>
      </c>
      <c r="AP225" s="53" t="s">
        <v>128</v>
      </c>
      <c r="AQ225" s="84" t="s">
        <v>203</v>
      </c>
      <c r="AR225" s="84" t="s">
        <v>115</v>
      </c>
      <c r="AS225" s="53" t="s">
        <v>115</v>
      </c>
      <c r="AT225" s="9" t="s">
        <v>129</v>
      </c>
      <c r="AU225" s="10" t="s">
        <v>115</v>
      </c>
      <c r="AV225" s="53" t="s">
        <v>119</v>
      </c>
      <c r="AW225" s="53" t="s">
        <v>119</v>
      </c>
      <c r="AX225" s="53" t="s">
        <v>119</v>
      </c>
      <c r="AY225" s="53" t="s">
        <v>120</v>
      </c>
      <c r="AZ225" s="84" t="s">
        <v>126</v>
      </c>
      <c r="BA225" s="84" t="s">
        <v>110</v>
      </c>
      <c r="BB225" s="84" t="s">
        <v>126</v>
      </c>
      <c r="BC225" s="84" t="s">
        <v>120</v>
      </c>
      <c r="BD225" s="96" t="s">
        <v>124</v>
      </c>
      <c r="BE225" s="84" t="s">
        <v>126</v>
      </c>
      <c r="BF225" s="84" t="s">
        <v>110</v>
      </c>
      <c r="BG225" s="53" t="s">
        <v>111</v>
      </c>
      <c r="BH225" s="84" t="s">
        <v>142</v>
      </c>
      <c r="BI225" s="53" t="s">
        <v>129</v>
      </c>
      <c r="BJ225" s="84" t="s">
        <v>111</v>
      </c>
      <c r="BK225" s="53" t="s">
        <v>110</v>
      </c>
      <c r="BL225" s="53" t="s">
        <v>125</v>
      </c>
      <c r="BM225" s="53" t="s">
        <v>186</v>
      </c>
      <c r="BN225" s="11" t="s">
        <v>111</v>
      </c>
      <c r="BO225" s="53" t="s">
        <v>111</v>
      </c>
      <c r="BP225" s="53" t="s">
        <v>120</v>
      </c>
      <c r="BQ225" s="53" t="s">
        <v>110</v>
      </c>
      <c r="BR225" s="53" t="s">
        <v>111</v>
      </c>
      <c r="BS225" s="84" t="s">
        <v>111</v>
      </c>
      <c r="BT225" s="53" t="s">
        <v>115</v>
      </c>
      <c r="BU225" s="53" t="s">
        <v>115</v>
      </c>
      <c r="BV225" s="53" t="s">
        <v>110</v>
      </c>
      <c r="BW225" s="53" t="s">
        <v>110</v>
      </c>
      <c r="BX225" s="53" t="s">
        <v>126</v>
      </c>
      <c r="BY225" s="84" t="s">
        <v>115</v>
      </c>
      <c r="BZ225" s="53" t="s">
        <v>115</v>
      </c>
      <c r="CA225" s="53" t="s">
        <v>110</v>
      </c>
      <c r="CB225" s="53" t="s">
        <v>119</v>
      </c>
      <c r="CC225" s="53" t="s">
        <v>119</v>
      </c>
      <c r="CD225" s="53" t="s">
        <v>115</v>
      </c>
      <c r="CE225" s="53" t="s">
        <v>127</v>
      </c>
      <c r="CF225" s="53" t="s">
        <v>110</v>
      </c>
      <c r="CG225" s="53" t="s">
        <v>129</v>
      </c>
      <c r="CH225" s="84" t="s">
        <v>110</v>
      </c>
      <c r="CI225" s="53" t="s">
        <v>111</v>
      </c>
      <c r="CJ225" s="53" t="s">
        <v>110</v>
      </c>
      <c r="CK225" s="53" t="s">
        <v>125</v>
      </c>
      <c r="CL225" s="53" t="s">
        <v>119</v>
      </c>
      <c r="CM225" s="53" t="s">
        <v>111</v>
      </c>
      <c r="CN225" s="56"/>
      <c r="CO225" t="s">
        <v>786</v>
      </c>
      <c r="CP225">
        <f>IFERROR(VLOOKUP(H225,'Lista Lideres'!$A$1:$B$350,2,0),0)</f>
        <v>0</v>
      </c>
    </row>
    <row r="226" spans="1:94" ht="13.8" hidden="1" x14ac:dyDescent="0.3">
      <c r="A226" s="46">
        <v>45566.29583127315</v>
      </c>
      <c r="B226" s="47" t="s">
        <v>181</v>
      </c>
      <c r="C226" s="47" t="s">
        <v>783</v>
      </c>
      <c r="D226" s="47" t="s">
        <v>93</v>
      </c>
      <c r="E226" s="47" t="s">
        <v>304</v>
      </c>
      <c r="F226" s="47" t="s">
        <v>96</v>
      </c>
      <c r="G226" s="47" t="s">
        <v>710</v>
      </c>
      <c r="H226" s="47" t="s">
        <v>711</v>
      </c>
      <c r="I226" s="47" t="s">
        <v>100</v>
      </c>
      <c r="J226" s="47" t="s">
        <v>101</v>
      </c>
      <c r="K226" s="47" t="s">
        <v>102</v>
      </c>
      <c r="L226" s="83" t="s">
        <v>103</v>
      </c>
      <c r="M226" s="8" t="s">
        <v>104</v>
      </c>
      <c r="N226" s="83" t="s">
        <v>388</v>
      </c>
      <c r="O226" s="83" t="s">
        <v>106</v>
      </c>
      <c r="P226" s="83" t="s">
        <v>107</v>
      </c>
      <c r="Q226" s="114" t="s">
        <v>151</v>
      </c>
      <c r="R226" s="47" t="s">
        <v>164</v>
      </c>
      <c r="S226" s="47" t="s">
        <v>119</v>
      </c>
      <c r="T226" s="47" t="s">
        <v>119</v>
      </c>
      <c r="U226" s="47" t="s">
        <v>110</v>
      </c>
      <c r="V226" s="83" t="s">
        <v>112</v>
      </c>
      <c r="W226" s="83" t="s">
        <v>113</v>
      </c>
      <c r="X226" s="114" t="s">
        <v>114</v>
      </c>
      <c r="Y226" s="47" t="s">
        <v>111</v>
      </c>
      <c r="Z226" s="47" t="s">
        <v>110</v>
      </c>
      <c r="AA226" s="47" t="s">
        <v>110</v>
      </c>
      <c r="AB226" s="47" t="s">
        <v>119</v>
      </c>
      <c r="AC226" s="83" t="s">
        <v>111</v>
      </c>
      <c r="AD226" s="83" t="s">
        <v>117</v>
      </c>
      <c r="AE226" s="83" t="s">
        <v>118</v>
      </c>
      <c r="AF226" s="95" t="s">
        <v>110</v>
      </c>
      <c r="AG226" s="83" t="s">
        <v>110</v>
      </c>
      <c r="AH226" s="47" t="s">
        <v>110</v>
      </c>
      <c r="AI226" s="83" t="s">
        <v>110</v>
      </c>
      <c r="AJ226" s="83" t="s">
        <v>110</v>
      </c>
      <c r="AK226" s="83" t="s">
        <v>110</v>
      </c>
      <c r="AL226" s="47" t="s">
        <v>110</v>
      </c>
      <c r="AM226" s="47" t="s">
        <v>110</v>
      </c>
      <c r="AN226" s="47" t="s">
        <v>110</v>
      </c>
      <c r="AO226" s="83" t="s">
        <v>110</v>
      </c>
      <c r="AP226" s="47" t="s">
        <v>110</v>
      </c>
      <c r="AQ226" s="83" t="s">
        <v>124</v>
      </c>
      <c r="AR226" s="83" t="s">
        <v>111</v>
      </c>
      <c r="AS226" s="47" t="s">
        <v>111</v>
      </c>
      <c r="AT226" s="16" t="s">
        <v>119</v>
      </c>
      <c r="AU226" s="17" t="s">
        <v>111</v>
      </c>
      <c r="AV226" s="47" t="s">
        <v>110</v>
      </c>
      <c r="AW226" s="47" t="s">
        <v>110</v>
      </c>
      <c r="AX226" s="47" t="s">
        <v>110</v>
      </c>
      <c r="AY226" s="47" t="s">
        <v>111</v>
      </c>
      <c r="AZ226" s="83" t="s">
        <v>126</v>
      </c>
      <c r="BA226" s="83" t="s">
        <v>110</v>
      </c>
      <c r="BB226" s="83" t="s">
        <v>126</v>
      </c>
      <c r="BC226" s="83" t="s">
        <v>111</v>
      </c>
      <c r="BD226" s="95" t="s">
        <v>126</v>
      </c>
      <c r="BE226" s="83" t="s">
        <v>125</v>
      </c>
      <c r="BF226" s="83" t="s">
        <v>110</v>
      </c>
      <c r="BG226" s="47" t="s">
        <v>119</v>
      </c>
      <c r="BH226" s="83" t="s">
        <v>124</v>
      </c>
      <c r="BI226" s="47" t="s">
        <v>119</v>
      </c>
      <c r="BJ226" s="83" t="s">
        <v>110</v>
      </c>
      <c r="BK226" s="47" t="s">
        <v>122</v>
      </c>
      <c r="BL226" s="47" t="s">
        <v>126</v>
      </c>
      <c r="BM226" s="47" t="s">
        <v>110</v>
      </c>
      <c r="BN226" s="18" t="s">
        <v>110</v>
      </c>
      <c r="BO226" s="47" t="s">
        <v>110</v>
      </c>
      <c r="BP226" s="47" t="s">
        <v>120</v>
      </c>
      <c r="BQ226" s="47" t="s">
        <v>111</v>
      </c>
      <c r="BR226" s="47" t="s">
        <v>111</v>
      </c>
      <c r="BS226" s="83" t="s">
        <v>111</v>
      </c>
      <c r="BT226" s="47" t="s">
        <v>111</v>
      </c>
      <c r="BU226" s="47" t="s">
        <v>110</v>
      </c>
      <c r="BV226" s="47" t="s">
        <v>110</v>
      </c>
      <c r="BW226" s="47" t="s">
        <v>123</v>
      </c>
      <c r="BX226" s="47" t="s">
        <v>126</v>
      </c>
      <c r="BY226" s="83" t="s">
        <v>111</v>
      </c>
      <c r="BZ226" s="47" t="s">
        <v>115</v>
      </c>
      <c r="CA226" s="47" t="s">
        <v>110</v>
      </c>
      <c r="CB226" s="47" t="s">
        <v>110</v>
      </c>
      <c r="CC226" s="47" t="s">
        <v>110</v>
      </c>
      <c r="CD226" s="47" t="s">
        <v>110</v>
      </c>
      <c r="CE226" s="47" t="s">
        <v>110</v>
      </c>
      <c r="CF226" s="47" t="s">
        <v>111</v>
      </c>
      <c r="CG226" s="47" t="s">
        <v>110</v>
      </c>
      <c r="CH226" s="83" t="s">
        <v>110</v>
      </c>
      <c r="CI226" s="47" t="s">
        <v>110</v>
      </c>
      <c r="CJ226" s="47" t="s">
        <v>110</v>
      </c>
      <c r="CK226" s="47" t="s">
        <v>126</v>
      </c>
      <c r="CL226" s="47" t="s">
        <v>111</v>
      </c>
      <c r="CM226" s="47" t="s">
        <v>111</v>
      </c>
      <c r="CN226" s="50" t="s">
        <v>712</v>
      </c>
      <c r="CO226" t="s">
        <v>786</v>
      </c>
      <c r="CP226">
        <f>IFERROR(VLOOKUP(H226,'Lista Lideres'!$A$1:$B$350,2,0),0)</f>
        <v>0</v>
      </c>
    </row>
    <row r="227" spans="1:94" ht="14.4" hidden="1" x14ac:dyDescent="0.3">
      <c r="A227" s="52">
        <v>45561.79229809028</v>
      </c>
      <c r="B227" s="47" t="s">
        <v>181</v>
      </c>
      <c r="C227" s="53" t="s">
        <v>783</v>
      </c>
      <c r="D227" s="53" t="s">
        <v>93</v>
      </c>
      <c r="E227" s="53" t="s">
        <v>199</v>
      </c>
      <c r="F227" s="53" t="s">
        <v>96</v>
      </c>
      <c r="G227" s="53" t="s">
        <v>713</v>
      </c>
      <c r="H227" s="53" t="s">
        <v>714</v>
      </c>
      <c r="I227" s="53" t="s">
        <v>100</v>
      </c>
      <c r="J227" s="53" t="s">
        <v>101</v>
      </c>
      <c r="K227" s="53" t="s">
        <v>102</v>
      </c>
      <c r="L227" s="84" t="s">
        <v>162</v>
      </c>
      <c r="M227" s="8" t="s">
        <v>104</v>
      </c>
      <c r="N227" s="84" t="s">
        <v>388</v>
      </c>
      <c r="O227" s="84" t="s">
        <v>282</v>
      </c>
      <c r="P227" s="84" t="s">
        <v>175</v>
      </c>
      <c r="Q227" s="115" t="s">
        <v>151</v>
      </c>
      <c r="R227" s="53" t="s">
        <v>176</v>
      </c>
      <c r="S227" s="53" t="s">
        <v>111</v>
      </c>
      <c r="T227" s="53" t="s">
        <v>115</v>
      </c>
      <c r="U227" s="53" t="s">
        <v>111</v>
      </c>
      <c r="V227" s="84" t="s">
        <v>112</v>
      </c>
      <c r="W227" s="84" t="s">
        <v>152</v>
      </c>
      <c r="X227" s="115" t="s">
        <v>165</v>
      </c>
      <c r="Y227" s="53" t="s">
        <v>115</v>
      </c>
      <c r="Z227" s="53" t="s">
        <v>168</v>
      </c>
      <c r="AA227" s="53" t="s">
        <v>168</v>
      </c>
      <c r="AB227" s="53" t="s">
        <v>115</v>
      </c>
      <c r="AC227" s="84" t="s">
        <v>116</v>
      </c>
      <c r="AD227" s="84" t="s">
        <v>117</v>
      </c>
      <c r="AE227" s="84" t="s">
        <v>118</v>
      </c>
      <c r="AF227" s="96" t="s">
        <v>120</v>
      </c>
      <c r="AG227" s="84" t="s">
        <v>129</v>
      </c>
      <c r="AH227" s="53" t="s">
        <v>121</v>
      </c>
      <c r="AI227" s="84" t="s">
        <v>110</v>
      </c>
      <c r="AJ227" s="84" t="s">
        <v>177</v>
      </c>
      <c r="AK227" s="84" t="s">
        <v>177</v>
      </c>
      <c r="AL227" s="53" t="s">
        <v>177</v>
      </c>
      <c r="AM227" s="53" t="s">
        <v>123</v>
      </c>
      <c r="AN227" s="53" t="s">
        <v>177</v>
      </c>
      <c r="AO227" s="84" t="s">
        <v>123</v>
      </c>
      <c r="AP227" s="53" t="s">
        <v>123</v>
      </c>
      <c r="AQ227" s="84" t="s">
        <v>124</v>
      </c>
      <c r="AR227" s="84" t="s">
        <v>111</v>
      </c>
      <c r="AS227" s="53" t="s">
        <v>111</v>
      </c>
      <c r="AT227" s="9" t="s">
        <v>129</v>
      </c>
      <c r="AU227" s="10" t="s">
        <v>115</v>
      </c>
      <c r="AV227" s="53" t="s">
        <v>129</v>
      </c>
      <c r="AW227" s="53" t="s">
        <v>119</v>
      </c>
      <c r="AX227" s="53" t="s">
        <v>120</v>
      </c>
      <c r="AY227" s="53" t="s">
        <v>111</v>
      </c>
      <c r="AZ227" s="84" t="s">
        <v>214</v>
      </c>
      <c r="BA227" s="84" t="s">
        <v>111</v>
      </c>
      <c r="BB227" s="84" t="s">
        <v>124</v>
      </c>
      <c r="BC227" s="84" t="s">
        <v>120</v>
      </c>
      <c r="BD227" s="96" t="s">
        <v>125</v>
      </c>
      <c r="BE227" s="84" t="s">
        <v>142</v>
      </c>
      <c r="BF227" s="84" t="s">
        <v>121</v>
      </c>
      <c r="BG227" s="53" t="s">
        <v>111</v>
      </c>
      <c r="BH227" s="84" t="s">
        <v>142</v>
      </c>
      <c r="BI227" s="53" t="s">
        <v>120</v>
      </c>
      <c r="BJ227" s="84" t="s">
        <v>110</v>
      </c>
      <c r="BK227" s="53" t="s">
        <v>121</v>
      </c>
      <c r="BL227" s="53" t="s">
        <v>125</v>
      </c>
      <c r="BM227" s="53" t="s">
        <v>186</v>
      </c>
      <c r="BN227" s="11" t="s">
        <v>115</v>
      </c>
      <c r="BO227" s="53" t="s">
        <v>115</v>
      </c>
      <c r="BP227" s="53" t="s">
        <v>120</v>
      </c>
      <c r="BQ227" s="53" t="s">
        <v>115</v>
      </c>
      <c r="BR227" s="53" t="s">
        <v>115</v>
      </c>
      <c r="BS227" s="84" t="s">
        <v>115</v>
      </c>
      <c r="BT227" s="53" t="s">
        <v>115</v>
      </c>
      <c r="BU227" s="53" t="s">
        <v>115</v>
      </c>
      <c r="BV227" s="53" t="s">
        <v>129</v>
      </c>
      <c r="BW227" s="53" t="s">
        <v>178</v>
      </c>
      <c r="BX227" s="53" t="s">
        <v>203</v>
      </c>
      <c r="BY227" s="84" t="s">
        <v>115</v>
      </c>
      <c r="BZ227" s="53" t="s">
        <v>110</v>
      </c>
      <c r="CA227" s="53" t="s">
        <v>115</v>
      </c>
      <c r="CB227" s="53" t="s">
        <v>129</v>
      </c>
      <c r="CC227" s="53" t="s">
        <v>115</v>
      </c>
      <c r="CD227" s="53" t="s">
        <v>129</v>
      </c>
      <c r="CE227" s="53" t="s">
        <v>127</v>
      </c>
      <c r="CF227" s="53" t="s">
        <v>111</v>
      </c>
      <c r="CG227" s="53" t="s">
        <v>111</v>
      </c>
      <c r="CH227" s="84" t="s">
        <v>111</v>
      </c>
      <c r="CI227" s="53" t="s">
        <v>115</v>
      </c>
      <c r="CJ227" s="53" t="s">
        <v>129</v>
      </c>
      <c r="CK227" s="53" t="s">
        <v>142</v>
      </c>
      <c r="CL227" s="53" t="s">
        <v>111</v>
      </c>
      <c r="CM227" s="53" t="s">
        <v>111</v>
      </c>
      <c r="CN227" s="49"/>
      <c r="CO227" t="s">
        <v>786</v>
      </c>
      <c r="CP227">
        <f>IFERROR(VLOOKUP(H227,'Lista Lideres'!$A$1:$B$350,2,0),0)</f>
        <v>1</v>
      </c>
    </row>
    <row r="228" spans="1:94" ht="13.8" hidden="1" x14ac:dyDescent="0.3">
      <c r="A228" s="46">
        <v>45562.214298263891</v>
      </c>
      <c r="B228" s="47" t="s">
        <v>181</v>
      </c>
      <c r="C228" s="47" t="s">
        <v>783</v>
      </c>
      <c r="D228" s="47" t="s">
        <v>131</v>
      </c>
      <c r="E228" s="47" t="s">
        <v>236</v>
      </c>
      <c r="F228" s="47" t="s">
        <v>97</v>
      </c>
      <c r="G228" s="47" t="s">
        <v>715</v>
      </c>
      <c r="H228" s="47" t="s">
        <v>716</v>
      </c>
      <c r="I228" s="47" t="s">
        <v>190</v>
      </c>
      <c r="J228" s="47" t="s">
        <v>101</v>
      </c>
      <c r="K228" s="47" t="s">
        <v>102</v>
      </c>
      <c r="L228" s="83" t="s">
        <v>135</v>
      </c>
      <c r="M228" s="8" t="s">
        <v>104</v>
      </c>
      <c r="N228" s="83" t="s">
        <v>388</v>
      </c>
      <c r="O228" s="83" t="s">
        <v>106</v>
      </c>
      <c r="P228" s="83" t="s">
        <v>107</v>
      </c>
      <c r="Q228" s="114" t="s">
        <v>108</v>
      </c>
      <c r="R228" s="47" t="s">
        <v>176</v>
      </c>
      <c r="S228" s="47" t="s">
        <v>110</v>
      </c>
      <c r="T228" s="47" t="s">
        <v>110</v>
      </c>
      <c r="U228" s="47" t="s">
        <v>110</v>
      </c>
      <c r="V228" s="83" t="s">
        <v>126</v>
      </c>
      <c r="W228" s="83" t="s">
        <v>113</v>
      </c>
      <c r="X228" s="114" t="s">
        <v>235</v>
      </c>
      <c r="Y228" s="47" t="s">
        <v>110</v>
      </c>
      <c r="Z228" s="47" t="s">
        <v>110</v>
      </c>
      <c r="AA228" s="47" t="s">
        <v>110</v>
      </c>
      <c r="AB228" s="47" t="s">
        <v>110</v>
      </c>
      <c r="AC228" s="83" t="s">
        <v>110</v>
      </c>
      <c r="AD228" s="83" t="s">
        <v>137</v>
      </c>
      <c r="AE228" s="83" t="s">
        <v>167</v>
      </c>
      <c r="AF228" s="95" t="s">
        <v>120</v>
      </c>
      <c r="AG228" s="83" t="s">
        <v>110</v>
      </c>
      <c r="AH228" s="47" t="s">
        <v>110</v>
      </c>
      <c r="AI228" s="83" t="s">
        <v>110</v>
      </c>
      <c r="AJ228" s="83" t="s">
        <v>122</v>
      </c>
      <c r="AK228" s="83" t="s">
        <v>110</v>
      </c>
      <c r="AL228" s="47" t="s">
        <v>122</v>
      </c>
      <c r="AM228" s="47" t="s">
        <v>123</v>
      </c>
      <c r="AN228" s="47" t="s">
        <v>123</v>
      </c>
      <c r="AO228" s="83" t="s">
        <v>123</v>
      </c>
      <c r="AP228" s="47" t="s">
        <v>110</v>
      </c>
      <c r="AQ228" s="83" t="s">
        <v>124</v>
      </c>
      <c r="AR228" s="83" t="s">
        <v>111</v>
      </c>
      <c r="AS228" s="47" t="s">
        <v>119</v>
      </c>
      <c r="AT228" s="16" t="s">
        <v>111</v>
      </c>
      <c r="AU228" s="17" t="s">
        <v>111</v>
      </c>
      <c r="AV228" s="47" t="s">
        <v>110</v>
      </c>
      <c r="AW228" s="47" t="s">
        <v>110</v>
      </c>
      <c r="AX228" s="47" t="s">
        <v>111</v>
      </c>
      <c r="AY228" s="47" t="s">
        <v>111</v>
      </c>
      <c r="AZ228" s="83" t="s">
        <v>126</v>
      </c>
      <c r="BA228" s="83" t="s">
        <v>111</v>
      </c>
      <c r="BB228" s="83" t="s">
        <v>126</v>
      </c>
      <c r="BC228" s="83" t="s">
        <v>111</v>
      </c>
      <c r="BD228" s="95" t="s">
        <v>126</v>
      </c>
      <c r="BE228" s="83" t="s">
        <v>126</v>
      </c>
      <c r="BF228" s="83" t="s">
        <v>110</v>
      </c>
      <c r="BG228" s="47" t="s">
        <v>110</v>
      </c>
      <c r="BH228" s="83" t="s">
        <v>126</v>
      </c>
      <c r="BI228" s="47" t="s">
        <v>111</v>
      </c>
      <c r="BJ228" s="83" t="s">
        <v>110</v>
      </c>
      <c r="BK228" s="47" t="s">
        <v>110</v>
      </c>
      <c r="BL228" s="47" t="s">
        <v>126</v>
      </c>
      <c r="BM228" s="47" t="s">
        <v>110</v>
      </c>
      <c r="BN228" s="18" t="s">
        <v>111</v>
      </c>
      <c r="BO228" s="47" t="s">
        <v>111</v>
      </c>
      <c r="BP228" s="47" t="s">
        <v>120</v>
      </c>
      <c r="BQ228" s="47" t="s">
        <v>110</v>
      </c>
      <c r="BR228" s="47" t="s">
        <v>111</v>
      </c>
      <c r="BS228" s="83" t="s">
        <v>115</v>
      </c>
      <c r="BT228" s="47" t="s">
        <v>115</v>
      </c>
      <c r="BU228" s="47" t="s">
        <v>115</v>
      </c>
      <c r="BV228" s="47" t="s">
        <v>110</v>
      </c>
      <c r="BW228" s="47" t="s">
        <v>110</v>
      </c>
      <c r="BX228" s="47" t="s">
        <v>124</v>
      </c>
      <c r="BY228" s="83" t="s">
        <v>110</v>
      </c>
      <c r="BZ228" s="47" t="s">
        <v>115</v>
      </c>
      <c r="CA228" s="47" t="s">
        <v>111</v>
      </c>
      <c r="CB228" s="47" t="s">
        <v>110</v>
      </c>
      <c r="CC228" s="47" t="s">
        <v>119</v>
      </c>
      <c r="CD228" s="47" t="s">
        <v>129</v>
      </c>
      <c r="CE228" s="47" t="s">
        <v>127</v>
      </c>
      <c r="CF228" s="47" t="s">
        <v>115</v>
      </c>
      <c r="CG228" s="47" t="s">
        <v>110</v>
      </c>
      <c r="CH228" s="83" t="s">
        <v>110</v>
      </c>
      <c r="CI228" s="47" t="s">
        <v>115</v>
      </c>
      <c r="CJ228" s="47" t="s">
        <v>111</v>
      </c>
      <c r="CK228" s="47" t="s">
        <v>126</v>
      </c>
      <c r="CL228" s="47" t="s">
        <v>115</v>
      </c>
      <c r="CM228" s="47" t="s">
        <v>120</v>
      </c>
      <c r="CN228" s="50" t="s">
        <v>717</v>
      </c>
      <c r="CO228" t="s">
        <v>785</v>
      </c>
      <c r="CP228">
        <f>IFERROR(VLOOKUP(H228,'Lista Lideres'!$A$1:$B$350,2,0),0)</f>
        <v>1</v>
      </c>
    </row>
    <row r="229" spans="1:94" ht="14.4" hidden="1" x14ac:dyDescent="0.3">
      <c r="A229" s="52">
        <v>45563.090720949069</v>
      </c>
      <c r="B229" s="47" t="s">
        <v>181</v>
      </c>
      <c r="C229" s="53" t="s">
        <v>783</v>
      </c>
      <c r="D229" s="53" t="s">
        <v>93</v>
      </c>
      <c r="E229" s="53" t="s">
        <v>304</v>
      </c>
      <c r="F229" s="53" t="s">
        <v>96</v>
      </c>
      <c r="G229" s="53" t="s">
        <v>718</v>
      </c>
      <c r="H229" s="53" t="s">
        <v>718</v>
      </c>
      <c r="I229" s="53" t="s">
        <v>100</v>
      </c>
      <c r="J229" s="53" t="s">
        <v>101</v>
      </c>
      <c r="K229" s="53" t="s">
        <v>102</v>
      </c>
      <c r="L229" s="84" t="s">
        <v>162</v>
      </c>
      <c r="M229" s="8" t="s">
        <v>104</v>
      </c>
      <c r="N229" s="84" t="s">
        <v>388</v>
      </c>
      <c r="O229" s="84" t="s">
        <v>106</v>
      </c>
      <c r="P229" s="84" t="s">
        <v>107</v>
      </c>
      <c r="Q229" s="115" t="s">
        <v>163</v>
      </c>
      <c r="R229" s="84" t="s">
        <v>184</v>
      </c>
      <c r="S229" s="53" t="s">
        <v>110</v>
      </c>
      <c r="T229" s="53" t="s">
        <v>111</v>
      </c>
      <c r="U229" s="53" t="s">
        <v>111</v>
      </c>
      <c r="V229" s="84" t="s">
        <v>112</v>
      </c>
      <c r="W229" s="84" t="s">
        <v>113</v>
      </c>
      <c r="X229" s="115" t="s">
        <v>153</v>
      </c>
      <c r="Y229" s="53" t="s">
        <v>115</v>
      </c>
      <c r="Z229" s="53" t="s">
        <v>115</v>
      </c>
      <c r="AA229" s="53" t="s">
        <v>115</v>
      </c>
      <c r="AB229" s="53" t="s">
        <v>111</v>
      </c>
      <c r="AC229" s="84" t="s">
        <v>119</v>
      </c>
      <c r="AD229" s="84" t="s">
        <v>221</v>
      </c>
      <c r="AE229" s="84" t="s">
        <v>167</v>
      </c>
      <c r="AF229" s="96" t="s">
        <v>111</v>
      </c>
      <c r="AG229" s="84" t="s">
        <v>110</v>
      </c>
      <c r="AH229" s="53" t="s">
        <v>168</v>
      </c>
      <c r="AI229" s="84" t="s">
        <v>121</v>
      </c>
      <c r="AJ229" s="84" t="s">
        <v>197</v>
      </c>
      <c r="AK229" s="84" t="s">
        <v>128</v>
      </c>
      <c r="AL229" s="53" t="s">
        <v>121</v>
      </c>
      <c r="AM229" s="53" t="s">
        <v>121</v>
      </c>
      <c r="AN229" s="53" t="s">
        <v>177</v>
      </c>
      <c r="AO229" s="84" t="s">
        <v>123</v>
      </c>
      <c r="AP229" s="53" t="s">
        <v>123</v>
      </c>
      <c r="AQ229" s="84" t="s">
        <v>124</v>
      </c>
      <c r="AR229" s="84" t="s">
        <v>111</v>
      </c>
      <c r="AS229" s="53" t="s">
        <v>111</v>
      </c>
      <c r="AT229" s="9" t="s">
        <v>111</v>
      </c>
      <c r="AU229" s="10" t="s">
        <v>119</v>
      </c>
      <c r="AV229" s="53" t="s">
        <v>119</v>
      </c>
      <c r="AW229" s="53" t="s">
        <v>110</v>
      </c>
      <c r="AX229" s="53" t="s">
        <v>111</v>
      </c>
      <c r="AY229" s="53" t="s">
        <v>111</v>
      </c>
      <c r="AZ229" s="84" t="s">
        <v>125</v>
      </c>
      <c r="BA229" s="84" t="s">
        <v>119</v>
      </c>
      <c r="BB229" s="84" t="s">
        <v>142</v>
      </c>
      <c r="BC229" s="84" t="s">
        <v>119</v>
      </c>
      <c r="BD229" s="96" t="s">
        <v>214</v>
      </c>
      <c r="BE229" s="84" t="s">
        <v>142</v>
      </c>
      <c r="BF229" s="84" t="s">
        <v>121</v>
      </c>
      <c r="BG229" s="53" t="s">
        <v>119</v>
      </c>
      <c r="BH229" s="84" t="s">
        <v>142</v>
      </c>
      <c r="BI229" s="53" t="s">
        <v>129</v>
      </c>
      <c r="BJ229" s="84" t="s">
        <v>129</v>
      </c>
      <c r="BK229" s="53" t="s">
        <v>121</v>
      </c>
      <c r="BL229" s="53" t="s">
        <v>142</v>
      </c>
      <c r="BM229" s="53" t="s">
        <v>398</v>
      </c>
      <c r="BN229" s="11" t="s">
        <v>115</v>
      </c>
      <c r="BO229" s="53" t="s">
        <v>115</v>
      </c>
      <c r="BP229" s="53" t="s">
        <v>120</v>
      </c>
      <c r="BQ229" s="53" t="s">
        <v>115</v>
      </c>
      <c r="BR229" s="53" t="s">
        <v>115</v>
      </c>
      <c r="BS229" s="84" t="s">
        <v>115</v>
      </c>
      <c r="BT229" s="53" t="s">
        <v>115</v>
      </c>
      <c r="BU229" s="53" t="s">
        <v>115</v>
      </c>
      <c r="BV229" s="53" t="s">
        <v>120</v>
      </c>
      <c r="BW229" s="53" t="s">
        <v>178</v>
      </c>
      <c r="BX229" s="53" t="s">
        <v>203</v>
      </c>
      <c r="BY229" s="84" t="s">
        <v>115</v>
      </c>
      <c r="BZ229" s="53" t="s">
        <v>115</v>
      </c>
      <c r="CA229" s="53" t="s">
        <v>115</v>
      </c>
      <c r="CB229" s="53" t="s">
        <v>115</v>
      </c>
      <c r="CC229" s="53" t="s">
        <v>115</v>
      </c>
      <c r="CD229" s="53" t="s">
        <v>115</v>
      </c>
      <c r="CE229" s="53" t="s">
        <v>116</v>
      </c>
      <c r="CF229" s="53" t="s">
        <v>115</v>
      </c>
      <c r="CG229" s="53" t="s">
        <v>115</v>
      </c>
      <c r="CH229" s="84" t="s">
        <v>115</v>
      </c>
      <c r="CI229" s="53" t="s">
        <v>115</v>
      </c>
      <c r="CJ229" s="53" t="s">
        <v>115</v>
      </c>
      <c r="CK229" s="53" t="s">
        <v>203</v>
      </c>
      <c r="CL229" s="53" t="s">
        <v>115</v>
      </c>
      <c r="CM229" s="53" t="s">
        <v>120</v>
      </c>
      <c r="CN229" s="49"/>
      <c r="CO229" t="s">
        <v>786</v>
      </c>
      <c r="CP229">
        <f>IFERROR(VLOOKUP(H229,'Lista Lideres'!$A$1:$B$350,2,0),0)</f>
        <v>1</v>
      </c>
    </row>
    <row r="230" spans="1:94" ht="14.4" hidden="1" x14ac:dyDescent="0.3">
      <c r="A230" s="46">
        <v>45563.020841770835</v>
      </c>
      <c r="B230" s="47" t="s">
        <v>181</v>
      </c>
      <c r="C230" s="47" t="s">
        <v>783</v>
      </c>
      <c r="D230" s="47" t="s">
        <v>131</v>
      </c>
      <c r="E230" s="47" t="s">
        <v>719</v>
      </c>
      <c r="F230" s="47" t="s">
        <v>97</v>
      </c>
      <c r="G230" s="47" t="s">
        <v>720</v>
      </c>
      <c r="H230" s="47" t="s">
        <v>721</v>
      </c>
      <c r="I230" s="47" t="s">
        <v>100</v>
      </c>
      <c r="J230" s="47" t="s">
        <v>173</v>
      </c>
      <c r="K230" s="47" t="s">
        <v>102</v>
      </c>
      <c r="L230" s="83" t="s">
        <v>103</v>
      </c>
      <c r="M230" s="8" t="s">
        <v>104</v>
      </c>
      <c r="N230" s="83" t="s">
        <v>388</v>
      </c>
      <c r="O230" s="83" t="s">
        <v>282</v>
      </c>
      <c r="P230" s="83" t="s">
        <v>107</v>
      </c>
      <c r="Q230" s="114" t="s">
        <v>108</v>
      </c>
      <c r="R230" s="47" t="s">
        <v>314</v>
      </c>
      <c r="S230" s="47" t="s">
        <v>110</v>
      </c>
      <c r="T230" s="47" t="s">
        <v>119</v>
      </c>
      <c r="U230" s="47" t="s">
        <v>110</v>
      </c>
      <c r="V230" s="83" t="s">
        <v>112</v>
      </c>
      <c r="W230" s="83" t="s">
        <v>152</v>
      </c>
      <c r="X230" s="114" t="s">
        <v>153</v>
      </c>
      <c r="Y230" s="47" t="s">
        <v>111</v>
      </c>
      <c r="Z230" s="47" t="s">
        <v>111</v>
      </c>
      <c r="AA230" s="47" t="s">
        <v>115</v>
      </c>
      <c r="AB230" s="47" t="s">
        <v>115</v>
      </c>
      <c r="AC230" s="83" t="s">
        <v>110</v>
      </c>
      <c r="AD230" s="83" t="s">
        <v>137</v>
      </c>
      <c r="AE230" s="83" t="s">
        <v>138</v>
      </c>
      <c r="AF230" s="95" t="s">
        <v>110</v>
      </c>
      <c r="AG230" s="83" t="s">
        <v>129</v>
      </c>
      <c r="AH230" s="47" t="s">
        <v>110</v>
      </c>
      <c r="AI230" s="83" t="s">
        <v>110</v>
      </c>
      <c r="AJ230" s="83" t="s">
        <v>110</v>
      </c>
      <c r="AK230" s="83" t="s">
        <v>110</v>
      </c>
      <c r="AL230" s="47" t="s">
        <v>128</v>
      </c>
      <c r="AM230" s="47" t="s">
        <v>110</v>
      </c>
      <c r="AN230" s="47" t="s">
        <v>128</v>
      </c>
      <c r="AO230" s="83" t="s">
        <v>128</v>
      </c>
      <c r="AP230" s="47" t="s">
        <v>110</v>
      </c>
      <c r="AQ230" s="83" t="s">
        <v>126</v>
      </c>
      <c r="AR230" s="83" t="s">
        <v>110</v>
      </c>
      <c r="AS230" s="47" t="s">
        <v>110</v>
      </c>
      <c r="AT230" s="16" t="s">
        <v>119</v>
      </c>
      <c r="AU230" s="17" t="s">
        <v>111</v>
      </c>
      <c r="AV230" s="47" t="s">
        <v>129</v>
      </c>
      <c r="AW230" s="47" t="s">
        <v>119</v>
      </c>
      <c r="AX230" s="47" t="s">
        <v>119</v>
      </c>
      <c r="AY230" s="47" t="s">
        <v>111</v>
      </c>
      <c r="AZ230" s="83" t="s">
        <v>126</v>
      </c>
      <c r="BA230" s="83" t="s">
        <v>110</v>
      </c>
      <c r="BB230" s="83" t="s">
        <v>126</v>
      </c>
      <c r="BC230" s="83" t="s">
        <v>110</v>
      </c>
      <c r="BD230" s="95" t="s">
        <v>126</v>
      </c>
      <c r="BE230" s="83" t="s">
        <v>126</v>
      </c>
      <c r="BF230" s="83" t="s">
        <v>110</v>
      </c>
      <c r="BG230" s="47" t="s">
        <v>110</v>
      </c>
      <c r="BH230" s="83" t="s">
        <v>125</v>
      </c>
      <c r="BI230" s="47" t="s">
        <v>111</v>
      </c>
      <c r="BJ230" s="83" t="s">
        <v>168</v>
      </c>
      <c r="BK230" s="47" t="s">
        <v>168</v>
      </c>
      <c r="BL230" s="47" t="s">
        <v>126</v>
      </c>
      <c r="BM230" s="47" t="s">
        <v>127</v>
      </c>
      <c r="BN230" s="18" t="s">
        <v>111</v>
      </c>
      <c r="BO230" s="47" t="s">
        <v>111</v>
      </c>
      <c r="BP230" s="47" t="s">
        <v>120</v>
      </c>
      <c r="BQ230" s="47" t="s">
        <v>111</v>
      </c>
      <c r="BR230" s="47" t="s">
        <v>110</v>
      </c>
      <c r="BS230" s="83" t="s">
        <v>110</v>
      </c>
      <c r="BT230" s="47" t="s">
        <v>111</v>
      </c>
      <c r="BU230" s="47" t="s">
        <v>111</v>
      </c>
      <c r="BV230" s="47" t="s">
        <v>110</v>
      </c>
      <c r="BW230" s="47" t="s">
        <v>123</v>
      </c>
      <c r="BX230" s="47" t="s">
        <v>125</v>
      </c>
      <c r="BY230" s="83" t="s">
        <v>110</v>
      </c>
      <c r="BZ230" s="47" t="s">
        <v>115</v>
      </c>
      <c r="CA230" s="47" t="s">
        <v>110</v>
      </c>
      <c r="CB230" s="47" t="s">
        <v>119</v>
      </c>
      <c r="CC230" s="47" t="s">
        <v>110</v>
      </c>
      <c r="CD230" s="47" t="s">
        <v>110</v>
      </c>
      <c r="CE230" s="47" t="s">
        <v>127</v>
      </c>
      <c r="CF230" s="47" t="s">
        <v>119</v>
      </c>
      <c r="CG230" s="47" t="s">
        <v>119</v>
      </c>
      <c r="CH230" s="83" t="s">
        <v>110</v>
      </c>
      <c r="CI230" s="47" t="s">
        <v>110</v>
      </c>
      <c r="CJ230" s="47" t="s">
        <v>119</v>
      </c>
      <c r="CK230" s="47" t="s">
        <v>126</v>
      </c>
      <c r="CL230" s="47" t="s">
        <v>111</v>
      </c>
      <c r="CM230" s="47" t="s">
        <v>120</v>
      </c>
      <c r="CN230" s="49"/>
      <c r="CO230" t="s">
        <v>786</v>
      </c>
      <c r="CP230">
        <f>IFERROR(VLOOKUP(H230,'Lista Lideres'!$A$1:$B$350,2,0),0)</f>
        <v>0</v>
      </c>
    </row>
    <row r="231" spans="1:94" ht="14.4" hidden="1" x14ac:dyDescent="0.3">
      <c r="A231" s="52">
        <v>45562.710376250005</v>
      </c>
      <c r="B231" s="47" t="s">
        <v>181</v>
      </c>
      <c r="C231" s="53" t="s">
        <v>783</v>
      </c>
      <c r="D231" s="53" t="s">
        <v>93</v>
      </c>
      <c r="E231" s="53" t="s">
        <v>304</v>
      </c>
      <c r="F231" s="53" t="s">
        <v>96</v>
      </c>
      <c r="G231" s="53" t="s">
        <v>594</v>
      </c>
      <c r="H231" s="53" t="s">
        <v>594</v>
      </c>
      <c r="I231" s="53" t="s">
        <v>100</v>
      </c>
      <c r="J231" s="53" t="s">
        <v>196</v>
      </c>
      <c r="K231" s="53" t="s">
        <v>102</v>
      </c>
      <c r="L231" s="84" t="s">
        <v>162</v>
      </c>
      <c r="M231" s="8" t="s">
        <v>104</v>
      </c>
      <c r="N231" s="84" t="s">
        <v>388</v>
      </c>
      <c r="O231" s="84" t="s">
        <v>106</v>
      </c>
      <c r="P231" s="84" t="s">
        <v>107</v>
      </c>
      <c r="Q231" s="115" t="s">
        <v>108</v>
      </c>
      <c r="R231" s="53" t="s">
        <v>176</v>
      </c>
      <c r="S231" s="53" t="s">
        <v>110</v>
      </c>
      <c r="T231" s="53" t="s">
        <v>110</v>
      </c>
      <c r="U231" s="53" t="s">
        <v>110</v>
      </c>
      <c r="V231" s="84" t="s">
        <v>126</v>
      </c>
      <c r="W231" s="84" t="s">
        <v>113</v>
      </c>
      <c r="X231" s="115" t="s">
        <v>153</v>
      </c>
      <c r="Y231" s="53" t="s">
        <v>111</v>
      </c>
      <c r="Z231" s="53" t="s">
        <v>111</v>
      </c>
      <c r="AA231" s="53" t="s">
        <v>110</v>
      </c>
      <c r="AB231" s="53" t="s">
        <v>110</v>
      </c>
      <c r="AC231" s="84" t="s">
        <v>119</v>
      </c>
      <c r="AD231" s="84" t="s">
        <v>221</v>
      </c>
      <c r="AE231" s="84" t="s">
        <v>138</v>
      </c>
      <c r="AF231" s="96" t="s">
        <v>110</v>
      </c>
      <c r="AG231" s="84" t="s">
        <v>110</v>
      </c>
      <c r="AH231" s="53" t="s">
        <v>110</v>
      </c>
      <c r="AI231" s="84" t="s">
        <v>121</v>
      </c>
      <c r="AJ231" s="84" t="s">
        <v>121</v>
      </c>
      <c r="AK231" s="84" t="s">
        <v>121</v>
      </c>
      <c r="AL231" s="53" t="s">
        <v>128</v>
      </c>
      <c r="AM231" s="53" t="s">
        <v>128</v>
      </c>
      <c r="AN231" s="53" t="s">
        <v>123</v>
      </c>
      <c r="AO231" s="84" t="s">
        <v>110</v>
      </c>
      <c r="AP231" s="53" t="s">
        <v>110</v>
      </c>
      <c r="AQ231" s="84" t="s">
        <v>126</v>
      </c>
      <c r="AR231" s="84" t="s">
        <v>111</v>
      </c>
      <c r="AS231" s="53" t="s">
        <v>110</v>
      </c>
      <c r="AT231" s="9" t="s">
        <v>119</v>
      </c>
      <c r="AU231" s="10" t="s">
        <v>110</v>
      </c>
      <c r="AV231" s="53" t="s">
        <v>110</v>
      </c>
      <c r="AW231" s="53" t="s">
        <v>110</v>
      </c>
      <c r="AX231" s="53" t="s">
        <v>110</v>
      </c>
      <c r="AY231" s="53" t="s">
        <v>110</v>
      </c>
      <c r="AZ231" s="84" t="s">
        <v>126</v>
      </c>
      <c r="BA231" s="84" t="s">
        <v>119</v>
      </c>
      <c r="BB231" s="84" t="s">
        <v>124</v>
      </c>
      <c r="BC231" s="84" t="s">
        <v>110</v>
      </c>
      <c r="BD231" s="96" t="s">
        <v>124</v>
      </c>
      <c r="BE231" s="84" t="s">
        <v>124</v>
      </c>
      <c r="BF231" s="84" t="s">
        <v>122</v>
      </c>
      <c r="BG231" s="53" t="s">
        <v>110</v>
      </c>
      <c r="BH231" s="84" t="s">
        <v>126</v>
      </c>
      <c r="BI231" s="53" t="s">
        <v>110</v>
      </c>
      <c r="BJ231" s="84" t="s">
        <v>110</v>
      </c>
      <c r="BK231" s="53" t="s">
        <v>110</v>
      </c>
      <c r="BL231" s="53" t="s">
        <v>126</v>
      </c>
      <c r="BM231" s="53" t="s">
        <v>110</v>
      </c>
      <c r="BN231" s="11" t="s">
        <v>111</v>
      </c>
      <c r="BO231" s="53" t="s">
        <v>111</v>
      </c>
      <c r="BP231" s="53" t="s">
        <v>111</v>
      </c>
      <c r="BQ231" s="53" t="s">
        <v>110</v>
      </c>
      <c r="BR231" s="53" t="s">
        <v>110</v>
      </c>
      <c r="BS231" s="84" t="s">
        <v>110</v>
      </c>
      <c r="BT231" s="53" t="s">
        <v>110</v>
      </c>
      <c r="BU231" s="53" t="s">
        <v>110</v>
      </c>
      <c r="BV231" s="53" t="s">
        <v>110</v>
      </c>
      <c r="BW231" s="53" t="s">
        <v>110</v>
      </c>
      <c r="BX231" s="53" t="s">
        <v>126</v>
      </c>
      <c r="BY231" s="84" t="s">
        <v>110</v>
      </c>
      <c r="BZ231" s="53" t="s">
        <v>111</v>
      </c>
      <c r="CA231" s="53" t="s">
        <v>110</v>
      </c>
      <c r="CB231" s="53" t="s">
        <v>110</v>
      </c>
      <c r="CC231" s="53" t="s">
        <v>110</v>
      </c>
      <c r="CD231" s="53" t="s">
        <v>110</v>
      </c>
      <c r="CE231" s="53" t="s">
        <v>110</v>
      </c>
      <c r="CF231" s="53" t="s">
        <v>110</v>
      </c>
      <c r="CG231" s="53" t="s">
        <v>110</v>
      </c>
      <c r="CH231" s="84" t="s">
        <v>110</v>
      </c>
      <c r="CI231" s="53" t="s">
        <v>110</v>
      </c>
      <c r="CJ231" s="53" t="s">
        <v>110</v>
      </c>
      <c r="CK231" s="53" t="s">
        <v>126</v>
      </c>
      <c r="CL231" s="53" t="s">
        <v>111</v>
      </c>
      <c r="CM231" s="53" t="s">
        <v>111</v>
      </c>
      <c r="CN231" s="56"/>
      <c r="CO231" t="s">
        <v>786</v>
      </c>
      <c r="CP231">
        <f>IFERROR(VLOOKUP(H231,'Lista Lideres'!$A$1:$B$350,2,0),0)</f>
        <v>0</v>
      </c>
    </row>
    <row r="232" spans="1:94" ht="13.8" hidden="1" x14ac:dyDescent="0.3">
      <c r="A232" s="46">
        <v>45567.00300960648</v>
      </c>
      <c r="B232" s="47" t="s">
        <v>181</v>
      </c>
      <c r="C232" s="47" t="s">
        <v>783</v>
      </c>
      <c r="D232" s="47" t="s">
        <v>93</v>
      </c>
      <c r="E232" s="47" t="s">
        <v>304</v>
      </c>
      <c r="F232" s="47" t="s">
        <v>97</v>
      </c>
      <c r="G232" s="47" t="s">
        <v>722</v>
      </c>
      <c r="H232" s="47" t="s">
        <v>722</v>
      </c>
      <c r="I232" s="47" t="s">
        <v>100</v>
      </c>
      <c r="J232" s="47" t="s">
        <v>183</v>
      </c>
      <c r="K232" s="47" t="s">
        <v>102</v>
      </c>
      <c r="L232" s="83" t="s">
        <v>103</v>
      </c>
      <c r="M232" s="8" t="s">
        <v>104</v>
      </c>
      <c r="N232" s="83" t="s">
        <v>388</v>
      </c>
      <c r="O232" s="83" t="s">
        <v>106</v>
      </c>
      <c r="P232" s="83" t="s">
        <v>175</v>
      </c>
      <c r="Q232" s="114" t="s">
        <v>163</v>
      </c>
      <c r="R232" s="47" t="s">
        <v>109</v>
      </c>
      <c r="S232" s="47" t="s">
        <v>110</v>
      </c>
      <c r="T232" s="47" t="s">
        <v>110</v>
      </c>
      <c r="U232" s="47" t="s">
        <v>119</v>
      </c>
      <c r="V232" s="83" t="s">
        <v>136</v>
      </c>
      <c r="W232" s="83" t="s">
        <v>113</v>
      </c>
      <c r="X232" s="114" t="s">
        <v>165</v>
      </c>
      <c r="Y232" s="47" t="s">
        <v>111</v>
      </c>
      <c r="Z232" s="47" t="s">
        <v>111</v>
      </c>
      <c r="AA232" s="47" t="s">
        <v>111</v>
      </c>
      <c r="AB232" s="47" t="s">
        <v>111</v>
      </c>
      <c r="AC232" s="83" t="s">
        <v>116</v>
      </c>
      <c r="AD232" s="83" t="s">
        <v>117</v>
      </c>
      <c r="AE232" s="83" t="s">
        <v>167</v>
      </c>
      <c r="AF232" s="95" t="s">
        <v>111</v>
      </c>
      <c r="AG232" s="83" t="s">
        <v>110</v>
      </c>
      <c r="AH232" s="47" t="s">
        <v>110</v>
      </c>
      <c r="AI232" s="83" t="s">
        <v>110</v>
      </c>
      <c r="AJ232" s="83" t="s">
        <v>128</v>
      </c>
      <c r="AK232" s="83" t="s">
        <v>110</v>
      </c>
      <c r="AL232" s="47" t="s">
        <v>110</v>
      </c>
      <c r="AM232" s="47" t="s">
        <v>110</v>
      </c>
      <c r="AN232" s="47" t="s">
        <v>123</v>
      </c>
      <c r="AO232" s="83" t="s">
        <v>110</v>
      </c>
      <c r="AP232" s="47" t="s">
        <v>123</v>
      </c>
      <c r="AQ232" s="83" t="s">
        <v>126</v>
      </c>
      <c r="AR232" s="83" t="s">
        <v>110</v>
      </c>
      <c r="AS232" s="47" t="s">
        <v>119</v>
      </c>
      <c r="AT232" s="16" t="s">
        <v>119</v>
      </c>
      <c r="AU232" s="17" t="s">
        <v>119</v>
      </c>
      <c r="AV232" s="47" t="s">
        <v>129</v>
      </c>
      <c r="AW232" s="47" t="s">
        <v>119</v>
      </c>
      <c r="AX232" s="47" t="s">
        <v>110</v>
      </c>
      <c r="AY232" s="47" t="s">
        <v>110</v>
      </c>
      <c r="AZ232" s="83" t="s">
        <v>125</v>
      </c>
      <c r="BA232" s="83" t="s">
        <v>110</v>
      </c>
      <c r="BB232" s="83" t="s">
        <v>125</v>
      </c>
      <c r="BC232" s="83" t="s">
        <v>110</v>
      </c>
      <c r="BD232" s="95" t="s">
        <v>124</v>
      </c>
      <c r="BE232" s="83" t="s">
        <v>125</v>
      </c>
      <c r="BF232" s="83" t="s">
        <v>128</v>
      </c>
      <c r="BG232" s="47" t="s">
        <v>110</v>
      </c>
      <c r="BH232" s="83" t="s">
        <v>142</v>
      </c>
      <c r="BI232" s="47" t="s">
        <v>111</v>
      </c>
      <c r="BJ232" s="83" t="s">
        <v>110</v>
      </c>
      <c r="BK232" s="47" t="s">
        <v>128</v>
      </c>
      <c r="BL232" s="47" t="s">
        <v>125</v>
      </c>
      <c r="BM232" s="47" t="s">
        <v>209</v>
      </c>
      <c r="BN232" s="18" t="s">
        <v>110</v>
      </c>
      <c r="BO232" s="47" t="s">
        <v>110</v>
      </c>
      <c r="BP232" s="47" t="s">
        <v>120</v>
      </c>
      <c r="BQ232" s="47" t="s">
        <v>115</v>
      </c>
      <c r="BR232" s="47" t="s">
        <v>115</v>
      </c>
      <c r="BS232" s="83" t="s">
        <v>115</v>
      </c>
      <c r="BT232" s="47" t="s">
        <v>111</v>
      </c>
      <c r="BU232" s="47" t="s">
        <v>110</v>
      </c>
      <c r="BV232" s="47" t="s">
        <v>110</v>
      </c>
      <c r="BW232" s="47" t="s">
        <v>110</v>
      </c>
      <c r="BX232" s="47" t="s">
        <v>126</v>
      </c>
      <c r="BY232" s="83" t="s">
        <v>110</v>
      </c>
      <c r="BZ232" s="47" t="s">
        <v>111</v>
      </c>
      <c r="CA232" s="47" t="s">
        <v>110</v>
      </c>
      <c r="CB232" s="47" t="s">
        <v>129</v>
      </c>
      <c r="CC232" s="47" t="s">
        <v>110</v>
      </c>
      <c r="CD232" s="47" t="s">
        <v>119</v>
      </c>
      <c r="CE232" s="47" t="s">
        <v>127</v>
      </c>
      <c r="CF232" s="47" t="s">
        <v>111</v>
      </c>
      <c r="CG232" s="47" t="s">
        <v>111</v>
      </c>
      <c r="CH232" s="83" t="s">
        <v>111</v>
      </c>
      <c r="CI232" s="47" t="s">
        <v>110</v>
      </c>
      <c r="CJ232" s="47" t="s">
        <v>119</v>
      </c>
      <c r="CK232" s="47" t="s">
        <v>124</v>
      </c>
      <c r="CL232" s="47" t="s">
        <v>110</v>
      </c>
      <c r="CM232" s="47" t="s">
        <v>110</v>
      </c>
      <c r="CN232" s="50" t="s">
        <v>723</v>
      </c>
      <c r="CO232" t="s">
        <v>786</v>
      </c>
      <c r="CP232">
        <f>IFERROR(VLOOKUP(H232,'Lista Lideres'!$A$1:$B$350,2,0),0)</f>
        <v>0</v>
      </c>
    </row>
    <row r="233" spans="1:94" ht="14.4" hidden="1" x14ac:dyDescent="0.3">
      <c r="A233" s="52">
        <v>45567.822440844902</v>
      </c>
      <c r="B233" s="47" t="s">
        <v>181</v>
      </c>
      <c r="C233" s="53" t="s">
        <v>783</v>
      </c>
      <c r="D233" s="53" t="s">
        <v>93</v>
      </c>
      <c r="E233" s="53" t="s">
        <v>724</v>
      </c>
      <c r="F233" s="53" t="s">
        <v>171</v>
      </c>
      <c r="G233" s="53" t="s">
        <v>725</v>
      </c>
      <c r="H233" s="53" t="s">
        <v>726</v>
      </c>
      <c r="I233" s="53" t="s">
        <v>149</v>
      </c>
      <c r="J233" s="53" t="s">
        <v>196</v>
      </c>
      <c r="K233" s="53" t="s">
        <v>102</v>
      </c>
      <c r="L233" s="84" t="s">
        <v>162</v>
      </c>
      <c r="M233" s="8" t="s">
        <v>104</v>
      </c>
      <c r="N233" s="84" t="s">
        <v>388</v>
      </c>
      <c r="O233" s="84" t="s">
        <v>106</v>
      </c>
      <c r="P233" s="84" t="s">
        <v>175</v>
      </c>
      <c r="Q233" s="115" t="s">
        <v>163</v>
      </c>
      <c r="R233" s="53" t="s">
        <v>109</v>
      </c>
      <c r="S233" s="53" t="s">
        <v>119</v>
      </c>
      <c r="T233" s="53" t="s">
        <v>119</v>
      </c>
      <c r="U233" s="53" t="s">
        <v>110</v>
      </c>
      <c r="V233" s="84" t="s">
        <v>126</v>
      </c>
      <c r="W233" s="84" t="s">
        <v>113</v>
      </c>
      <c r="X233" s="115" t="s">
        <v>235</v>
      </c>
      <c r="Y233" s="53" t="s">
        <v>206</v>
      </c>
      <c r="Z233" s="53" t="s">
        <v>110</v>
      </c>
      <c r="AA233" s="53" t="s">
        <v>119</v>
      </c>
      <c r="AB233" s="53" t="s">
        <v>110</v>
      </c>
      <c r="AC233" s="84" t="s">
        <v>129</v>
      </c>
      <c r="AD233" s="84" t="s">
        <v>166</v>
      </c>
      <c r="AE233" s="84" t="s">
        <v>118</v>
      </c>
      <c r="AF233" s="96" t="s">
        <v>119</v>
      </c>
      <c r="AG233" s="84" t="s">
        <v>119</v>
      </c>
      <c r="AH233" s="53" t="s">
        <v>168</v>
      </c>
      <c r="AI233" s="84" t="s">
        <v>154</v>
      </c>
      <c r="AJ233" s="84" t="s">
        <v>110</v>
      </c>
      <c r="AK233" s="84" t="s">
        <v>110</v>
      </c>
      <c r="AL233" s="53" t="s">
        <v>110</v>
      </c>
      <c r="AM233" s="53" t="s">
        <v>110</v>
      </c>
      <c r="AN233" s="53" t="s">
        <v>177</v>
      </c>
      <c r="AO233" s="84" t="s">
        <v>123</v>
      </c>
      <c r="AP233" s="53" t="s">
        <v>123</v>
      </c>
      <c r="AQ233" s="84" t="s">
        <v>126</v>
      </c>
      <c r="AR233" s="84" t="s">
        <v>110</v>
      </c>
      <c r="AS233" s="53" t="s">
        <v>110</v>
      </c>
      <c r="AT233" s="9" t="s">
        <v>119</v>
      </c>
      <c r="AU233" s="10" t="s">
        <v>119</v>
      </c>
      <c r="AV233" s="53" t="s">
        <v>110</v>
      </c>
      <c r="AW233" s="53" t="s">
        <v>110</v>
      </c>
      <c r="AX233" s="53" t="s">
        <v>110</v>
      </c>
      <c r="AY233" s="53" t="s">
        <v>110</v>
      </c>
      <c r="AZ233" s="84" t="s">
        <v>126</v>
      </c>
      <c r="BA233" s="84" t="s">
        <v>110</v>
      </c>
      <c r="BB233" s="84" t="s">
        <v>139</v>
      </c>
      <c r="BC233" s="84" t="s">
        <v>110</v>
      </c>
      <c r="BD233" s="96" t="s">
        <v>126</v>
      </c>
      <c r="BE233" s="84" t="s">
        <v>126</v>
      </c>
      <c r="BF233" s="84" t="s">
        <v>122</v>
      </c>
      <c r="BG233" s="53" t="s">
        <v>110</v>
      </c>
      <c r="BH233" s="84" t="s">
        <v>126</v>
      </c>
      <c r="BI233" s="53" t="s">
        <v>119</v>
      </c>
      <c r="BJ233" s="84" t="s">
        <v>111</v>
      </c>
      <c r="BK233" s="53" t="s">
        <v>122</v>
      </c>
      <c r="BL233" s="53" t="s">
        <v>126</v>
      </c>
      <c r="BM233" s="53" t="s">
        <v>110</v>
      </c>
      <c r="BN233" s="11" t="s">
        <v>119</v>
      </c>
      <c r="BO233" s="53" t="s">
        <v>119</v>
      </c>
      <c r="BP233" s="53" t="s">
        <v>119</v>
      </c>
      <c r="BQ233" s="53" t="s">
        <v>110</v>
      </c>
      <c r="BR233" s="53" t="s">
        <v>110</v>
      </c>
      <c r="BS233" s="84" t="s">
        <v>110</v>
      </c>
      <c r="BT233" s="53" t="s">
        <v>110</v>
      </c>
      <c r="BU233" s="53" t="s">
        <v>129</v>
      </c>
      <c r="BV233" s="53" t="s">
        <v>119</v>
      </c>
      <c r="BW233" s="53" t="s">
        <v>110</v>
      </c>
      <c r="BX233" s="53" t="s">
        <v>125</v>
      </c>
      <c r="BY233" s="84" t="s">
        <v>110</v>
      </c>
      <c r="BZ233" s="53" t="s">
        <v>110</v>
      </c>
      <c r="CA233" s="53" t="s">
        <v>119</v>
      </c>
      <c r="CB233" s="53" t="s">
        <v>111</v>
      </c>
      <c r="CC233" s="53" t="s">
        <v>119</v>
      </c>
      <c r="CD233" s="53" t="s">
        <v>119</v>
      </c>
      <c r="CE233" s="53" t="s">
        <v>110</v>
      </c>
      <c r="CF233" s="53" t="s">
        <v>119</v>
      </c>
      <c r="CG233" s="53" t="s">
        <v>119</v>
      </c>
      <c r="CH233" s="84" t="s">
        <v>119</v>
      </c>
      <c r="CI233" s="53" t="s">
        <v>115</v>
      </c>
      <c r="CJ233" s="53" t="s">
        <v>119</v>
      </c>
      <c r="CK233" s="53" t="s">
        <v>126</v>
      </c>
      <c r="CL233" s="53" t="s">
        <v>119</v>
      </c>
      <c r="CM233" s="53" t="s">
        <v>119</v>
      </c>
      <c r="CN233" s="49"/>
      <c r="CO233" t="s">
        <v>785</v>
      </c>
      <c r="CP233">
        <f>IFERROR(VLOOKUP(H233,'Lista Lideres'!$A$1:$B$350,2,0),0)</f>
        <v>0</v>
      </c>
    </row>
    <row r="234" spans="1:94" ht="13.2" x14ac:dyDescent="0.25">
      <c r="M234" s="61"/>
      <c r="AT234" s="62"/>
      <c r="AU234" s="63"/>
      <c r="BN234" s="64"/>
    </row>
    <row r="235" spans="1:94" ht="13.2" x14ac:dyDescent="0.25">
      <c r="M235" s="61"/>
      <c r="AT235" s="62"/>
      <c r="AU235" s="63"/>
      <c r="BN235" s="64"/>
    </row>
    <row r="236" spans="1:94" ht="13.2" x14ac:dyDescent="0.25">
      <c r="M236" s="61"/>
      <c r="AT236" s="62"/>
      <c r="AU236" s="63"/>
      <c r="BN236" s="64"/>
    </row>
    <row r="237" spans="1:94" ht="13.2" x14ac:dyDescent="0.25">
      <c r="M237" s="61"/>
      <c r="AT237" s="62"/>
      <c r="AU237" s="63"/>
      <c r="BN237" s="64"/>
    </row>
    <row r="238" spans="1:94" ht="13.2" x14ac:dyDescent="0.25">
      <c r="M238" s="61"/>
      <c r="AT238" s="62"/>
      <c r="AU238" s="63"/>
      <c r="BN238" s="64"/>
    </row>
    <row r="239" spans="1:94" ht="13.2" x14ac:dyDescent="0.25">
      <c r="D239">
        <f>47/232</f>
        <v>0.20258620689655171</v>
      </c>
      <c r="M239" s="61"/>
      <c r="AT239" s="62"/>
      <c r="AU239" s="63"/>
      <c r="BN239" s="64"/>
    </row>
    <row r="240" spans="1:94" ht="13.2" x14ac:dyDescent="0.25">
      <c r="M240" s="61"/>
      <c r="AT240" s="62"/>
      <c r="AU240" s="63"/>
      <c r="BN240" s="64"/>
    </row>
    <row r="241" spans="13:66" ht="13.2" x14ac:dyDescent="0.25">
      <c r="M241" s="61"/>
      <c r="AT241" s="62"/>
      <c r="AU241" s="63"/>
      <c r="BN241" s="64"/>
    </row>
    <row r="242" spans="13:66" ht="13.2" x14ac:dyDescent="0.25">
      <c r="M242" s="61"/>
      <c r="AT242" s="62"/>
      <c r="AU242" s="63"/>
      <c r="BN242" s="64"/>
    </row>
    <row r="243" spans="13:66" ht="13.2" x14ac:dyDescent="0.25">
      <c r="M243" s="61"/>
      <c r="AT243" s="62"/>
      <c r="AU243" s="63"/>
      <c r="BN243" s="64"/>
    </row>
    <row r="244" spans="13:66" ht="13.2" x14ac:dyDescent="0.25">
      <c r="M244" s="61"/>
      <c r="AT244" s="62"/>
      <c r="AU244" s="63"/>
      <c r="BN244" s="64"/>
    </row>
    <row r="245" spans="13:66" ht="13.2" x14ac:dyDescent="0.25">
      <c r="M245" s="61"/>
      <c r="AT245" s="62"/>
      <c r="AU245" s="63"/>
      <c r="BN245" s="64"/>
    </row>
    <row r="246" spans="13:66" ht="13.2" x14ac:dyDescent="0.25">
      <c r="M246" s="61"/>
      <c r="AT246" s="62"/>
      <c r="AU246" s="63"/>
      <c r="BN246" s="64"/>
    </row>
    <row r="247" spans="13:66" ht="13.2" x14ac:dyDescent="0.25">
      <c r="M247" s="61"/>
      <c r="AT247" s="62"/>
      <c r="AU247" s="63"/>
      <c r="BN247" s="64"/>
    </row>
    <row r="248" spans="13:66" ht="13.2" x14ac:dyDescent="0.25">
      <c r="M248" s="61"/>
      <c r="AT248" s="62"/>
      <c r="AU248" s="63"/>
      <c r="BN248" s="64"/>
    </row>
    <row r="249" spans="13:66" ht="13.2" x14ac:dyDescent="0.25">
      <c r="M249" s="61"/>
      <c r="AT249" s="62"/>
      <c r="AU249" s="63"/>
      <c r="BN249" s="64"/>
    </row>
    <row r="250" spans="13:66" ht="13.2" x14ac:dyDescent="0.25">
      <c r="M250" s="61"/>
      <c r="AT250" s="62"/>
      <c r="AU250" s="63"/>
      <c r="BN250" s="64"/>
    </row>
    <row r="251" spans="13:66" ht="13.2" x14ac:dyDescent="0.25">
      <c r="M251" s="61"/>
      <c r="AT251" s="62"/>
      <c r="AU251" s="63"/>
      <c r="BN251" s="64"/>
    </row>
    <row r="252" spans="13:66" ht="13.2" x14ac:dyDescent="0.25">
      <c r="M252" s="61"/>
      <c r="AT252" s="62"/>
      <c r="AU252" s="63"/>
      <c r="BN252" s="64"/>
    </row>
    <row r="253" spans="13:66" ht="13.2" x14ac:dyDescent="0.25">
      <c r="M253" s="61"/>
      <c r="AT253" s="62"/>
      <c r="AU253" s="63"/>
      <c r="BN253" s="64"/>
    </row>
    <row r="254" spans="13:66" ht="13.2" x14ac:dyDescent="0.25">
      <c r="M254" s="61"/>
      <c r="AT254" s="62"/>
      <c r="AU254" s="63"/>
      <c r="BN254" s="64"/>
    </row>
    <row r="255" spans="13:66" ht="13.2" x14ac:dyDescent="0.25">
      <c r="M255" s="61"/>
      <c r="AT255" s="62"/>
      <c r="AU255" s="63"/>
      <c r="BN255" s="64"/>
    </row>
    <row r="256" spans="13:66" ht="13.2" x14ac:dyDescent="0.25">
      <c r="M256" s="61"/>
      <c r="AT256" s="62"/>
      <c r="AU256" s="63"/>
      <c r="BN256" s="64"/>
    </row>
    <row r="257" spans="13:66" ht="13.2" x14ac:dyDescent="0.25">
      <c r="M257" s="61"/>
      <c r="AT257" s="62"/>
      <c r="AU257" s="63"/>
      <c r="BN257" s="64"/>
    </row>
    <row r="258" spans="13:66" ht="13.2" x14ac:dyDescent="0.25">
      <c r="M258" s="61"/>
      <c r="AT258" s="62"/>
      <c r="AU258" s="63"/>
      <c r="BN258" s="64"/>
    </row>
    <row r="259" spans="13:66" ht="13.2" x14ac:dyDescent="0.25">
      <c r="M259" s="61"/>
      <c r="AT259" s="62"/>
      <c r="AU259" s="63"/>
      <c r="BN259" s="64"/>
    </row>
    <row r="260" spans="13:66" ht="13.2" x14ac:dyDescent="0.25">
      <c r="M260" s="61"/>
      <c r="AT260" s="62"/>
      <c r="AU260" s="63"/>
      <c r="BN260" s="64"/>
    </row>
    <row r="261" spans="13:66" ht="13.2" x14ac:dyDescent="0.25">
      <c r="M261" s="61"/>
      <c r="AT261" s="62"/>
      <c r="AU261" s="63"/>
      <c r="BN261" s="64"/>
    </row>
    <row r="262" spans="13:66" ht="13.2" x14ac:dyDescent="0.25">
      <c r="M262" s="61"/>
      <c r="AT262" s="62"/>
      <c r="AU262" s="63"/>
      <c r="BN262" s="64"/>
    </row>
    <row r="263" spans="13:66" ht="13.2" x14ac:dyDescent="0.25">
      <c r="M263" s="61"/>
      <c r="AT263" s="62"/>
      <c r="AU263" s="63"/>
      <c r="BN263" s="64"/>
    </row>
    <row r="264" spans="13:66" ht="13.2" x14ac:dyDescent="0.25">
      <c r="M264" s="61"/>
      <c r="AT264" s="62"/>
      <c r="AU264" s="63"/>
      <c r="BN264" s="64"/>
    </row>
    <row r="265" spans="13:66" ht="13.2" x14ac:dyDescent="0.25">
      <c r="M265" s="61"/>
      <c r="AT265" s="62"/>
      <c r="AU265" s="63"/>
      <c r="BN265" s="64"/>
    </row>
    <row r="266" spans="13:66" ht="13.2" x14ac:dyDescent="0.25">
      <c r="M266" s="61"/>
      <c r="AT266" s="62"/>
      <c r="AU266" s="63"/>
      <c r="BN266" s="64"/>
    </row>
    <row r="267" spans="13:66" ht="13.2" x14ac:dyDescent="0.25">
      <c r="M267" s="61"/>
      <c r="AT267" s="62"/>
      <c r="AU267" s="63"/>
      <c r="BN267" s="64"/>
    </row>
    <row r="268" spans="13:66" ht="13.2" x14ac:dyDescent="0.25">
      <c r="M268" s="61"/>
      <c r="AT268" s="62"/>
      <c r="AU268" s="63"/>
      <c r="BN268" s="64"/>
    </row>
    <row r="269" spans="13:66" ht="13.2" x14ac:dyDescent="0.25">
      <c r="M269" s="61"/>
      <c r="AT269" s="62"/>
      <c r="AU269" s="63"/>
      <c r="BN269" s="64"/>
    </row>
    <row r="270" spans="13:66" ht="13.2" x14ac:dyDescent="0.25">
      <c r="M270" s="61"/>
      <c r="AT270" s="62"/>
      <c r="AU270" s="63"/>
      <c r="BN270" s="64"/>
    </row>
    <row r="271" spans="13:66" ht="13.2" x14ac:dyDescent="0.25">
      <c r="M271" s="61"/>
      <c r="AT271" s="62"/>
      <c r="AU271" s="63"/>
      <c r="BN271" s="64"/>
    </row>
    <row r="272" spans="13:66" ht="13.2" x14ac:dyDescent="0.25">
      <c r="M272" s="61"/>
      <c r="AT272" s="62"/>
      <c r="AU272" s="63"/>
      <c r="BN272" s="64"/>
    </row>
    <row r="273" spans="13:66" ht="13.2" x14ac:dyDescent="0.25">
      <c r="M273" s="61"/>
      <c r="AT273" s="62"/>
      <c r="AU273" s="63"/>
      <c r="BN273" s="64"/>
    </row>
    <row r="274" spans="13:66" ht="13.2" x14ac:dyDescent="0.25">
      <c r="M274" s="61"/>
      <c r="AT274" s="62"/>
      <c r="AU274" s="63"/>
      <c r="BN274" s="64"/>
    </row>
    <row r="275" spans="13:66" ht="13.2" x14ac:dyDescent="0.25">
      <c r="M275" s="61"/>
      <c r="AT275" s="62"/>
      <c r="AU275" s="63"/>
      <c r="BN275" s="64"/>
    </row>
    <row r="276" spans="13:66" ht="13.2" x14ac:dyDescent="0.25">
      <c r="M276" s="61"/>
      <c r="AT276" s="62"/>
      <c r="AU276" s="63"/>
      <c r="BN276" s="64"/>
    </row>
    <row r="277" spans="13:66" ht="13.2" x14ac:dyDescent="0.25">
      <c r="M277" s="61"/>
      <c r="AT277" s="62"/>
      <c r="AU277" s="63"/>
      <c r="BN277" s="64"/>
    </row>
    <row r="278" spans="13:66" ht="13.2" x14ac:dyDescent="0.25">
      <c r="M278" s="61"/>
      <c r="AT278" s="62"/>
      <c r="AU278" s="63"/>
      <c r="BN278" s="64"/>
    </row>
    <row r="279" spans="13:66" ht="13.2" x14ac:dyDescent="0.25">
      <c r="M279" s="61"/>
      <c r="AT279" s="62"/>
      <c r="AU279" s="63"/>
      <c r="BN279" s="64"/>
    </row>
    <row r="280" spans="13:66" ht="13.2" x14ac:dyDescent="0.25">
      <c r="M280" s="61"/>
      <c r="AT280" s="62"/>
      <c r="AU280" s="63"/>
      <c r="BN280" s="64"/>
    </row>
    <row r="281" spans="13:66" ht="13.2" x14ac:dyDescent="0.25">
      <c r="M281" s="61"/>
      <c r="AT281" s="62"/>
      <c r="AU281" s="63"/>
      <c r="BN281" s="64"/>
    </row>
    <row r="282" spans="13:66" ht="13.2" x14ac:dyDescent="0.25">
      <c r="M282" s="61"/>
      <c r="AT282" s="62"/>
      <c r="AU282" s="63"/>
      <c r="BN282" s="64"/>
    </row>
    <row r="283" spans="13:66" ht="13.2" x14ac:dyDescent="0.25">
      <c r="M283" s="61"/>
      <c r="AT283" s="62"/>
      <c r="AU283" s="63"/>
      <c r="BN283" s="64"/>
    </row>
    <row r="284" spans="13:66" ht="13.2" x14ac:dyDescent="0.25">
      <c r="M284" s="61"/>
      <c r="AT284" s="62"/>
      <c r="AU284" s="63"/>
      <c r="BN284" s="64"/>
    </row>
    <row r="285" spans="13:66" ht="13.2" x14ac:dyDescent="0.25">
      <c r="M285" s="61"/>
      <c r="AT285" s="62"/>
      <c r="AU285" s="63"/>
      <c r="BN285" s="64"/>
    </row>
    <row r="286" spans="13:66" ht="13.2" x14ac:dyDescent="0.25">
      <c r="M286" s="61"/>
      <c r="AT286" s="62"/>
      <c r="AU286" s="63"/>
      <c r="BN286" s="64"/>
    </row>
    <row r="287" spans="13:66" ht="13.2" x14ac:dyDescent="0.25">
      <c r="M287" s="61"/>
      <c r="AT287" s="62"/>
      <c r="AU287" s="63"/>
      <c r="BN287" s="64"/>
    </row>
    <row r="288" spans="13:66" ht="13.2" x14ac:dyDescent="0.25">
      <c r="M288" s="61"/>
      <c r="AT288" s="62"/>
      <c r="AU288" s="63"/>
      <c r="BN288" s="64"/>
    </row>
    <row r="289" spans="13:66" ht="13.2" x14ac:dyDescent="0.25">
      <c r="M289" s="61"/>
      <c r="AT289" s="62"/>
      <c r="AU289" s="63"/>
      <c r="BN289" s="64"/>
    </row>
    <row r="290" spans="13:66" ht="13.2" x14ac:dyDescent="0.25">
      <c r="M290" s="61"/>
      <c r="AT290" s="62"/>
      <c r="AU290" s="63"/>
      <c r="BN290" s="64"/>
    </row>
    <row r="291" spans="13:66" ht="13.2" x14ac:dyDescent="0.25">
      <c r="M291" s="61"/>
      <c r="AT291" s="62"/>
      <c r="AU291" s="63"/>
      <c r="BN291" s="64"/>
    </row>
    <row r="292" spans="13:66" ht="13.2" x14ac:dyDescent="0.25">
      <c r="M292" s="61"/>
      <c r="AT292" s="62"/>
      <c r="AU292" s="63"/>
      <c r="BN292" s="64"/>
    </row>
    <row r="293" spans="13:66" ht="13.2" x14ac:dyDescent="0.25">
      <c r="M293" s="61"/>
      <c r="AT293" s="62"/>
      <c r="AU293" s="63"/>
      <c r="BN293" s="64"/>
    </row>
    <row r="294" spans="13:66" ht="13.2" x14ac:dyDescent="0.25">
      <c r="M294" s="61"/>
      <c r="AT294" s="62"/>
      <c r="AU294" s="63"/>
      <c r="BN294" s="64"/>
    </row>
    <row r="295" spans="13:66" ht="13.2" x14ac:dyDescent="0.25">
      <c r="M295" s="61"/>
      <c r="AT295" s="62"/>
      <c r="AU295" s="63"/>
      <c r="BN295" s="64"/>
    </row>
    <row r="296" spans="13:66" ht="13.2" x14ac:dyDescent="0.25">
      <c r="M296" s="61"/>
      <c r="AT296" s="62"/>
      <c r="AU296" s="63"/>
      <c r="BN296" s="64"/>
    </row>
    <row r="297" spans="13:66" ht="13.2" x14ac:dyDescent="0.25">
      <c r="M297" s="61"/>
      <c r="AT297" s="62"/>
      <c r="AU297" s="63"/>
      <c r="BN297" s="64"/>
    </row>
    <row r="298" spans="13:66" ht="13.2" x14ac:dyDescent="0.25">
      <c r="M298" s="61"/>
      <c r="AT298" s="62"/>
      <c r="AU298" s="63"/>
      <c r="BN298" s="64"/>
    </row>
    <row r="299" spans="13:66" ht="13.2" x14ac:dyDescent="0.25">
      <c r="M299" s="61"/>
      <c r="AT299" s="62"/>
      <c r="AU299" s="63"/>
      <c r="BN299" s="64"/>
    </row>
    <row r="300" spans="13:66" ht="13.2" x14ac:dyDescent="0.25">
      <c r="M300" s="61"/>
      <c r="AT300" s="62"/>
      <c r="AU300" s="63"/>
      <c r="BN300" s="64"/>
    </row>
    <row r="301" spans="13:66" ht="13.2" x14ac:dyDescent="0.25">
      <c r="M301" s="61"/>
      <c r="AT301" s="62"/>
      <c r="AU301" s="63"/>
      <c r="BN301" s="64"/>
    </row>
    <row r="302" spans="13:66" ht="13.2" x14ac:dyDescent="0.25">
      <c r="M302" s="61"/>
      <c r="AT302" s="62"/>
      <c r="AU302" s="63"/>
      <c r="BN302" s="64"/>
    </row>
    <row r="303" spans="13:66" ht="13.2" x14ac:dyDescent="0.25">
      <c r="M303" s="61"/>
      <c r="AT303" s="62"/>
      <c r="AU303" s="63"/>
      <c r="BN303" s="64"/>
    </row>
    <row r="304" spans="13:66" ht="13.2" x14ac:dyDescent="0.25">
      <c r="M304" s="61"/>
      <c r="AT304" s="62"/>
      <c r="AU304" s="63"/>
      <c r="BN304" s="64"/>
    </row>
    <row r="305" spans="13:66" ht="13.2" x14ac:dyDescent="0.25">
      <c r="M305" s="61"/>
      <c r="AT305" s="62"/>
      <c r="AU305" s="63"/>
      <c r="BN305" s="64"/>
    </row>
    <row r="306" spans="13:66" ht="13.2" x14ac:dyDescent="0.25">
      <c r="M306" s="61"/>
      <c r="AT306" s="62"/>
      <c r="AU306" s="63"/>
      <c r="BN306" s="64"/>
    </row>
    <row r="307" spans="13:66" ht="13.2" x14ac:dyDescent="0.25">
      <c r="M307" s="61"/>
      <c r="AT307" s="62"/>
      <c r="AU307" s="63"/>
      <c r="BN307" s="64"/>
    </row>
    <row r="308" spans="13:66" ht="13.2" x14ac:dyDescent="0.25">
      <c r="M308" s="61"/>
      <c r="AT308" s="62"/>
      <c r="AU308" s="63"/>
      <c r="BN308" s="64"/>
    </row>
    <row r="309" spans="13:66" ht="13.2" x14ac:dyDescent="0.25">
      <c r="M309" s="61"/>
      <c r="AT309" s="62"/>
      <c r="AU309" s="63"/>
      <c r="BN309" s="64"/>
    </row>
    <row r="310" spans="13:66" ht="13.2" x14ac:dyDescent="0.25">
      <c r="M310" s="61"/>
      <c r="AT310" s="62"/>
      <c r="AU310" s="63"/>
      <c r="BN310" s="64"/>
    </row>
    <row r="311" spans="13:66" ht="13.2" x14ac:dyDescent="0.25">
      <c r="M311" s="61"/>
      <c r="AT311" s="62"/>
      <c r="AU311" s="63"/>
      <c r="BN311" s="64"/>
    </row>
    <row r="312" spans="13:66" ht="13.2" x14ac:dyDescent="0.25">
      <c r="M312" s="61"/>
      <c r="AT312" s="62"/>
      <c r="AU312" s="63"/>
      <c r="BN312" s="64"/>
    </row>
    <row r="313" spans="13:66" ht="13.2" x14ac:dyDescent="0.25">
      <c r="M313" s="61"/>
      <c r="AT313" s="62"/>
      <c r="AU313" s="63"/>
      <c r="BN313" s="64"/>
    </row>
    <row r="314" spans="13:66" ht="13.2" x14ac:dyDescent="0.25">
      <c r="M314" s="61"/>
      <c r="AT314" s="62"/>
      <c r="AU314" s="63"/>
      <c r="BN314" s="64"/>
    </row>
    <row r="315" spans="13:66" ht="13.2" x14ac:dyDescent="0.25">
      <c r="M315" s="61"/>
      <c r="AT315" s="62"/>
      <c r="AU315" s="63"/>
      <c r="BN315" s="64"/>
    </row>
    <row r="316" spans="13:66" ht="13.2" x14ac:dyDescent="0.25">
      <c r="M316" s="61"/>
      <c r="AT316" s="62"/>
      <c r="AU316" s="63"/>
      <c r="BN316" s="64"/>
    </row>
    <row r="317" spans="13:66" ht="13.2" x14ac:dyDescent="0.25">
      <c r="M317" s="61"/>
      <c r="AT317" s="62"/>
      <c r="AU317" s="63"/>
      <c r="BN317" s="64"/>
    </row>
    <row r="318" spans="13:66" ht="13.2" x14ac:dyDescent="0.25">
      <c r="M318" s="61"/>
      <c r="AT318" s="62"/>
      <c r="AU318" s="63"/>
      <c r="BN318" s="64"/>
    </row>
    <row r="319" spans="13:66" ht="13.2" x14ac:dyDescent="0.25">
      <c r="M319" s="61"/>
      <c r="AT319" s="62"/>
      <c r="AU319" s="63"/>
      <c r="BN319" s="64"/>
    </row>
    <row r="320" spans="13:66" ht="13.2" x14ac:dyDescent="0.25">
      <c r="M320" s="61"/>
      <c r="AT320" s="62"/>
      <c r="AU320" s="63"/>
      <c r="BN320" s="64"/>
    </row>
    <row r="321" spans="13:66" ht="13.2" x14ac:dyDescent="0.25">
      <c r="M321" s="61"/>
      <c r="AT321" s="62"/>
      <c r="AU321" s="63"/>
      <c r="BN321" s="64"/>
    </row>
    <row r="322" spans="13:66" ht="13.2" x14ac:dyDescent="0.25">
      <c r="M322" s="61"/>
      <c r="AT322" s="62"/>
      <c r="AU322" s="63"/>
      <c r="BN322" s="64"/>
    </row>
    <row r="323" spans="13:66" ht="13.2" x14ac:dyDescent="0.25">
      <c r="M323" s="61"/>
      <c r="AT323" s="62"/>
      <c r="AU323" s="63"/>
      <c r="BN323" s="64"/>
    </row>
    <row r="324" spans="13:66" ht="13.2" x14ac:dyDescent="0.25">
      <c r="M324" s="61"/>
      <c r="AT324" s="62"/>
      <c r="AU324" s="63"/>
      <c r="BN324" s="64"/>
    </row>
    <row r="325" spans="13:66" ht="13.2" x14ac:dyDescent="0.25">
      <c r="M325" s="61"/>
      <c r="AT325" s="62"/>
      <c r="AU325" s="63"/>
      <c r="BN325" s="64"/>
    </row>
    <row r="326" spans="13:66" ht="13.2" x14ac:dyDescent="0.25">
      <c r="M326" s="61"/>
      <c r="AT326" s="62"/>
      <c r="AU326" s="63"/>
      <c r="BN326" s="64"/>
    </row>
    <row r="327" spans="13:66" ht="13.2" x14ac:dyDescent="0.25">
      <c r="M327" s="61"/>
      <c r="AT327" s="62"/>
      <c r="AU327" s="63"/>
      <c r="BN327" s="64"/>
    </row>
    <row r="328" spans="13:66" ht="13.2" x14ac:dyDescent="0.25">
      <c r="M328" s="61"/>
      <c r="AT328" s="62"/>
      <c r="AU328" s="63"/>
      <c r="BN328" s="64"/>
    </row>
    <row r="329" spans="13:66" ht="13.2" x14ac:dyDescent="0.25">
      <c r="M329" s="61"/>
      <c r="AT329" s="62"/>
      <c r="AU329" s="63"/>
      <c r="BN329" s="64"/>
    </row>
    <row r="330" spans="13:66" ht="13.2" x14ac:dyDescent="0.25">
      <c r="M330" s="61"/>
      <c r="AT330" s="62"/>
      <c r="AU330" s="63"/>
      <c r="BN330" s="64"/>
    </row>
    <row r="331" spans="13:66" ht="13.2" x14ac:dyDescent="0.25">
      <c r="M331" s="61"/>
      <c r="AT331" s="62"/>
      <c r="AU331" s="63"/>
      <c r="BN331" s="64"/>
    </row>
    <row r="332" spans="13:66" ht="13.2" x14ac:dyDescent="0.25">
      <c r="M332" s="61"/>
      <c r="AT332" s="62"/>
      <c r="AU332" s="63"/>
      <c r="BN332" s="64"/>
    </row>
    <row r="333" spans="13:66" ht="13.2" x14ac:dyDescent="0.25">
      <c r="M333" s="61"/>
      <c r="AT333" s="62"/>
      <c r="AU333" s="63"/>
      <c r="BN333" s="64"/>
    </row>
    <row r="334" spans="13:66" ht="13.2" x14ac:dyDescent="0.25">
      <c r="M334" s="61"/>
      <c r="AT334" s="62"/>
      <c r="AU334" s="63"/>
      <c r="BN334" s="64"/>
    </row>
    <row r="335" spans="13:66" ht="13.2" x14ac:dyDescent="0.25">
      <c r="M335" s="61"/>
      <c r="AT335" s="62"/>
      <c r="AU335" s="63"/>
      <c r="BN335" s="64"/>
    </row>
    <row r="336" spans="13:66" ht="13.2" x14ac:dyDescent="0.25">
      <c r="M336" s="61"/>
      <c r="AT336" s="62"/>
      <c r="AU336" s="63"/>
      <c r="BN336" s="64"/>
    </row>
    <row r="337" spans="13:66" ht="13.2" x14ac:dyDescent="0.25">
      <c r="M337" s="61"/>
      <c r="AT337" s="62"/>
      <c r="AU337" s="63"/>
      <c r="BN337" s="64"/>
    </row>
    <row r="338" spans="13:66" ht="13.2" x14ac:dyDescent="0.25">
      <c r="M338" s="61"/>
      <c r="AT338" s="62"/>
      <c r="AU338" s="63"/>
      <c r="BN338" s="64"/>
    </row>
    <row r="339" spans="13:66" ht="13.2" x14ac:dyDescent="0.25">
      <c r="M339" s="61"/>
      <c r="AT339" s="62"/>
      <c r="AU339" s="63"/>
      <c r="BN339" s="64"/>
    </row>
    <row r="340" spans="13:66" ht="13.2" x14ac:dyDescent="0.25">
      <c r="M340" s="61"/>
      <c r="AT340" s="62"/>
      <c r="AU340" s="63"/>
      <c r="BN340" s="64"/>
    </row>
    <row r="341" spans="13:66" ht="13.2" x14ac:dyDescent="0.25">
      <c r="M341" s="61"/>
      <c r="AT341" s="62"/>
      <c r="AU341" s="63"/>
      <c r="BN341" s="64"/>
    </row>
    <row r="342" spans="13:66" ht="13.2" x14ac:dyDescent="0.25">
      <c r="M342" s="61"/>
      <c r="AT342" s="62"/>
      <c r="AU342" s="63"/>
      <c r="BN342" s="64"/>
    </row>
    <row r="343" spans="13:66" ht="13.2" x14ac:dyDescent="0.25">
      <c r="M343" s="61"/>
      <c r="AT343" s="62"/>
      <c r="AU343" s="63"/>
      <c r="BN343" s="64"/>
    </row>
    <row r="344" spans="13:66" ht="13.2" x14ac:dyDescent="0.25">
      <c r="M344" s="61"/>
      <c r="AT344" s="62"/>
      <c r="AU344" s="63"/>
      <c r="BN344" s="64"/>
    </row>
    <row r="345" spans="13:66" ht="13.2" x14ac:dyDescent="0.25">
      <c r="M345" s="61"/>
      <c r="AT345" s="62"/>
      <c r="AU345" s="63"/>
      <c r="BN345" s="64"/>
    </row>
    <row r="346" spans="13:66" ht="13.2" x14ac:dyDescent="0.25">
      <c r="M346" s="61"/>
      <c r="AT346" s="62"/>
      <c r="AU346" s="63"/>
      <c r="BN346" s="64"/>
    </row>
    <row r="347" spans="13:66" ht="13.2" x14ac:dyDescent="0.25">
      <c r="M347" s="61"/>
      <c r="AT347" s="62"/>
      <c r="AU347" s="63"/>
      <c r="BN347" s="64"/>
    </row>
    <row r="348" spans="13:66" ht="13.2" x14ac:dyDescent="0.25">
      <c r="M348" s="61"/>
      <c r="AT348" s="62"/>
      <c r="AU348" s="63"/>
      <c r="BN348" s="64"/>
    </row>
    <row r="349" spans="13:66" ht="13.2" x14ac:dyDescent="0.25">
      <c r="M349" s="61"/>
      <c r="AT349" s="62"/>
      <c r="AU349" s="63"/>
      <c r="BN349" s="64"/>
    </row>
    <row r="350" spans="13:66" ht="13.2" x14ac:dyDescent="0.25">
      <c r="M350" s="61"/>
      <c r="AT350" s="62"/>
      <c r="AU350" s="63"/>
      <c r="BN350" s="64"/>
    </row>
    <row r="351" spans="13:66" ht="13.2" x14ac:dyDescent="0.25">
      <c r="M351" s="61"/>
      <c r="AT351" s="62"/>
      <c r="AU351" s="63"/>
      <c r="BN351" s="64"/>
    </row>
    <row r="352" spans="13:66" ht="13.2" x14ac:dyDescent="0.25">
      <c r="M352" s="61"/>
      <c r="AT352" s="62"/>
      <c r="AU352" s="63"/>
      <c r="BN352" s="64"/>
    </row>
    <row r="353" spans="13:66" ht="13.2" x14ac:dyDescent="0.25">
      <c r="M353" s="61"/>
      <c r="AT353" s="62"/>
      <c r="AU353" s="63"/>
      <c r="BN353" s="64"/>
    </row>
    <row r="354" spans="13:66" ht="13.2" x14ac:dyDescent="0.25">
      <c r="M354" s="61"/>
      <c r="AT354" s="62"/>
      <c r="AU354" s="63"/>
      <c r="BN354" s="64"/>
    </row>
    <row r="355" spans="13:66" ht="13.2" x14ac:dyDescent="0.25">
      <c r="M355" s="61"/>
      <c r="AT355" s="62"/>
      <c r="AU355" s="63"/>
      <c r="BN355" s="64"/>
    </row>
    <row r="356" spans="13:66" ht="13.2" x14ac:dyDescent="0.25">
      <c r="M356" s="61"/>
      <c r="AT356" s="62"/>
      <c r="AU356" s="63"/>
      <c r="BN356" s="64"/>
    </row>
    <row r="357" spans="13:66" ht="13.2" x14ac:dyDescent="0.25">
      <c r="M357" s="61"/>
      <c r="AT357" s="62"/>
      <c r="AU357" s="63"/>
      <c r="BN357" s="64"/>
    </row>
    <row r="358" spans="13:66" ht="13.2" x14ac:dyDescent="0.25">
      <c r="M358" s="61"/>
      <c r="AT358" s="62"/>
      <c r="AU358" s="63"/>
      <c r="BN358" s="64"/>
    </row>
    <row r="359" spans="13:66" ht="13.2" x14ac:dyDescent="0.25">
      <c r="M359" s="61"/>
      <c r="AT359" s="62"/>
      <c r="AU359" s="63"/>
      <c r="BN359" s="64"/>
    </row>
    <row r="360" spans="13:66" ht="13.2" x14ac:dyDescent="0.25">
      <c r="M360" s="61"/>
      <c r="AT360" s="62"/>
      <c r="AU360" s="63"/>
      <c r="BN360" s="64"/>
    </row>
    <row r="361" spans="13:66" ht="13.2" x14ac:dyDescent="0.25">
      <c r="M361" s="61"/>
      <c r="AT361" s="62"/>
      <c r="AU361" s="63"/>
      <c r="BN361" s="64"/>
    </row>
    <row r="362" spans="13:66" ht="13.2" x14ac:dyDescent="0.25">
      <c r="M362" s="61"/>
      <c r="AT362" s="62"/>
      <c r="AU362" s="63"/>
      <c r="BN362" s="64"/>
    </row>
    <row r="363" spans="13:66" ht="13.2" x14ac:dyDescent="0.25">
      <c r="M363" s="61"/>
      <c r="AT363" s="62"/>
      <c r="AU363" s="63"/>
      <c r="BN363" s="64"/>
    </row>
    <row r="364" spans="13:66" ht="13.2" x14ac:dyDescent="0.25">
      <c r="M364" s="61"/>
      <c r="AT364" s="62"/>
      <c r="AU364" s="63"/>
      <c r="BN364" s="64"/>
    </row>
    <row r="365" spans="13:66" ht="13.2" x14ac:dyDescent="0.25">
      <c r="M365" s="61"/>
      <c r="AT365" s="62"/>
      <c r="AU365" s="63"/>
      <c r="BN365" s="64"/>
    </row>
    <row r="366" spans="13:66" ht="13.2" x14ac:dyDescent="0.25">
      <c r="M366" s="61"/>
      <c r="AT366" s="62"/>
      <c r="AU366" s="63"/>
      <c r="BN366" s="64"/>
    </row>
    <row r="367" spans="13:66" ht="13.2" x14ac:dyDescent="0.25">
      <c r="M367" s="61"/>
      <c r="AT367" s="62"/>
      <c r="AU367" s="63"/>
      <c r="BN367" s="64"/>
    </row>
    <row r="368" spans="13:66" ht="13.2" x14ac:dyDescent="0.25">
      <c r="M368" s="61"/>
      <c r="AT368" s="62"/>
      <c r="AU368" s="63"/>
      <c r="BN368" s="64"/>
    </row>
    <row r="369" spans="13:66" ht="13.2" x14ac:dyDescent="0.25">
      <c r="M369" s="61"/>
      <c r="AT369" s="62"/>
      <c r="AU369" s="63"/>
      <c r="BN369" s="64"/>
    </row>
    <row r="370" spans="13:66" ht="13.2" x14ac:dyDescent="0.25">
      <c r="M370" s="61"/>
      <c r="AT370" s="62"/>
      <c r="AU370" s="63"/>
      <c r="BN370" s="64"/>
    </row>
    <row r="371" spans="13:66" ht="13.2" x14ac:dyDescent="0.25">
      <c r="M371" s="61"/>
      <c r="AT371" s="62"/>
      <c r="AU371" s="63"/>
      <c r="BN371" s="64"/>
    </row>
    <row r="372" spans="13:66" ht="13.2" x14ac:dyDescent="0.25">
      <c r="M372" s="61"/>
      <c r="AT372" s="62"/>
      <c r="AU372" s="63"/>
      <c r="BN372" s="64"/>
    </row>
    <row r="373" spans="13:66" ht="13.2" x14ac:dyDescent="0.25">
      <c r="M373" s="61"/>
      <c r="AT373" s="62"/>
      <c r="AU373" s="63"/>
      <c r="BN373" s="64"/>
    </row>
    <row r="374" spans="13:66" ht="13.2" x14ac:dyDescent="0.25">
      <c r="M374" s="61"/>
      <c r="AT374" s="62"/>
      <c r="AU374" s="63"/>
      <c r="BN374" s="64"/>
    </row>
    <row r="375" spans="13:66" ht="13.2" x14ac:dyDescent="0.25">
      <c r="M375" s="61"/>
      <c r="AT375" s="62"/>
      <c r="AU375" s="63"/>
      <c r="BN375" s="64"/>
    </row>
    <row r="376" spans="13:66" ht="13.2" x14ac:dyDescent="0.25">
      <c r="M376" s="61"/>
      <c r="AT376" s="62"/>
      <c r="AU376" s="63"/>
      <c r="BN376" s="64"/>
    </row>
    <row r="377" spans="13:66" ht="13.2" x14ac:dyDescent="0.25">
      <c r="M377" s="61"/>
      <c r="AT377" s="62"/>
      <c r="AU377" s="63"/>
      <c r="BN377" s="64"/>
    </row>
    <row r="378" spans="13:66" ht="13.2" x14ac:dyDescent="0.25">
      <c r="M378" s="61"/>
      <c r="AT378" s="62"/>
      <c r="AU378" s="63"/>
      <c r="BN378" s="64"/>
    </row>
    <row r="379" spans="13:66" ht="13.2" x14ac:dyDescent="0.25">
      <c r="M379" s="61"/>
      <c r="AT379" s="62"/>
      <c r="AU379" s="63"/>
      <c r="BN379" s="64"/>
    </row>
    <row r="380" spans="13:66" ht="13.2" x14ac:dyDescent="0.25">
      <c r="M380" s="61"/>
      <c r="AT380" s="62"/>
      <c r="AU380" s="63"/>
      <c r="BN380" s="64"/>
    </row>
    <row r="381" spans="13:66" ht="13.2" x14ac:dyDescent="0.25">
      <c r="M381" s="61"/>
      <c r="AT381" s="62"/>
      <c r="AU381" s="63"/>
      <c r="BN381" s="64"/>
    </row>
    <row r="382" spans="13:66" ht="13.2" x14ac:dyDescent="0.25">
      <c r="M382" s="61"/>
      <c r="AT382" s="62"/>
      <c r="AU382" s="63"/>
      <c r="BN382" s="64"/>
    </row>
    <row r="383" spans="13:66" ht="13.2" x14ac:dyDescent="0.25">
      <c r="M383" s="61"/>
      <c r="AT383" s="62"/>
      <c r="AU383" s="63"/>
      <c r="BN383" s="64"/>
    </row>
    <row r="384" spans="13:66" ht="13.2" x14ac:dyDescent="0.25">
      <c r="M384" s="61"/>
      <c r="AT384" s="62"/>
      <c r="AU384" s="63"/>
      <c r="BN384" s="64"/>
    </row>
    <row r="385" spans="13:66" ht="13.2" x14ac:dyDescent="0.25">
      <c r="M385" s="61"/>
      <c r="AT385" s="62"/>
      <c r="AU385" s="63"/>
      <c r="BN385" s="64"/>
    </row>
    <row r="386" spans="13:66" ht="13.2" x14ac:dyDescent="0.25">
      <c r="M386" s="61"/>
      <c r="AT386" s="62"/>
      <c r="AU386" s="63"/>
      <c r="BN386" s="64"/>
    </row>
    <row r="387" spans="13:66" ht="13.2" x14ac:dyDescent="0.25">
      <c r="M387" s="61"/>
      <c r="AT387" s="62"/>
      <c r="AU387" s="63"/>
      <c r="BN387" s="64"/>
    </row>
    <row r="388" spans="13:66" ht="13.2" x14ac:dyDescent="0.25">
      <c r="M388" s="61"/>
      <c r="AT388" s="62"/>
      <c r="AU388" s="63"/>
      <c r="BN388" s="64"/>
    </row>
    <row r="389" spans="13:66" ht="13.2" x14ac:dyDescent="0.25">
      <c r="M389" s="61"/>
      <c r="AT389" s="62"/>
      <c r="AU389" s="63"/>
      <c r="BN389" s="64"/>
    </row>
    <row r="390" spans="13:66" ht="13.2" x14ac:dyDescent="0.25">
      <c r="M390" s="61"/>
      <c r="AT390" s="62"/>
      <c r="AU390" s="63"/>
      <c r="BN390" s="64"/>
    </row>
    <row r="391" spans="13:66" ht="13.2" x14ac:dyDescent="0.25">
      <c r="M391" s="61"/>
      <c r="AT391" s="62"/>
      <c r="AU391" s="63"/>
      <c r="BN391" s="64"/>
    </row>
    <row r="392" spans="13:66" ht="13.2" x14ac:dyDescent="0.25">
      <c r="M392" s="61"/>
      <c r="AT392" s="62"/>
      <c r="AU392" s="63"/>
      <c r="BN392" s="64"/>
    </row>
    <row r="393" spans="13:66" ht="13.2" x14ac:dyDescent="0.25">
      <c r="M393" s="61"/>
      <c r="AT393" s="62"/>
      <c r="AU393" s="63"/>
      <c r="BN393" s="64"/>
    </row>
    <row r="394" spans="13:66" ht="13.2" x14ac:dyDescent="0.25">
      <c r="M394" s="61"/>
      <c r="AT394" s="62"/>
      <c r="AU394" s="63"/>
      <c r="BN394" s="64"/>
    </row>
    <row r="395" spans="13:66" ht="13.2" x14ac:dyDescent="0.25">
      <c r="M395" s="61"/>
      <c r="AT395" s="62"/>
      <c r="AU395" s="63"/>
      <c r="BN395" s="64"/>
    </row>
    <row r="396" spans="13:66" ht="13.2" x14ac:dyDescent="0.25">
      <c r="M396" s="61"/>
      <c r="AT396" s="62"/>
      <c r="AU396" s="63"/>
      <c r="BN396" s="64"/>
    </row>
    <row r="397" spans="13:66" ht="13.2" x14ac:dyDescent="0.25">
      <c r="M397" s="61"/>
      <c r="AT397" s="62"/>
      <c r="AU397" s="63"/>
      <c r="BN397" s="64"/>
    </row>
    <row r="398" spans="13:66" ht="13.2" x14ac:dyDescent="0.25">
      <c r="M398" s="61"/>
      <c r="AT398" s="62"/>
      <c r="AU398" s="63"/>
      <c r="BN398" s="64"/>
    </row>
    <row r="399" spans="13:66" ht="13.2" x14ac:dyDescent="0.25">
      <c r="M399" s="61"/>
      <c r="AT399" s="62"/>
      <c r="AU399" s="63"/>
      <c r="BN399" s="64"/>
    </row>
    <row r="400" spans="13:66" ht="13.2" x14ac:dyDescent="0.25">
      <c r="M400" s="61"/>
      <c r="AT400" s="62"/>
      <c r="AU400" s="63"/>
      <c r="BN400" s="64"/>
    </row>
    <row r="401" spans="13:66" ht="13.2" x14ac:dyDescent="0.25">
      <c r="M401" s="61"/>
      <c r="AT401" s="62"/>
      <c r="AU401" s="63"/>
      <c r="BN401" s="64"/>
    </row>
    <row r="402" spans="13:66" ht="13.2" x14ac:dyDescent="0.25">
      <c r="M402" s="61"/>
      <c r="AT402" s="62"/>
      <c r="AU402" s="63"/>
      <c r="BN402" s="64"/>
    </row>
    <row r="403" spans="13:66" ht="13.2" x14ac:dyDescent="0.25">
      <c r="M403" s="61"/>
      <c r="AT403" s="62"/>
      <c r="AU403" s="63"/>
      <c r="BN403" s="64"/>
    </row>
    <row r="404" spans="13:66" ht="13.2" x14ac:dyDescent="0.25">
      <c r="M404" s="61"/>
      <c r="AT404" s="62"/>
      <c r="AU404" s="63"/>
      <c r="BN404" s="64"/>
    </row>
    <row r="405" spans="13:66" ht="13.2" x14ac:dyDescent="0.25">
      <c r="M405" s="61"/>
      <c r="AT405" s="62"/>
      <c r="AU405" s="63"/>
      <c r="BN405" s="64"/>
    </row>
    <row r="406" spans="13:66" ht="13.2" x14ac:dyDescent="0.25">
      <c r="M406" s="61"/>
      <c r="AT406" s="62"/>
      <c r="AU406" s="63"/>
      <c r="BN406" s="64"/>
    </row>
    <row r="407" spans="13:66" ht="13.2" x14ac:dyDescent="0.25">
      <c r="M407" s="61"/>
      <c r="AT407" s="62"/>
      <c r="AU407" s="63"/>
      <c r="BN407" s="64"/>
    </row>
    <row r="408" spans="13:66" ht="13.2" x14ac:dyDescent="0.25">
      <c r="M408" s="61"/>
      <c r="AT408" s="62"/>
      <c r="AU408" s="63"/>
      <c r="BN408" s="64"/>
    </row>
    <row r="409" spans="13:66" ht="13.2" x14ac:dyDescent="0.25">
      <c r="M409" s="61"/>
      <c r="AT409" s="62"/>
      <c r="AU409" s="63"/>
      <c r="BN409" s="64"/>
    </row>
    <row r="410" spans="13:66" ht="13.2" x14ac:dyDescent="0.25">
      <c r="M410" s="61"/>
      <c r="AT410" s="62"/>
      <c r="AU410" s="63"/>
      <c r="BN410" s="64"/>
    </row>
    <row r="411" spans="13:66" ht="13.2" x14ac:dyDescent="0.25">
      <c r="M411" s="61"/>
      <c r="AT411" s="62"/>
      <c r="AU411" s="63"/>
      <c r="BN411" s="64"/>
    </row>
    <row r="412" spans="13:66" ht="13.2" x14ac:dyDescent="0.25">
      <c r="M412" s="61"/>
      <c r="AT412" s="62"/>
      <c r="AU412" s="63"/>
      <c r="BN412" s="64"/>
    </row>
    <row r="413" spans="13:66" ht="13.2" x14ac:dyDescent="0.25">
      <c r="M413" s="61"/>
      <c r="AT413" s="62"/>
      <c r="AU413" s="63"/>
      <c r="BN413" s="64"/>
    </row>
    <row r="414" spans="13:66" ht="13.2" x14ac:dyDescent="0.25">
      <c r="M414" s="61"/>
      <c r="AT414" s="62"/>
      <c r="AU414" s="63"/>
      <c r="BN414" s="64"/>
    </row>
    <row r="415" spans="13:66" ht="13.2" x14ac:dyDescent="0.25">
      <c r="M415" s="61"/>
      <c r="AT415" s="62"/>
      <c r="AU415" s="63"/>
      <c r="BN415" s="64"/>
    </row>
    <row r="416" spans="13:66" ht="13.2" x14ac:dyDescent="0.25">
      <c r="M416" s="61"/>
      <c r="AT416" s="62"/>
      <c r="AU416" s="63"/>
      <c r="BN416" s="64"/>
    </row>
    <row r="417" spans="13:66" ht="13.2" x14ac:dyDescent="0.25">
      <c r="M417" s="61"/>
      <c r="AT417" s="62"/>
      <c r="AU417" s="63"/>
      <c r="BN417" s="64"/>
    </row>
    <row r="418" spans="13:66" ht="13.2" x14ac:dyDescent="0.25">
      <c r="M418" s="61"/>
      <c r="AT418" s="62"/>
      <c r="AU418" s="63"/>
      <c r="BN418" s="64"/>
    </row>
    <row r="419" spans="13:66" ht="13.2" x14ac:dyDescent="0.25">
      <c r="M419" s="61"/>
      <c r="AT419" s="62"/>
      <c r="AU419" s="63"/>
      <c r="BN419" s="64"/>
    </row>
    <row r="420" spans="13:66" ht="13.2" x14ac:dyDescent="0.25">
      <c r="M420" s="61"/>
      <c r="AT420" s="62"/>
      <c r="AU420" s="63"/>
      <c r="BN420" s="64"/>
    </row>
    <row r="421" spans="13:66" ht="13.2" x14ac:dyDescent="0.25">
      <c r="M421" s="61"/>
      <c r="AT421" s="62"/>
      <c r="AU421" s="63"/>
      <c r="BN421" s="64"/>
    </row>
    <row r="422" spans="13:66" ht="13.2" x14ac:dyDescent="0.25">
      <c r="M422" s="61"/>
      <c r="AT422" s="62"/>
      <c r="AU422" s="63"/>
      <c r="BN422" s="64"/>
    </row>
    <row r="423" spans="13:66" ht="13.2" x14ac:dyDescent="0.25">
      <c r="M423" s="61"/>
      <c r="AT423" s="62"/>
      <c r="AU423" s="63"/>
      <c r="BN423" s="64"/>
    </row>
    <row r="424" spans="13:66" ht="13.2" x14ac:dyDescent="0.25">
      <c r="M424" s="61"/>
      <c r="AT424" s="62"/>
      <c r="AU424" s="63"/>
      <c r="BN424" s="64"/>
    </row>
    <row r="425" spans="13:66" ht="13.2" x14ac:dyDescent="0.25">
      <c r="M425" s="61"/>
      <c r="AT425" s="62"/>
      <c r="AU425" s="63"/>
      <c r="BN425" s="64"/>
    </row>
    <row r="426" spans="13:66" ht="13.2" x14ac:dyDescent="0.25">
      <c r="M426" s="61"/>
      <c r="AT426" s="62"/>
      <c r="AU426" s="63"/>
      <c r="BN426" s="64"/>
    </row>
    <row r="427" spans="13:66" ht="13.2" x14ac:dyDescent="0.25">
      <c r="M427" s="61"/>
      <c r="AT427" s="62"/>
      <c r="AU427" s="63"/>
      <c r="BN427" s="64"/>
    </row>
    <row r="428" spans="13:66" ht="13.2" x14ac:dyDescent="0.25">
      <c r="M428" s="61"/>
      <c r="AT428" s="62"/>
      <c r="AU428" s="63"/>
      <c r="BN428" s="64"/>
    </row>
    <row r="429" spans="13:66" ht="13.2" x14ac:dyDescent="0.25">
      <c r="M429" s="61"/>
      <c r="AT429" s="62"/>
      <c r="AU429" s="63"/>
      <c r="BN429" s="64"/>
    </row>
    <row r="430" spans="13:66" ht="13.2" x14ac:dyDescent="0.25">
      <c r="M430" s="61"/>
      <c r="AT430" s="62"/>
      <c r="AU430" s="63"/>
      <c r="BN430" s="64"/>
    </row>
    <row r="431" spans="13:66" ht="13.2" x14ac:dyDescent="0.25">
      <c r="M431" s="61"/>
      <c r="AT431" s="62"/>
      <c r="AU431" s="63"/>
      <c r="BN431" s="64"/>
    </row>
    <row r="432" spans="13:66" ht="13.2" x14ac:dyDescent="0.25">
      <c r="M432" s="61"/>
      <c r="AT432" s="62"/>
      <c r="AU432" s="63"/>
      <c r="BN432" s="64"/>
    </row>
    <row r="433" spans="13:66" ht="13.2" x14ac:dyDescent="0.25">
      <c r="M433" s="61"/>
      <c r="AT433" s="62"/>
      <c r="AU433" s="63"/>
      <c r="BN433" s="64"/>
    </row>
    <row r="434" spans="13:66" ht="13.2" x14ac:dyDescent="0.25">
      <c r="M434" s="61"/>
      <c r="AT434" s="62"/>
      <c r="AU434" s="63"/>
      <c r="BN434" s="64"/>
    </row>
    <row r="435" spans="13:66" ht="13.2" x14ac:dyDescent="0.25">
      <c r="M435" s="61"/>
      <c r="AT435" s="62"/>
      <c r="AU435" s="63"/>
      <c r="BN435" s="64"/>
    </row>
    <row r="436" spans="13:66" ht="13.2" x14ac:dyDescent="0.25">
      <c r="M436" s="61"/>
      <c r="AT436" s="62"/>
      <c r="AU436" s="63"/>
      <c r="BN436" s="64"/>
    </row>
    <row r="437" spans="13:66" ht="13.2" x14ac:dyDescent="0.25">
      <c r="M437" s="61"/>
      <c r="AT437" s="62"/>
      <c r="AU437" s="63"/>
      <c r="BN437" s="64"/>
    </row>
    <row r="438" spans="13:66" ht="13.2" x14ac:dyDescent="0.25">
      <c r="M438" s="61"/>
      <c r="AT438" s="62"/>
      <c r="AU438" s="63"/>
      <c r="BN438" s="64"/>
    </row>
    <row r="439" spans="13:66" ht="13.2" x14ac:dyDescent="0.25">
      <c r="M439" s="61"/>
      <c r="AT439" s="62"/>
      <c r="AU439" s="63"/>
      <c r="BN439" s="64"/>
    </row>
    <row r="440" spans="13:66" ht="13.2" x14ac:dyDescent="0.25">
      <c r="M440" s="61"/>
      <c r="AT440" s="62"/>
      <c r="AU440" s="63"/>
      <c r="BN440" s="64"/>
    </row>
    <row r="441" spans="13:66" ht="13.2" x14ac:dyDescent="0.25">
      <c r="M441" s="61"/>
      <c r="AT441" s="62"/>
      <c r="AU441" s="63"/>
      <c r="BN441" s="64"/>
    </row>
    <row r="442" spans="13:66" ht="13.2" x14ac:dyDescent="0.25">
      <c r="M442" s="61"/>
      <c r="AT442" s="62"/>
      <c r="AU442" s="63"/>
      <c r="BN442" s="64"/>
    </row>
    <row r="443" spans="13:66" ht="13.2" x14ac:dyDescent="0.25">
      <c r="M443" s="61"/>
      <c r="AT443" s="62"/>
      <c r="AU443" s="63"/>
      <c r="BN443" s="64"/>
    </row>
    <row r="444" spans="13:66" ht="13.2" x14ac:dyDescent="0.25">
      <c r="M444" s="61"/>
      <c r="AT444" s="62"/>
      <c r="AU444" s="63"/>
      <c r="BN444" s="64"/>
    </row>
    <row r="445" spans="13:66" ht="13.2" x14ac:dyDescent="0.25">
      <c r="M445" s="61"/>
      <c r="AT445" s="62"/>
      <c r="AU445" s="63"/>
      <c r="BN445" s="64"/>
    </row>
    <row r="446" spans="13:66" ht="13.2" x14ac:dyDescent="0.25">
      <c r="M446" s="61"/>
      <c r="AT446" s="62"/>
      <c r="AU446" s="63"/>
      <c r="BN446" s="64"/>
    </row>
    <row r="447" spans="13:66" ht="13.2" x14ac:dyDescent="0.25">
      <c r="M447" s="61"/>
      <c r="AT447" s="62"/>
      <c r="AU447" s="63"/>
      <c r="BN447" s="64"/>
    </row>
    <row r="448" spans="13:66" ht="13.2" x14ac:dyDescent="0.25">
      <c r="M448" s="61"/>
      <c r="AT448" s="62"/>
      <c r="AU448" s="63"/>
      <c r="BN448" s="64"/>
    </row>
    <row r="449" spans="13:66" ht="13.2" x14ac:dyDescent="0.25">
      <c r="M449" s="61"/>
      <c r="AT449" s="62"/>
      <c r="AU449" s="63"/>
      <c r="BN449" s="64"/>
    </row>
    <row r="450" spans="13:66" ht="13.2" x14ac:dyDescent="0.25">
      <c r="M450" s="61"/>
      <c r="AT450" s="62"/>
      <c r="AU450" s="63"/>
      <c r="BN450" s="64"/>
    </row>
    <row r="451" spans="13:66" ht="13.2" x14ac:dyDescent="0.25">
      <c r="M451" s="61"/>
      <c r="AT451" s="62"/>
      <c r="AU451" s="63"/>
      <c r="BN451" s="64"/>
    </row>
    <row r="452" spans="13:66" ht="13.2" x14ac:dyDescent="0.25">
      <c r="M452" s="61"/>
      <c r="AT452" s="62"/>
      <c r="AU452" s="63"/>
      <c r="BN452" s="64"/>
    </row>
    <row r="453" spans="13:66" ht="13.2" x14ac:dyDescent="0.25">
      <c r="M453" s="61"/>
      <c r="AT453" s="62"/>
      <c r="AU453" s="63"/>
      <c r="BN453" s="64"/>
    </row>
    <row r="454" spans="13:66" ht="13.2" x14ac:dyDescent="0.25">
      <c r="M454" s="61"/>
      <c r="AT454" s="62"/>
      <c r="AU454" s="63"/>
      <c r="BN454" s="64"/>
    </row>
    <row r="455" spans="13:66" ht="13.2" x14ac:dyDescent="0.25">
      <c r="M455" s="61"/>
      <c r="AT455" s="62"/>
      <c r="AU455" s="63"/>
      <c r="BN455" s="64"/>
    </row>
    <row r="456" spans="13:66" ht="13.2" x14ac:dyDescent="0.25">
      <c r="M456" s="61"/>
      <c r="AT456" s="62"/>
      <c r="AU456" s="63"/>
      <c r="BN456" s="64"/>
    </row>
    <row r="457" spans="13:66" ht="13.2" x14ac:dyDescent="0.25">
      <c r="M457" s="61"/>
      <c r="AT457" s="62"/>
      <c r="AU457" s="63"/>
      <c r="BN457" s="64"/>
    </row>
    <row r="458" spans="13:66" ht="13.2" x14ac:dyDescent="0.25">
      <c r="M458" s="61"/>
      <c r="AT458" s="62"/>
      <c r="AU458" s="63"/>
      <c r="BN458" s="64"/>
    </row>
    <row r="459" spans="13:66" ht="13.2" x14ac:dyDescent="0.25">
      <c r="M459" s="61"/>
      <c r="AT459" s="62"/>
      <c r="AU459" s="63"/>
      <c r="BN459" s="64"/>
    </row>
    <row r="460" spans="13:66" ht="13.2" x14ac:dyDescent="0.25">
      <c r="M460" s="61"/>
      <c r="AT460" s="62"/>
      <c r="AU460" s="63"/>
      <c r="BN460" s="64"/>
    </row>
    <row r="461" spans="13:66" ht="13.2" x14ac:dyDescent="0.25">
      <c r="M461" s="61"/>
      <c r="AT461" s="62"/>
      <c r="AU461" s="63"/>
      <c r="BN461" s="64"/>
    </row>
    <row r="462" spans="13:66" ht="13.2" x14ac:dyDescent="0.25">
      <c r="M462" s="61"/>
      <c r="AT462" s="62"/>
      <c r="AU462" s="63"/>
      <c r="BN462" s="64"/>
    </row>
    <row r="463" spans="13:66" ht="13.2" x14ac:dyDescent="0.25">
      <c r="M463" s="61"/>
      <c r="AT463" s="62"/>
      <c r="AU463" s="63"/>
      <c r="BN463" s="64"/>
    </row>
    <row r="464" spans="13:66" ht="13.2" x14ac:dyDescent="0.25">
      <c r="M464" s="61"/>
      <c r="AT464" s="62"/>
      <c r="AU464" s="63"/>
      <c r="BN464" s="64"/>
    </row>
    <row r="465" spans="13:66" ht="13.2" x14ac:dyDescent="0.25">
      <c r="M465" s="61"/>
      <c r="AT465" s="62"/>
      <c r="AU465" s="63"/>
      <c r="BN465" s="64"/>
    </row>
    <row r="466" spans="13:66" ht="13.2" x14ac:dyDescent="0.25">
      <c r="M466" s="61"/>
      <c r="AT466" s="62"/>
      <c r="AU466" s="63"/>
      <c r="BN466" s="64"/>
    </row>
    <row r="467" spans="13:66" ht="13.2" x14ac:dyDescent="0.25">
      <c r="M467" s="61"/>
      <c r="AT467" s="62"/>
      <c r="AU467" s="63"/>
      <c r="BN467" s="64"/>
    </row>
    <row r="468" spans="13:66" ht="13.2" x14ac:dyDescent="0.25">
      <c r="M468" s="61"/>
      <c r="AT468" s="62"/>
      <c r="AU468" s="63"/>
      <c r="BN468" s="64"/>
    </row>
    <row r="469" spans="13:66" ht="13.2" x14ac:dyDescent="0.25">
      <c r="M469" s="61"/>
      <c r="AT469" s="62"/>
      <c r="AU469" s="63"/>
      <c r="BN469" s="64"/>
    </row>
    <row r="470" spans="13:66" ht="13.2" x14ac:dyDescent="0.25">
      <c r="M470" s="61"/>
      <c r="AT470" s="62"/>
      <c r="AU470" s="63"/>
      <c r="BN470" s="64"/>
    </row>
    <row r="471" spans="13:66" ht="13.2" x14ac:dyDescent="0.25">
      <c r="M471" s="61"/>
      <c r="AT471" s="62"/>
      <c r="AU471" s="63"/>
      <c r="BN471" s="64"/>
    </row>
    <row r="472" spans="13:66" ht="13.2" x14ac:dyDescent="0.25">
      <c r="M472" s="61"/>
      <c r="AT472" s="62"/>
      <c r="AU472" s="63"/>
      <c r="BN472" s="64"/>
    </row>
    <row r="473" spans="13:66" ht="13.2" x14ac:dyDescent="0.25">
      <c r="M473" s="61"/>
      <c r="AT473" s="62"/>
      <c r="AU473" s="63"/>
      <c r="BN473" s="64"/>
    </row>
    <row r="474" spans="13:66" ht="13.2" x14ac:dyDescent="0.25">
      <c r="M474" s="61"/>
      <c r="AT474" s="62"/>
      <c r="AU474" s="63"/>
      <c r="BN474" s="64"/>
    </row>
    <row r="475" spans="13:66" ht="13.2" x14ac:dyDescent="0.25">
      <c r="M475" s="61"/>
      <c r="AT475" s="62"/>
      <c r="AU475" s="63"/>
      <c r="BN475" s="64"/>
    </row>
    <row r="476" spans="13:66" ht="13.2" x14ac:dyDescent="0.25">
      <c r="M476" s="61"/>
      <c r="AT476" s="62"/>
      <c r="AU476" s="63"/>
      <c r="BN476" s="64"/>
    </row>
    <row r="477" spans="13:66" ht="13.2" x14ac:dyDescent="0.25">
      <c r="M477" s="61"/>
      <c r="AT477" s="62"/>
      <c r="AU477" s="63"/>
      <c r="BN477" s="64"/>
    </row>
    <row r="478" spans="13:66" ht="13.2" x14ac:dyDescent="0.25">
      <c r="M478" s="61"/>
      <c r="AT478" s="62"/>
      <c r="AU478" s="63"/>
      <c r="BN478" s="64"/>
    </row>
    <row r="479" spans="13:66" ht="13.2" x14ac:dyDescent="0.25">
      <c r="M479" s="61"/>
      <c r="AT479" s="62"/>
      <c r="AU479" s="63"/>
      <c r="BN479" s="64"/>
    </row>
    <row r="480" spans="13:66" ht="13.2" x14ac:dyDescent="0.25">
      <c r="M480" s="61"/>
      <c r="AT480" s="62"/>
      <c r="AU480" s="63"/>
      <c r="BN480" s="64"/>
    </row>
    <row r="481" spans="13:66" ht="13.2" x14ac:dyDescent="0.25">
      <c r="M481" s="61"/>
      <c r="AT481" s="62"/>
      <c r="AU481" s="63"/>
      <c r="BN481" s="64"/>
    </row>
    <row r="482" spans="13:66" ht="13.2" x14ac:dyDescent="0.25">
      <c r="M482" s="61"/>
      <c r="AT482" s="62"/>
      <c r="AU482" s="63"/>
      <c r="BN482" s="64"/>
    </row>
    <row r="483" spans="13:66" ht="13.2" x14ac:dyDescent="0.25">
      <c r="M483" s="61"/>
      <c r="AT483" s="62"/>
      <c r="AU483" s="63"/>
      <c r="BN483" s="64"/>
    </row>
    <row r="484" spans="13:66" ht="13.2" x14ac:dyDescent="0.25">
      <c r="M484" s="61"/>
      <c r="AT484" s="62"/>
      <c r="AU484" s="63"/>
      <c r="BN484" s="64"/>
    </row>
    <row r="485" spans="13:66" ht="13.2" x14ac:dyDescent="0.25">
      <c r="M485" s="61"/>
      <c r="AT485" s="62"/>
      <c r="AU485" s="63"/>
      <c r="BN485" s="64"/>
    </row>
    <row r="486" spans="13:66" ht="13.2" x14ac:dyDescent="0.25">
      <c r="M486" s="61"/>
      <c r="AT486" s="62"/>
      <c r="AU486" s="63"/>
      <c r="BN486" s="64"/>
    </row>
    <row r="487" spans="13:66" ht="13.2" x14ac:dyDescent="0.25">
      <c r="M487" s="61"/>
      <c r="AT487" s="62"/>
      <c r="AU487" s="63"/>
      <c r="BN487" s="64"/>
    </row>
    <row r="488" spans="13:66" ht="13.2" x14ac:dyDescent="0.25">
      <c r="M488" s="61"/>
      <c r="AT488" s="62"/>
      <c r="AU488" s="63"/>
      <c r="BN488" s="64"/>
    </row>
    <row r="489" spans="13:66" ht="13.2" x14ac:dyDescent="0.25">
      <c r="M489" s="61"/>
      <c r="AT489" s="62"/>
      <c r="AU489" s="63"/>
      <c r="BN489" s="64"/>
    </row>
    <row r="490" spans="13:66" ht="13.2" x14ac:dyDescent="0.25">
      <c r="M490" s="61"/>
      <c r="AT490" s="62"/>
      <c r="AU490" s="63"/>
      <c r="BN490" s="64"/>
    </row>
    <row r="491" spans="13:66" ht="13.2" x14ac:dyDescent="0.25">
      <c r="M491" s="61"/>
      <c r="AT491" s="62"/>
      <c r="AU491" s="63"/>
      <c r="BN491" s="64"/>
    </row>
    <row r="492" spans="13:66" ht="13.2" x14ac:dyDescent="0.25">
      <c r="M492" s="61"/>
      <c r="AT492" s="62"/>
      <c r="AU492" s="63"/>
      <c r="BN492" s="64"/>
    </row>
    <row r="493" spans="13:66" ht="13.2" x14ac:dyDescent="0.25">
      <c r="M493" s="61"/>
      <c r="AT493" s="62"/>
      <c r="AU493" s="63"/>
      <c r="BN493" s="64"/>
    </row>
    <row r="494" spans="13:66" ht="13.2" x14ac:dyDescent="0.25">
      <c r="M494" s="61"/>
      <c r="AT494" s="62"/>
      <c r="AU494" s="63"/>
      <c r="BN494" s="64"/>
    </row>
    <row r="495" spans="13:66" ht="13.2" x14ac:dyDescent="0.25">
      <c r="M495" s="61"/>
      <c r="AT495" s="62"/>
      <c r="AU495" s="63"/>
      <c r="BN495" s="64"/>
    </row>
    <row r="496" spans="13:66" ht="13.2" x14ac:dyDescent="0.25">
      <c r="M496" s="61"/>
      <c r="AT496" s="62"/>
      <c r="AU496" s="63"/>
      <c r="BN496" s="64"/>
    </row>
    <row r="497" spans="13:66" ht="13.2" x14ac:dyDescent="0.25">
      <c r="M497" s="61"/>
      <c r="AT497" s="62"/>
      <c r="AU497" s="63"/>
      <c r="BN497" s="64"/>
    </row>
    <row r="498" spans="13:66" ht="13.2" x14ac:dyDescent="0.25">
      <c r="M498" s="61"/>
      <c r="AT498" s="62"/>
      <c r="AU498" s="63"/>
      <c r="BN498" s="64"/>
    </row>
    <row r="499" spans="13:66" ht="13.2" x14ac:dyDescent="0.25">
      <c r="M499" s="61"/>
      <c r="AT499" s="62"/>
      <c r="AU499" s="63"/>
      <c r="BN499" s="64"/>
    </row>
    <row r="500" spans="13:66" ht="13.2" x14ac:dyDescent="0.25">
      <c r="M500" s="61"/>
      <c r="AT500" s="62"/>
      <c r="AU500" s="63"/>
      <c r="BN500" s="64"/>
    </row>
    <row r="501" spans="13:66" ht="13.2" x14ac:dyDescent="0.25">
      <c r="M501" s="61"/>
      <c r="AT501" s="62"/>
      <c r="AU501" s="63"/>
      <c r="BN501" s="64"/>
    </row>
    <row r="502" spans="13:66" ht="13.2" x14ac:dyDescent="0.25">
      <c r="M502" s="61"/>
      <c r="AT502" s="62"/>
      <c r="AU502" s="63"/>
      <c r="BN502" s="64"/>
    </row>
    <row r="503" spans="13:66" ht="13.2" x14ac:dyDescent="0.25">
      <c r="M503" s="61"/>
      <c r="AT503" s="62"/>
      <c r="AU503" s="63"/>
      <c r="BN503" s="64"/>
    </row>
    <row r="504" spans="13:66" ht="13.2" x14ac:dyDescent="0.25">
      <c r="M504" s="61"/>
      <c r="AT504" s="62"/>
      <c r="AU504" s="63"/>
      <c r="BN504" s="64"/>
    </row>
    <row r="505" spans="13:66" ht="13.2" x14ac:dyDescent="0.25">
      <c r="M505" s="61"/>
      <c r="AT505" s="62"/>
      <c r="AU505" s="63"/>
      <c r="BN505" s="64"/>
    </row>
    <row r="506" spans="13:66" ht="13.2" x14ac:dyDescent="0.25">
      <c r="M506" s="61"/>
      <c r="AT506" s="62"/>
      <c r="AU506" s="63"/>
      <c r="BN506" s="64"/>
    </row>
    <row r="507" spans="13:66" ht="13.2" x14ac:dyDescent="0.25">
      <c r="M507" s="61"/>
      <c r="AT507" s="62"/>
      <c r="AU507" s="63"/>
      <c r="BN507" s="64"/>
    </row>
    <row r="508" spans="13:66" ht="13.2" x14ac:dyDescent="0.25">
      <c r="M508" s="61"/>
      <c r="AT508" s="62"/>
      <c r="AU508" s="63"/>
      <c r="BN508" s="64"/>
    </row>
    <row r="509" spans="13:66" ht="13.2" x14ac:dyDescent="0.25">
      <c r="M509" s="61"/>
      <c r="AT509" s="62"/>
      <c r="AU509" s="63"/>
      <c r="BN509" s="64"/>
    </row>
    <row r="510" spans="13:66" ht="13.2" x14ac:dyDescent="0.25">
      <c r="M510" s="61"/>
      <c r="AT510" s="62"/>
      <c r="AU510" s="63"/>
      <c r="BN510" s="64"/>
    </row>
    <row r="511" spans="13:66" ht="13.2" x14ac:dyDescent="0.25">
      <c r="M511" s="61"/>
      <c r="AT511" s="62"/>
      <c r="AU511" s="63"/>
      <c r="BN511" s="64"/>
    </row>
    <row r="512" spans="13:66" ht="13.2" x14ac:dyDescent="0.25">
      <c r="M512" s="61"/>
      <c r="AT512" s="62"/>
      <c r="AU512" s="63"/>
      <c r="BN512" s="64"/>
    </row>
    <row r="513" spans="13:66" ht="13.2" x14ac:dyDescent="0.25">
      <c r="M513" s="61"/>
      <c r="AT513" s="62"/>
      <c r="AU513" s="63"/>
      <c r="BN513" s="64"/>
    </row>
    <row r="514" spans="13:66" ht="13.2" x14ac:dyDescent="0.25">
      <c r="M514" s="61"/>
      <c r="AT514" s="62"/>
      <c r="AU514" s="63"/>
      <c r="BN514" s="64"/>
    </row>
    <row r="515" spans="13:66" ht="13.2" x14ac:dyDescent="0.25">
      <c r="M515" s="61"/>
      <c r="AT515" s="62"/>
      <c r="AU515" s="63"/>
      <c r="BN515" s="64"/>
    </row>
    <row r="516" spans="13:66" ht="13.2" x14ac:dyDescent="0.25">
      <c r="M516" s="61"/>
      <c r="AT516" s="62"/>
      <c r="AU516" s="63"/>
      <c r="BN516" s="64"/>
    </row>
    <row r="517" spans="13:66" ht="13.2" x14ac:dyDescent="0.25">
      <c r="M517" s="61"/>
      <c r="AT517" s="62"/>
      <c r="AU517" s="63"/>
      <c r="BN517" s="64"/>
    </row>
    <row r="518" spans="13:66" ht="13.2" x14ac:dyDescent="0.25">
      <c r="M518" s="61"/>
      <c r="AT518" s="62"/>
      <c r="AU518" s="63"/>
      <c r="BN518" s="64"/>
    </row>
    <row r="519" spans="13:66" ht="13.2" x14ac:dyDescent="0.25">
      <c r="M519" s="61"/>
      <c r="AT519" s="62"/>
      <c r="AU519" s="63"/>
      <c r="BN519" s="64"/>
    </row>
    <row r="520" spans="13:66" ht="13.2" x14ac:dyDescent="0.25">
      <c r="M520" s="61"/>
      <c r="AT520" s="62"/>
      <c r="AU520" s="63"/>
      <c r="BN520" s="64"/>
    </row>
    <row r="521" spans="13:66" ht="13.2" x14ac:dyDescent="0.25">
      <c r="M521" s="61"/>
      <c r="AT521" s="62"/>
      <c r="AU521" s="63"/>
      <c r="BN521" s="64"/>
    </row>
    <row r="522" spans="13:66" ht="13.2" x14ac:dyDescent="0.25">
      <c r="M522" s="61"/>
      <c r="AT522" s="62"/>
      <c r="AU522" s="63"/>
      <c r="BN522" s="64"/>
    </row>
    <row r="523" spans="13:66" ht="13.2" x14ac:dyDescent="0.25">
      <c r="M523" s="61"/>
      <c r="AT523" s="62"/>
      <c r="AU523" s="63"/>
      <c r="BN523" s="64"/>
    </row>
    <row r="524" spans="13:66" ht="13.2" x14ac:dyDescent="0.25">
      <c r="M524" s="61"/>
      <c r="AT524" s="62"/>
      <c r="AU524" s="63"/>
      <c r="BN524" s="64"/>
    </row>
    <row r="525" spans="13:66" ht="13.2" x14ac:dyDescent="0.25">
      <c r="M525" s="61"/>
      <c r="AT525" s="62"/>
      <c r="AU525" s="63"/>
      <c r="BN525" s="64"/>
    </row>
    <row r="526" spans="13:66" ht="13.2" x14ac:dyDescent="0.25">
      <c r="M526" s="61"/>
      <c r="AT526" s="62"/>
      <c r="AU526" s="63"/>
      <c r="BN526" s="64"/>
    </row>
    <row r="527" spans="13:66" ht="13.2" x14ac:dyDescent="0.25">
      <c r="M527" s="61"/>
      <c r="AT527" s="62"/>
      <c r="AU527" s="63"/>
      <c r="BN527" s="64"/>
    </row>
    <row r="528" spans="13:66" ht="13.2" x14ac:dyDescent="0.25">
      <c r="M528" s="61"/>
      <c r="AT528" s="62"/>
      <c r="AU528" s="63"/>
      <c r="BN528" s="64"/>
    </row>
    <row r="529" spans="13:66" ht="13.2" x14ac:dyDescent="0.25">
      <c r="M529" s="61"/>
      <c r="AT529" s="62"/>
      <c r="AU529" s="63"/>
      <c r="BN529" s="64"/>
    </row>
    <row r="530" spans="13:66" ht="13.2" x14ac:dyDescent="0.25">
      <c r="M530" s="61"/>
      <c r="AT530" s="62"/>
      <c r="AU530" s="63"/>
      <c r="BN530" s="64"/>
    </row>
    <row r="531" spans="13:66" ht="13.2" x14ac:dyDescent="0.25">
      <c r="M531" s="61"/>
      <c r="AT531" s="62"/>
      <c r="AU531" s="63"/>
      <c r="BN531" s="64"/>
    </row>
    <row r="532" spans="13:66" ht="13.2" x14ac:dyDescent="0.25">
      <c r="M532" s="61"/>
      <c r="AT532" s="62"/>
      <c r="AU532" s="63"/>
      <c r="BN532" s="64"/>
    </row>
    <row r="533" spans="13:66" ht="13.2" x14ac:dyDescent="0.25">
      <c r="M533" s="61"/>
      <c r="AT533" s="62"/>
      <c r="AU533" s="63"/>
      <c r="BN533" s="64"/>
    </row>
    <row r="534" spans="13:66" ht="13.2" x14ac:dyDescent="0.25">
      <c r="M534" s="61"/>
      <c r="AT534" s="62"/>
      <c r="AU534" s="63"/>
      <c r="BN534" s="64"/>
    </row>
    <row r="535" spans="13:66" ht="13.2" x14ac:dyDescent="0.25">
      <c r="M535" s="61"/>
      <c r="AT535" s="62"/>
      <c r="AU535" s="63"/>
      <c r="BN535" s="64"/>
    </row>
    <row r="536" spans="13:66" ht="13.2" x14ac:dyDescent="0.25">
      <c r="M536" s="61"/>
      <c r="AT536" s="62"/>
      <c r="AU536" s="63"/>
      <c r="BN536" s="64"/>
    </row>
    <row r="537" spans="13:66" ht="13.2" x14ac:dyDescent="0.25">
      <c r="M537" s="61"/>
      <c r="AT537" s="62"/>
      <c r="AU537" s="63"/>
      <c r="BN537" s="64"/>
    </row>
    <row r="538" spans="13:66" ht="13.2" x14ac:dyDescent="0.25">
      <c r="M538" s="61"/>
      <c r="AT538" s="62"/>
      <c r="AU538" s="63"/>
      <c r="BN538" s="64"/>
    </row>
    <row r="539" spans="13:66" ht="13.2" x14ac:dyDescent="0.25">
      <c r="M539" s="61"/>
      <c r="AT539" s="62"/>
      <c r="AU539" s="63"/>
      <c r="BN539" s="64"/>
    </row>
    <row r="540" spans="13:66" ht="13.2" x14ac:dyDescent="0.25">
      <c r="M540" s="61"/>
      <c r="AT540" s="62"/>
      <c r="AU540" s="63"/>
      <c r="BN540" s="64"/>
    </row>
    <row r="541" spans="13:66" ht="13.2" x14ac:dyDescent="0.25">
      <c r="M541" s="61"/>
      <c r="AT541" s="62"/>
      <c r="AU541" s="63"/>
      <c r="BN541" s="64"/>
    </row>
    <row r="542" spans="13:66" ht="13.2" x14ac:dyDescent="0.25">
      <c r="M542" s="61"/>
      <c r="AT542" s="62"/>
      <c r="AU542" s="63"/>
      <c r="BN542" s="64"/>
    </row>
    <row r="543" spans="13:66" ht="13.2" x14ac:dyDescent="0.25">
      <c r="M543" s="61"/>
      <c r="AT543" s="62"/>
      <c r="AU543" s="63"/>
      <c r="BN543" s="64"/>
    </row>
    <row r="544" spans="13:66" ht="13.2" x14ac:dyDescent="0.25">
      <c r="M544" s="61"/>
      <c r="AT544" s="62"/>
      <c r="AU544" s="63"/>
      <c r="BN544" s="64"/>
    </row>
    <row r="545" spans="13:66" ht="13.2" x14ac:dyDescent="0.25">
      <c r="M545" s="61"/>
      <c r="AT545" s="62"/>
      <c r="AU545" s="63"/>
      <c r="BN545" s="64"/>
    </row>
    <row r="546" spans="13:66" ht="13.2" x14ac:dyDescent="0.25">
      <c r="M546" s="61"/>
      <c r="AT546" s="62"/>
      <c r="AU546" s="63"/>
      <c r="BN546" s="64"/>
    </row>
    <row r="547" spans="13:66" ht="13.2" x14ac:dyDescent="0.25">
      <c r="M547" s="61"/>
      <c r="AT547" s="62"/>
      <c r="AU547" s="63"/>
      <c r="BN547" s="64"/>
    </row>
    <row r="548" spans="13:66" ht="13.2" x14ac:dyDescent="0.25">
      <c r="M548" s="61"/>
      <c r="AT548" s="62"/>
      <c r="AU548" s="63"/>
      <c r="BN548" s="64"/>
    </row>
    <row r="549" spans="13:66" ht="13.2" x14ac:dyDescent="0.25">
      <c r="M549" s="61"/>
      <c r="AT549" s="62"/>
      <c r="AU549" s="63"/>
      <c r="BN549" s="64"/>
    </row>
    <row r="550" spans="13:66" ht="13.2" x14ac:dyDescent="0.25">
      <c r="M550" s="61"/>
      <c r="AT550" s="62"/>
      <c r="AU550" s="63"/>
      <c r="BN550" s="64"/>
    </row>
    <row r="551" spans="13:66" ht="13.2" x14ac:dyDescent="0.25">
      <c r="M551" s="61"/>
      <c r="AT551" s="62"/>
      <c r="AU551" s="63"/>
      <c r="BN551" s="64"/>
    </row>
    <row r="552" spans="13:66" ht="13.2" x14ac:dyDescent="0.25">
      <c r="M552" s="61"/>
      <c r="AT552" s="62"/>
      <c r="AU552" s="63"/>
      <c r="BN552" s="64"/>
    </row>
    <row r="553" spans="13:66" ht="13.2" x14ac:dyDescent="0.25">
      <c r="M553" s="61"/>
      <c r="AT553" s="62"/>
      <c r="AU553" s="63"/>
      <c r="BN553" s="64"/>
    </row>
    <row r="554" spans="13:66" ht="13.2" x14ac:dyDescent="0.25">
      <c r="M554" s="61"/>
      <c r="AT554" s="62"/>
      <c r="AU554" s="63"/>
      <c r="BN554" s="64"/>
    </row>
    <row r="555" spans="13:66" ht="13.2" x14ac:dyDescent="0.25">
      <c r="M555" s="61"/>
      <c r="AT555" s="62"/>
      <c r="AU555" s="63"/>
      <c r="BN555" s="64"/>
    </row>
    <row r="556" spans="13:66" ht="13.2" x14ac:dyDescent="0.25">
      <c r="M556" s="61"/>
      <c r="AT556" s="62"/>
      <c r="AU556" s="63"/>
      <c r="BN556" s="64"/>
    </row>
    <row r="557" spans="13:66" ht="13.2" x14ac:dyDescent="0.25">
      <c r="M557" s="61"/>
      <c r="AT557" s="62"/>
      <c r="AU557" s="63"/>
      <c r="BN557" s="64"/>
    </row>
    <row r="558" spans="13:66" ht="13.2" x14ac:dyDescent="0.25">
      <c r="M558" s="61"/>
      <c r="AT558" s="62"/>
      <c r="AU558" s="63"/>
      <c r="BN558" s="64"/>
    </row>
    <row r="559" spans="13:66" ht="13.2" x14ac:dyDescent="0.25">
      <c r="M559" s="61"/>
      <c r="AT559" s="62"/>
      <c r="AU559" s="63"/>
      <c r="BN559" s="64"/>
    </row>
    <row r="560" spans="13:66" ht="13.2" x14ac:dyDescent="0.25">
      <c r="M560" s="61"/>
      <c r="AT560" s="62"/>
      <c r="AU560" s="63"/>
      <c r="BN560" s="64"/>
    </row>
    <row r="561" spans="13:66" ht="13.2" x14ac:dyDescent="0.25">
      <c r="M561" s="61"/>
      <c r="AT561" s="62"/>
      <c r="AU561" s="63"/>
      <c r="BN561" s="64"/>
    </row>
    <row r="562" spans="13:66" ht="13.2" x14ac:dyDescent="0.25">
      <c r="M562" s="61"/>
      <c r="AT562" s="62"/>
      <c r="AU562" s="63"/>
      <c r="BN562" s="64"/>
    </row>
    <row r="563" spans="13:66" ht="13.2" x14ac:dyDescent="0.25">
      <c r="M563" s="61"/>
      <c r="AT563" s="62"/>
      <c r="AU563" s="63"/>
      <c r="BN563" s="64"/>
    </row>
    <row r="564" spans="13:66" ht="13.2" x14ac:dyDescent="0.25">
      <c r="M564" s="61"/>
      <c r="AT564" s="62"/>
      <c r="AU564" s="63"/>
      <c r="BN564" s="64"/>
    </row>
    <row r="565" spans="13:66" ht="13.2" x14ac:dyDescent="0.25">
      <c r="M565" s="61"/>
      <c r="AT565" s="62"/>
      <c r="AU565" s="63"/>
      <c r="BN565" s="64"/>
    </row>
    <row r="566" spans="13:66" ht="13.2" x14ac:dyDescent="0.25">
      <c r="M566" s="61"/>
      <c r="AT566" s="62"/>
      <c r="AU566" s="63"/>
      <c r="BN566" s="64"/>
    </row>
    <row r="567" spans="13:66" ht="13.2" x14ac:dyDescent="0.25">
      <c r="M567" s="61"/>
      <c r="AT567" s="62"/>
      <c r="AU567" s="63"/>
      <c r="BN567" s="64"/>
    </row>
    <row r="568" spans="13:66" ht="13.2" x14ac:dyDescent="0.25">
      <c r="M568" s="61"/>
      <c r="AT568" s="62"/>
      <c r="AU568" s="63"/>
      <c r="BN568" s="64"/>
    </row>
    <row r="569" spans="13:66" ht="13.2" x14ac:dyDescent="0.25">
      <c r="M569" s="61"/>
      <c r="AT569" s="62"/>
      <c r="AU569" s="63"/>
      <c r="BN569" s="64"/>
    </row>
    <row r="570" spans="13:66" ht="13.2" x14ac:dyDescent="0.25">
      <c r="M570" s="61"/>
      <c r="AT570" s="62"/>
      <c r="AU570" s="63"/>
      <c r="BN570" s="64"/>
    </row>
    <row r="571" spans="13:66" ht="13.2" x14ac:dyDescent="0.25">
      <c r="M571" s="61"/>
      <c r="AT571" s="62"/>
      <c r="AU571" s="63"/>
      <c r="BN571" s="64"/>
    </row>
    <row r="572" spans="13:66" ht="13.2" x14ac:dyDescent="0.25">
      <c r="M572" s="61"/>
      <c r="AT572" s="62"/>
      <c r="AU572" s="63"/>
      <c r="BN572" s="64"/>
    </row>
    <row r="573" spans="13:66" ht="13.2" x14ac:dyDescent="0.25">
      <c r="M573" s="61"/>
      <c r="AT573" s="62"/>
      <c r="AU573" s="63"/>
      <c r="BN573" s="64"/>
    </row>
    <row r="574" spans="13:66" ht="13.2" x14ac:dyDescent="0.25">
      <c r="M574" s="61"/>
      <c r="AT574" s="62"/>
      <c r="AU574" s="63"/>
      <c r="BN574" s="64"/>
    </row>
    <row r="575" spans="13:66" ht="13.2" x14ac:dyDescent="0.25">
      <c r="M575" s="61"/>
      <c r="AT575" s="62"/>
      <c r="AU575" s="63"/>
      <c r="BN575" s="64"/>
    </row>
    <row r="576" spans="13:66" ht="13.2" x14ac:dyDescent="0.25">
      <c r="M576" s="61"/>
      <c r="AT576" s="62"/>
      <c r="AU576" s="63"/>
      <c r="BN576" s="64"/>
    </row>
    <row r="577" spans="13:66" ht="13.2" x14ac:dyDescent="0.25">
      <c r="M577" s="61"/>
      <c r="AT577" s="62"/>
      <c r="AU577" s="63"/>
      <c r="BN577" s="64"/>
    </row>
    <row r="578" spans="13:66" ht="13.2" x14ac:dyDescent="0.25">
      <c r="M578" s="61"/>
      <c r="AT578" s="62"/>
      <c r="AU578" s="63"/>
      <c r="BN578" s="64"/>
    </row>
    <row r="579" spans="13:66" ht="13.2" x14ac:dyDescent="0.25">
      <c r="M579" s="61"/>
      <c r="AT579" s="62"/>
      <c r="AU579" s="63"/>
      <c r="BN579" s="64"/>
    </row>
    <row r="580" spans="13:66" ht="13.2" x14ac:dyDescent="0.25">
      <c r="M580" s="61"/>
      <c r="AT580" s="62"/>
      <c r="AU580" s="63"/>
      <c r="BN580" s="64"/>
    </row>
    <row r="581" spans="13:66" ht="13.2" x14ac:dyDescent="0.25">
      <c r="M581" s="61"/>
      <c r="AT581" s="62"/>
      <c r="AU581" s="63"/>
      <c r="BN581" s="64"/>
    </row>
    <row r="582" spans="13:66" ht="13.2" x14ac:dyDescent="0.25">
      <c r="M582" s="61"/>
      <c r="AT582" s="62"/>
      <c r="AU582" s="63"/>
      <c r="BN582" s="64"/>
    </row>
    <row r="583" spans="13:66" ht="13.2" x14ac:dyDescent="0.25">
      <c r="M583" s="61"/>
      <c r="AT583" s="62"/>
      <c r="AU583" s="63"/>
      <c r="BN583" s="64"/>
    </row>
    <row r="584" spans="13:66" ht="13.2" x14ac:dyDescent="0.25">
      <c r="M584" s="61"/>
      <c r="AT584" s="62"/>
      <c r="AU584" s="63"/>
      <c r="BN584" s="64"/>
    </row>
    <row r="585" spans="13:66" ht="13.2" x14ac:dyDescent="0.25">
      <c r="M585" s="61"/>
      <c r="AT585" s="62"/>
      <c r="AU585" s="63"/>
      <c r="BN585" s="64"/>
    </row>
    <row r="586" spans="13:66" ht="13.2" x14ac:dyDescent="0.25">
      <c r="M586" s="61"/>
      <c r="AT586" s="62"/>
      <c r="AU586" s="63"/>
      <c r="BN586" s="64"/>
    </row>
    <row r="587" spans="13:66" ht="13.2" x14ac:dyDescent="0.25">
      <c r="M587" s="61"/>
      <c r="AT587" s="62"/>
      <c r="AU587" s="63"/>
      <c r="BN587" s="64"/>
    </row>
    <row r="588" spans="13:66" ht="13.2" x14ac:dyDescent="0.25">
      <c r="M588" s="61"/>
      <c r="AT588" s="62"/>
      <c r="AU588" s="63"/>
      <c r="BN588" s="64"/>
    </row>
    <row r="589" spans="13:66" ht="13.2" x14ac:dyDescent="0.25">
      <c r="M589" s="61"/>
      <c r="AT589" s="62"/>
      <c r="AU589" s="63"/>
      <c r="BN589" s="64"/>
    </row>
    <row r="590" spans="13:66" ht="13.2" x14ac:dyDescent="0.25">
      <c r="M590" s="61"/>
      <c r="AT590" s="62"/>
      <c r="AU590" s="63"/>
      <c r="BN590" s="64"/>
    </row>
    <row r="591" spans="13:66" ht="13.2" x14ac:dyDescent="0.25">
      <c r="M591" s="61"/>
      <c r="AT591" s="62"/>
      <c r="AU591" s="63"/>
      <c r="BN591" s="64"/>
    </row>
    <row r="592" spans="13:66" ht="13.2" x14ac:dyDescent="0.25">
      <c r="M592" s="61"/>
      <c r="AT592" s="62"/>
      <c r="AU592" s="63"/>
      <c r="BN592" s="64"/>
    </row>
    <row r="593" spans="13:66" ht="13.2" x14ac:dyDescent="0.25">
      <c r="M593" s="61"/>
      <c r="AT593" s="62"/>
      <c r="AU593" s="63"/>
      <c r="BN593" s="64"/>
    </row>
    <row r="594" spans="13:66" ht="13.2" x14ac:dyDescent="0.25">
      <c r="M594" s="61"/>
      <c r="AT594" s="62"/>
      <c r="AU594" s="63"/>
      <c r="BN594" s="64"/>
    </row>
    <row r="595" spans="13:66" ht="13.2" x14ac:dyDescent="0.25">
      <c r="M595" s="61"/>
      <c r="AT595" s="62"/>
      <c r="AU595" s="63"/>
      <c r="BN595" s="64"/>
    </row>
    <row r="596" spans="13:66" ht="13.2" x14ac:dyDescent="0.25">
      <c r="M596" s="61"/>
      <c r="AT596" s="62"/>
      <c r="AU596" s="63"/>
      <c r="BN596" s="64"/>
    </row>
    <row r="597" spans="13:66" ht="13.2" x14ac:dyDescent="0.25">
      <c r="M597" s="61"/>
      <c r="AT597" s="62"/>
      <c r="AU597" s="63"/>
      <c r="BN597" s="64"/>
    </row>
    <row r="598" spans="13:66" ht="13.2" x14ac:dyDescent="0.25">
      <c r="M598" s="61"/>
      <c r="AT598" s="62"/>
      <c r="AU598" s="63"/>
      <c r="BN598" s="64"/>
    </row>
    <row r="599" spans="13:66" ht="13.2" x14ac:dyDescent="0.25">
      <c r="M599" s="61"/>
      <c r="AT599" s="62"/>
      <c r="AU599" s="63"/>
      <c r="BN599" s="64"/>
    </row>
    <row r="600" spans="13:66" ht="13.2" x14ac:dyDescent="0.25">
      <c r="M600" s="61"/>
      <c r="AT600" s="62"/>
      <c r="AU600" s="63"/>
      <c r="BN600" s="64"/>
    </row>
    <row r="601" spans="13:66" ht="13.2" x14ac:dyDescent="0.25">
      <c r="M601" s="61"/>
      <c r="AT601" s="62"/>
      <c r="AU601" s="63"/>
      <c r="BN601" s="64"/>
    </row>
    <row r="602" spans="13:66" ht="13.2" x14ac:dyDescent="0.25">
      <c r="M602" s="61"/>
      <c r="AT602" s="62"/>
      <c r="AU602" s="63"/>
      <c r="BN602" s="64"/>
    </row>
    <row r="603" spans="13:66" ht="13.2" x14ac:dyDescent="0.25">
      <c r="M603" s="61"/>
      <c r="AT603" s="62"/>
      <c r="AU603" s="63"/>
      <c r="BN603" s="64"/>
    </row>
    <row r="604" spans="13:66" ht="13.2" x14ac:dyDescent="0.25">
      <c r="M604" s="61"/>
      <c r="AT604" s="62"/>
      <c r="AU604" s="63"/>
      <c r="BN604" s="64"/>
    </row>
    <row r="605" spans="13:66" ht="13.2" x14ac:dyDescent="0.25">
      <c r="M605" s="61"/>
      <c r="AT605" s="62"/>
      <c r="AU605" s="63"/>
      <c r="BN605" s="64"/>
    </row>
    <row r="606" spans="13:66" ht="13.2" x14ac:dyDescent="0.25">
      <c r="M606" s="61"/>
      <c r="AT606" s="62"/>
      <c r="AU606" s="63"/>
      <c r="BN606" s="64"/>
    </row>
    <row r="607" spans="13:66" ht="13.2" x14ac:dyDescent="0.25">
      <c r="M607" s="61"/>
      <c r="AT607" s="62"/>
      <c r="AU607" s="63"/>
      <c r="BN607" s="64"/>
    </row>
    <row r="608" spans="13:66" ht="13.2" x14ac:dyDescent="0.25">
      <c r="M608" s="61"/>
      <c r="AT608" s="62"/>
      <c r="AU608" s="63"/>
      <c r="BN608" s="64"/>
    </row>
    <row r="609" spans="13:66" ht="13.2" x14ac:dyDescent="0.25">
      <c r="M609" s="61"/>
      <c r="AT609" s="62"/>
      <c r="AU609" s="63"/>
      <c r="BN609" s="64"/>
    </row>
    <row r="610" spans="13:66" ht="13.2" x14ac:dyDescent="0.25">
      <c r="M610" s="61"/>
      <c r="AT610" s="62"/>
      <c r="AU610" s="63"/>
      <c r="BN610" s="64"/>
    </row>
    <row r="611" spans="13:66" ht="13.2" x14ac:dyDescent="0.25">
      <c r="M611" s="61"/>
      <c r="AT611" s="62"/>
      <c r="AU611" s="63"/>
      <c r="BN611" s="64"/>
    </row>
    <row r="612" spans="13:66" ht="13.2" x14ac:dyDescent="0.25">
      <c r="M612" s="61"/>
      <c r="AT612" s="62"/>
      <c r="AU612" s="63"/>
      <c r="BN612" s="64"/>
    </row>
    <row r="613" spans="13:66" ht="13.2" x14ac:dyDescent="0.25">
      <c r="M613" s="61"/>
      <c r="AT613" s="62"/>
      <c r="AU613" s="63"/>
      <c r="BN613" s="64"/>
    </row>
    <row r="614" spans="13:66" ht="13.2" x14ac:dyDescent="0.25">
      <c r="M614" s="61"/>
      <c r="AT614" s="62"/>
      <c r="AU614" s="63"/>
      <c r="BN614" s="64"/>
    </row>
    <row r="615" spans="13:66" ht="13.2" x14ac:dyDescent="0.25">
      <c r="M615" s="61"/>
      <c r="AT615" s="62"/>
      <c r="AU615" s="63"/>
      <c r="BN615" s="64"/>
    </row>
    <row r="616" spans="13:66" ht="13.2" x14ac:dyDescent="0.25">
      <c r="M616" s="61"/>
      <c r="AT616" s="62"/>
      <c r="AU616" s="63"/>
      <c r="BN616" s="64"/>
    </row>
    <row r="617" spans="13:66" ht="13.2" x14ac:dyDescent="0.25">
      <c r="M617" s="61"/>
      <c r="AT617" s="62"/>
      <c r="AU617" s="63"/>
      <c r="BN617" s="64"/>
    </row>
    <row r="618" spans="13:66" ht="13.2" x14ac:dyDescent="0.25">
      <c r="M618" s="61"/>
      <c r="AT618" s="62"/>
      <c r="AU618" s="63"/>
      <c r="BN618" s="64"/>
    </row>
    <row r="619" spans="13:66" ht="13.2" x14ac:dyDescent="0.25">
      <c r="M619" s="61"/>
      <c r="AT619" s="62"/>
      <c r="AU619" s="63"/>
      <c r="BN619" s="64"/>
    </row>
    <row r="620" spans="13:66" ht="13.2" x14ac:dyDescent="0.25">
      <c r="M620" s="61"/>
      <c r="AT620" s="62"/>
      <c r="AU620" s="63"/>
      <c r="BN620" s="64"/>
    </row>
    <row r="621" spans="13:66" ht="13.2" x14ac:dyDescent="0.25">
      <c r="M621" s="61"/>
      <c r="AT621" s="62"/>
      <c r="AU621" s="63"/>
      <c r="BN621" s="64"/>
    </row>
    <row r="622" spans="13:66" ht="13.2" x14ac:dyDescent="0.25">
      <c r="M622" s="61"/>
      <c r="AT622" s="62"/>
      <c r="AU622" s="63"/>
      <c r="BN622" s="64"/>
    </row>
    <row r="623" spans="13:66" ht="13.2" x14ac:dyDescent="0.25">
      <c r="M623" s="61"/>
      <c r="AT623" s="62"/>
      <c r="AU623" s="63"/>
      <c r="BN623" s="64"/>
    </row>
    <row r="624" spans="13:66" ht="13.2" x14ac:dyDescent="0.25">
      <c r="M624" s="61"/>
      <c r="AT624" s="62"/>
      <c r="AU624" s="63"/>
      <c r="BN624" s="64"/>
    </row>
    <row r="625" spans="13:66" ht="13.2" x14ac:dyDescent="0.25">
      <c r="M625" s="61"/>
      <c r="AT625" s="62"/>
      <c r="AU625" s="63"/>
      <c r="BN625" s="64"/>
    </row>
    <row r="626" spans="13:66" ht="13.2" x14ac:dyDescent="0.25">
      <c r="M626" s="61"/>
      <c r="AT626" s="62"/>
      <c r="AU626" s="63"/>
      <c r="BN626" s="64"/>
    </row>
    <row r="627" spans="13:66" ht="13.2" x14ac:dyDescent="0.25">
      <c r="M627" s="61"/>
      <c r="AT627" s="62"/>
      <c r="AU627" s="63"/>
      <c r="BN627" s="64"/>
    </row>
    <row r="628" spans="13:66" ht="13.2" x14ac:dyDescent="0.25">
      <c r="M628" s="61"/>
      <c r="AT628" s="62"/>
      <c r="AU628" s="63"/>
      <c r="BN628" s="64"/>
    </row>
    <row r="629" spans="13:66" ht="13.2" x14ac:dyDescent="0.25">
      <c r="M629" s="61"/>
      <c r="AT629" s="62"/>
      <c r="AU629" s="63"/>
      <c r="BN629" s="64"/>
    </row>
    <row r="630" spans="13:66" ht="13.2" x14ac:dyDescent="0.25">
      <c r="M630" s="61"/>
      <c r="AT630" s="62"/>
      <c r="AU630" s="63"/>
      <c r="BN630" s="64"/>
    </row>
    <row r="631" spans="13:66" ht="13.2" x14ac:dyDescent="0.25">
      <c r="M631" s="61"/>
      <c r="AT631" s="62"/>
      <c r="AU631" s="63"/>
      <c r="BN631" s="64"/>
    </row>
    <row r="632" spans="13:66" ht="13.2" x14ac:dyDescent="0.25">
      <c r="M632" s="61"/>
      <c r="AT632" s="62"/>
      <c r="AU632" s="63"/>
      <c r="BN632" s="64"/>
    </row>
    <row r="633" spans="13:66" ht="13.2" x14ac:dyDescent="0.25">
      <c r="M633" s="61"/>
      <c r="AT633" s="62"/>
      <c r="AU633" s="63"/>
      <c r="BN633" s="64"/>
    </row>
    <row r="634" spans="13:66" ht="13.2" x14ac:dyDescent="0.25">
      <c r="M634" s="61"/>
      <c r="AT634" s="62"/>
      <c r="AU634" s="63"/>
      <c r="BN634" s="64"/>
    </row>
    <row r="635" spans="13:66" ht="13.2" x14ac:dyDescent="0.25">
      <c r="M635" s="61"/>
      <c r="AT635" s="62"/>
      <c r="AU635" s="63"/>
      <c r="BN635" s="64"/>
    </row>
    <row r="636" spans="13:66" ht="13.2" x14ac:dyDescent="0.25">
      <c r="M636" s="61"/>
      <c r="AT636" s="62"/>
      <c r="AU636" s="63"/>
      <c r="BN636" s="64"/>
    </row>
    <row r="637" spans="13:66" ht="13.2" x14ac:dyDescent="0.25">
      <c r="M637" s="61"/>
      <c r="AT637" s="62"/>
      <c r="AU637" s="63"/>
      <c r="BN637" s="64"/>
    </row>
    <row r="638" spans="13:66" ht="13.2" x14ac:dyDescent="0.25">
      <c r="M638" s="61"/>
      <c r="AT638" s="62"/>
      <c r="AU638" s="63"/>
      <c r="BN638" s="64"/>
    </row>
    <row r="639" spans="13:66" ht="13.2" x14ac:dyDescent="0.25">
      <c r="M639" s="61"/>
      <c r="AT639" s="62"/>
      <c r="AU639" s="63"/>
      <c r="BN639" s="64"/>
    </row>
    <row r="640" spans="13:66" ht="13.2" x14ac:dyDescent="0.25">
      <c r="M640" s="61"/>
      <c r="AT640" s="62"/>
      <c r="AU640" s="63"/>
      <c r="BN640" s="64"/>
    </row>
    <row r="641" spans="13:66" ht="13.2" x14ac:dyDescent="0.25">
      <c r="M641" s="61"/>
      <c r="AT641" s="62"/>
      <c r="AU641" s="63"/>
      <c r="BN641" s="64"/>
    </row>
    <row r="642" spans="13:66" ht="13.2" x14ac:dyDescent="0.25">
      <c r="M642" s="61"/>
      <c r="AT642" s="62"/>
      <c r="AU642" s="63"/>
      <c r="BN642" s="64"/>
    </row>
    <row r="643" spans="13:66" ht="13.2" x14ac:dyDescent="0.25">
      <c r="M643" s="61"/>
      <c r="AT643" s="62"/>
      <c r="AU643" s="63"/>
      <c r="BN643" s="64"/>
    </row>
    <row r="644" spans="13:66" ht="13.2" x14ac:dyDescent="0.25">
      <c r="M644" s="61"/>
      <c r="AT644" s="62"/>
      <c r="AU644" s="63"/>
      <c r="BN644" s="64"/>
    </row>
    <row r="645" spans="13:66" ht="13.2" x14ac:dyDescent="0.25">
      <c r="M645" s="61"/>
      <c r="AT645" s="62"/>
      <c r="AU645" s="63"/>
      <c r="BN645" s="64"/>
    </row>
    <row r="646" spans="13:66" ht="13.2" x14ac:dyDescent="0.25">
      <c r="M646" s="61"/>
      <c r="AT646" s="62"/>
      <c r="AU646" s="63"/>
      <c r="BN646" s="64"/>
    </row>
    <row r="647" spans="13:66" ht="13.2" x14ac:dyDescent="0.25">
      <c r="M647" s="61"/>
      <c r="AT647" s="62"/>
      <c r="AU647" s="63"/>
      <c r="BN647" s="64"/>
    </row>
    <row r="648" spans="13:66" ht="13.2" x14ac:dyDescent="0.25">
      <c r="M648" s="61"/>
      <c r="AT648" s="62"/>
      <c r="AU648" s="63"/>
      <c r="BN648" s="64"/>
    </row>
    <row r="649" spans="13:66" ht="13.2" x14ac:dyDescent="0.25">
      <c r="M649" s="61"/>
      <c r="AT649" s="62"/>
      <c r="AU649" s="63"/>
      <c r="BN649" s="64"/>
    </row>
    <row r="650" spans="13:66" ht="13.2" x14ac:dyDescent="0.25">
      <c r="M650" s="61"/>
      <c r="AT650" s="62"/>
      <c r="AU650" s="63"/>
      <c r="BN650" s="64"/>
    </row>
    <row r="651" spans="13:66" ht="13.2" x14ac:dyDescent="0.25">
      <c r="M651" s="61"/>
      <c r="AT651" s="62"/>
      <c r="AU651" s="63"/>
      <c r="BN651" s="64"/>
    </row>
    <row r="652" spans="13:66" ht="13.2" x14ac:dyDescent="0.25">
      <c r="M652" s="61"/>
      <c r="AT652" s="62"/>
      <c r="AU652" s="63"/>
      <c r="BN652" s="64"/>
    </row>
    <row r="653" spans="13:66" ht="13.2" x14ac:dyDescent="0.25">
      <c r="M653" s="61"/>
      <c r="AT653" s="62"/>
      <c r="AU653" s="63"/>
      <c r="BN653" s="64"/>
    </row>
    <row r="654" spans="13:66" ht="13.2" x14ac:dyDescent="0.25">
      <c r="M654" s="61"/>
      <c r="AT654" s="62"/>
      <c r="AU654" s="63"/>
      <c r="BN654" s="64"/>
    </row>
    <row r="655" spans="13:66" ht="13.2" x14ac:dyDescent="0.25">
      <c r="M655" s="61"/>
      <c r="AT655" s="62"/>
      <c r="AU655" s="63"/>
      <c r="BN655" s="64"/>
    </row>
    <row r="656" spans="13:66" ht="13.2" x14ac:dyDescent="0.25">
      <c r="M656" s="61"/>
      <c r="AT656" s="62"/>
      <c r="AU656" s="63"/>
      <c r="BN656" s="64"/>
    </row>
    <row r="657" spans="13:66" ht="13.2" x14ac:dyDescent="0.25">
      <c r="M657" s="61"/>
      <c r="AT657" s="62"/>
      <c r="AU657" s="63"/>
      <c r="BN657" s="64"/>
    </row>
    <row r="658" spans="13:66" ht="13.2" x14ac:dyDescent="0.25">
      <c r="M658" s="61"/>
      <c r="AT658" s="62"/>
      <c r="AU658" s="63"/>
      <c r="BN658" s="64"/>
    </row>
    <row r="659" spans="13:66" ht="13.2" x14ac:dyDescent="0.25">
      <c r="M659" s="61"/>
      <c r="AT659" s="62"/>
      <c r="AU659" s="63"/>
      <c r="BN659" s="64"/>
    </row>
    <row r="660" spans="13:66" ht="13.2" x14ac:dyDescent="0.25">
      <c r="M660" s="61"/>
      <c r="AT660" s="62"/>
      <c r="AU660" s="63"/>
      <c r="BN660" s="64"/>
    </row>
    <row r="661" spans="13:66" ht="13.2" x14ac:dyDescent="0.25">
      <c r="M661" s="61"/>
      <c r="AT661" s="62"/>
      <c r="AU661" s="63"/>
      <c r="BN661" s="64"/>
    </row>
    <row r="662" spans="13:66" ht="13.2" x14ac:dyDescent="0.25">
      <c r="M662" s="61"/>
      <c r="AT662" s="62"/>
      <c r="AU662" s="63"/>
      <c r="BN662" s="64"/>
    </row>
    <row r="663" spans="13:66" ht="13.2" x14ac:dyDescent="0.25">
      <c r="M663" s="61"/>
      <c r="AT663" s="62"/>
      <c r="AU663" s="63"/>
      <c r="BN663" s="64"/>
    </row>
    <row r="664" spans="13:66" ht="13.2" x14ac:dyDescent="0.25">
      <c r="M664" s="61"/>
      <c r="AT664" s="62"/>
      <c r="AU664" s="63"/>
      <c r="BN664" s="64"/>
    </row>
    <row r="665" spans="13:66" ht="13.2" x14ac:dyDescent="0.25">
      <c r="M665" s="61"/>
      <c r="AT665" s="62"/>
      <c r="AU665" s="63"/>
      <c r="BN665" s="64"/>
    </row>
    <row r="666" spans="13:66" ht="13.2" x14ac:dyDescent="0.25">
      <c r="M666" s="61"/>
      <c r="AT666" s="62"/>
      <c r="AU666" s="63"/>
      <c r="BN666" s="64"/>
    </row>
    <row r="667" spans="13:66" ht="13.2" x14ac:dyDescent="0.25">
      <c r="M667" s="61"/>
      <c r="AT667" s="62"/>
      <c r="AU667" s="63"/>
      <c r="BN667" s="64"/>
    </row>
    <row r="668" spans="13:66" ht="13.2" x14ac:dyDescent="0.25">
      <c r="M668" s="61"/>
      <c r="AT668" s="62"/>
      <c r="AU668" s="63"/>
      <c r="BN668" s="64"/>
    </row>
    <row r="669" spans="13:66" ht="13.2" x14ac:dyDescent="0.25">
      <c r="M669" s="61"/>
      <c r="AT669" s="62"/>
      <c r="AU669" s="63"/>
      <c r="BN669" s="64"/>
    </row>
    <row r="670" spans="13:66" ht="13.2" x14ac:dyDescent="0.25">
      <c r="M670" s="61"/>
      <c r="AT670" s="62"/>
      <c r="AU670" s="63"/>
      <c r="BN670" s="64"/>
    </row>
    <row r="671" spans="13:66" ht="13.2" x14ac:dyDescent="0.25">
      <c r="M671" s="61"/>
      <c r="AT671" s="62"/>
      <c r="AU671" s="63"/>
      <c r="BN671" s="64"/>
    </row>
    <row r="672" spans="13:66" ht="13.2" x14ac:dyDescent="0.25">
      <c r="M672" s="61"/>
      <c r="AT672" s="62"/>
      <c r="AU672" s="63"/>
      <c r="BN672" s="64"/>
    </row>
    <row r="673" spans="13:66" ht="13.2" x14ac:dyDescent="0.25">
      <c r="M673" s="61"/>
      <c r="AT673" s="62"/>
      <c r="AU673" s="63"/>
      <c r="BN673" s="64"/>
    </row>
    <row r="674" spans="13:66" ht="13.2" x14ac:dyDescent="0.25">
      <c r="M674" s="61"/>
      <c r="AT674" s="62"/>
      <c r="AU674" s="63"/>
      <c r="BN674" s="64"/>
    </row>
    <row r="675" spans="13:66" ht="13.2" x14ac:dyDescent="0.25">
      <c r="M675" s="61"/>
      <c r="AT675" s="62"/>
      <c r="AU675" s="63"/>
      <c r="BN675" s="64"/>
    </row>
    <row r="676" spans="13:66" ht="13.2" x14ac:dyDescent="0.25">
      <c r="M676" s="61"/>
      <c r="AT676" s="62"/>
      <c r="AU676" s="63"/>
      <c r="BN676" s="64"/>
    </row>
    <row r="677" spans="13:66" ht="13.2" x14ac:dyDescent="0.25">
      <c r="M677" s="61"/>
      <c r="AT677" s="62"/>
      <c r="AU677" s="63"/>
      <c r="BN677" s="64"/>
    </row>
    <row r="678" spans="13:66" ht="13.2" x14ac:dyDescent="0.25">
      <c r="M678" s="61"/>
      <c r="AT678" s="62"/>
      <c r="AU678" s="63"/>
      <c r="BN678" s="64"/>
    </row>
    <row r="679" spans="13:66" ht="13.2" x14ac:dyDescent="0.25">
      <c r="M679" s="61"/>
      <c r="AT679" s="62"/>
      <c r="AU679" s="63"/>
      <c r="BN679" s="64"/>
    </row>
    <row r="680" spans="13:66" ht="13.2" x14ac:dyDescent="0.25">
      <c r="M680" s="61"/>
      <c r="AT680" s="62"/>
      <c r="AU680" s="63"/>
      <c r="BN680" s="64"/>
    </row>
    <row r="681" spans="13:66" ht="13.2" x14ac:dyDescent="0.25">
      <c r="M681" s="61"/>
      <c r="AT681" s="62"/>
      <c r="AU681" s="63"/>
      <c r="BN681" s="64"/>
    </row>
    <row r="682" spans="13:66" ht="13.2" x14ac:dyDescent="0.25">
      <c r="M682" s="61"/>
      <c r="AT682" s="62"/>
      <c r="AU682" s="63"/>
      <c r="BN682" s="64"/>
    </row>
    <row r="683" spans="13:66" ht="13.2" x14ac:dyDescent="0.25">
      <c r="M683" s="61"/>
      <c r="AT683" s="62"/>
      <c r="AU683" s="63"/>
      <c r="BN683" s="64"/>
    </row>
    <row r="684" spans="13:66" ht="13.2" x14ac:dyDescent="0.25">
      <c r="M684" s="61"/>
      <c r="AT684" s="62"/>
      <c r="AU684" s="63"/>
      <c r="BN684" s="64"/>
    </row>
    <row r="685" spans="13:66" ht="13.2" x14ac:dyDescent="0.25">
      <c r="M685" s="61"/>
      <c r="AT685" s="62"/>
      <c r="AU685" s="63"/>
      <c r="BN685" s="64"/>
    </row>
    <row r="686" spans="13:66" ht="13.2" x14ac:dyDescent="0.25">
      <c r="M686" s="61"/>
      <c r="AT686" s="62"/>
      <c r="AU686" s="63"/>
      <c r="BN686" s="64"/>
    </row>
    <row r="687" spans="13:66" ht="13.2" x14ac:dyDescent="0.25">
      <c r="M687" s="61"/>
      <c r="AT687" s="62"/>
      <c r="AU687" s="63"/>
      <c r="BN687" s="64"/>
    </row>
    <row r="688" spans="13:66" ht="13.2" x14ac:dyDescent="0.25">
      <c r="M688" s="61"/>
      <c r="AT688" s="62"/>
      <c r="AU688" s="63"/>
      <c r="BN688" s="64"/>
    </row>
    <row r="689" spans="13:66" ht="13.2" x14ac:dyDescent="0.25">
      <c r="M689" s="61"/>
      <c r="AT689" s="62"/>
      <c r="AU689" s="63"/>
      <c r="BN689" s="64"/>
    </row>
    <row r="690" spans="13:66" ht="13.2" x14ac:dyDescent="0.25">
      <c r="M690" s="61"/>
      <c r="AT690" s="62"/>
      <c r="AU690" s="63"/>
      <c r="BN690" s="64"/>
    </row>
    <row r="691" spans="13:66" ht="13.2" x14ac:dyDescent="0.25">
      <c r="M691" s="61"/>
      <c r="AT691" s="62"/>
      <c r="AU691" s="63"/>
      <c r="BN691" s="64"/>
    </row>
    <row r="692" spans="13:66" ht="13.2" x14ac:dyDescent="0.25">
      <c r="M692" s="61"/>
      <c r="AT692" s="62"/>
      <c r="AU692" s="63"/>
      <c r="BN692" s="64"/>
    </row>
    <row r="693" spans="13:66" ht="13.2" x14ac:dyDescent="0.25">
      <c r="M693" s="61"/>
      <c r="AT693" s="62"/>
      <c r="AU693" s="63"/>
      <c r="BN693" s="64"/>
    </row>
    <row r="694" spans="13:66" ht="13.2" x14ac:dyDescent="0.25">
      <c r="M694" s="61"/>
      <c r="AT694" s="62"/>
      <c r="AU694" s="63"/>
      <c r="BN694" s="64"/>
    </row>
    <row r="695" spans="13:66" ht="13.2" x14ac:dyDescent="0.25">
      <c r="M695" s="61"/>
      <c r="AT695" s="62"/>
      <c r="AU695" s="63"/>
      <c r="BN695" s="64"/>
    </row>
    <row r="696" spans="13:66" ht="13.2" x14ac:dyDescent="0.25">
      <c r="M696" s="61"/>
      <c r="AT696" s="62"/>
      <c r="AU696" s="63"/>
      <c r="BN696" s="64"/>
    </row>
    <row r="697" spans="13:66" ht="13.2" x14ac:dyDescent="0.25">
      <c r="M697" s="61"/>
      <c r="AT697" s="62"/>
      <c r="AU697" s="63"/>
      <c r="BN697" s="64"/>
    </row>
    <row r="698" spans="13:66" ht="13.2" x14ac:dyDescent="0.25">
      <c r="M698" s="61"/>
      <c r="AT698" s="62"/>
      <c r="AU698" s="63"/>
      <c r="BN698" s="64"/>
    </row>
    <row r="699" spans="13:66" ht="13.2" x14ac:dyDescent="0.25">
      <c r="M699" s="61"/>
      <c r="AT699" s="62"/>
      <c r="AU699" s="63"/>
      <c r="BN699" s="64"/>
    </row>
    <row r="700" spans="13:66" ht="13.2" x14ac:dyDescent="0.25">
      <c r="M700" s="61"/>
      <c r="AT700" s="62"/>
      <c r="AU700" s="63"/>
      <c r="BN700" s="64"/>
    </row>
    <row r="701" spans="13:66" ht="13.2" x14ac:dyDescent="0.25">
      <c r="M701" s="61"/>
      <c r="AT701" s="62"/>
      <c r="AU701" s="63"/>
      <c r="BN701" s="64"/>
    </row>
    <row r="702" spans="13:66" ht="13.2" x14ac:dyDescent="0.25">
      <c r="M702" s="61"/>
      <c r="AT702" s="62"/>
      <c r="AU702" s="63"/>
      <c r="BN702" s="64"/>
    </row>
    <row r="703" spans="13:66" ht="13.2" x14ac:dyDescent="0.25">
      <c r="M703" s="61"/>
      <c r="AT703" s="62"/>
      <c r="AU703" s="63"/>
      <c r="BN703" s="64"/>
    </row>
    <row r="704" spans="13:66" ht="13.2" x14ac:dyDescent="0.25">
      <c r="M704" s="61"/>
      <c r="AT704" s="62"/>
      <c r="AU704" s="63"/>
      <c r="BN704" s="64"/>
    </row>
    <row r="705" spans="13:66" ht="13.2" x14ac:dyDescent="0.25">
      <c r="M705" s="61"/>
      <c r="AT705" s="62"/>
      <c r="AU705" s="63"/>
      <c r="BN705" s="64"/>
    </row>
    <row r="706" spans="13:66" ht="13.2" x14ac:dyDescent="0.25">
      <c r="M706" s="61"/>
      <c r="AT706" s="62"/>
      <c r="AU706" s="63"/>
      <c r="BN706" s="64"/>
    </row>
    <row r="707" spans="13:66" ht="13.2" x14ac:dyDescent="0.25">
      <c r="M707" s="61"/>
      <c r="AT707" s="62"/>
      <c r="AU707" s="63"/>
      <c r="BN707" s="64"/>
    </row>
    <row r="708" spans="13:66" ht="13.2" x14ac:dyDescent="0.25">
      <c r="M708" s="61"/>
      <c r="AT708" s="62"/>
      <c r="AU708" s="63"/>
      <c r="BN708" s="64"/>
    </row>
    <row r="709" spans="13:66" ht="13.2" x14ac:dyDescent="0.25">
      <c r="M709" s="61"/>
      <c r="AT709" s="62"/>
      <c r="AU709" s="63"/>
      <c r="BN709" s="64"/>
    </row>
    <row r="710" spans="13:66" ht="13.2" x14ac:dyDescent="0.25">
      <c r="M710" s="61"/>
      <c r="AT710" s="62"/>
      <c r="AU710" s="63"/>
      <c r="BN710" s="64"/>
    </row>
    <row r="711" spans="13:66" ht="13.2" x14ac:dyDescent="0.25">
      <c r="M711" s="61"/>
      <c r="AT711" s="62"/>
      <c r="AU711" s="63"/>
      <c r="BN711" s="64"/>
    </row>
    <row r="712" spans="13:66" ht="13.2" x14ac:dyDescent="0.25">
      <c r="M712" s="61"/>
      <c r="AT712" s="62"/>
      <c r="AU712" s="63"/>
      <c r="BN712" s="64"/>
    </row>
    <row r="713" spans="13:66" ht="13.2" x14ac:dyDescent="0.25">
      <c r="M713" s="61"/>
      <c r="AT713" s="62"/>
      <c r="AU713" s="63"/>
      <c r="BN713" s="64"/>
    </row>
    <row r="714" spans="13:66" ht="13.2" x14ac:dyDescent="0.25">
      <c r="M714" s="61"/>
      <c r="AT714" s="62"/>
      <c r="AU714" s="63"/>
      <c r="BN714" s="64"/>
    </row>
    <row r="715" spans="13:66" ht="13.2" x14ac:dyDescent="0.25">
      <c r="M715" s="61"/>
      <c r="AT715" s="62"/>
      <c r="AU715" s="63"/>
      <c r="BN715" s="64"/>
    </row>
    <row r="716" spans="13:66" ht="13.2" x14ac:dyDescent="0.25">
      <c r="M716" s="61"/>
      <c r="AT716" s="62"/>
      <c r="AU716" s="63"/>
      <c r="BN716" s="64"/>
    </row>
    <row r="717" spans="13:66" ht="13.2" x14ac:dyDescent="0.25">
      <c r="M717" s="61"/>
      <c r="AT717" s="62"/>
      <c r="AU717" s="63"/>
      <c r="BN717" s="64"/>
    </row>
    <row r="718" spans="13:66" ht="13.2" x14ac:dyDescent="0.25">
      <c r="M718" s="61"/>
      <c r="AT718" s="62"/>
      <c r="AU718" s="63"/>
      <c r="BN718" s="64"/>
    </row>
    <row r="719" spans="13:66" ht="13.2" x14ac:dyDescent="0.25">
      <c r="M719" s="61"/>
      <c r="AT719" s="62"/>
      <c r="AU719" s="63"/>
      <c r="BN719" s="64"/>
    </row>
    <row r="720" spans="13:66" ht="13.2" x14ac:dyDescent="0.25">
      <c r="M720" s="61"/>
      <c r="AT720" s="62"/>
      <c r="AU720" s="63"/>
      <c r="BN720" s="64"/>
    </row>
    <row r="721" spans="13:66" ht="13.2" x14ac:dyDescent="0.25">
      <c r="M721" s="61"/>
      <c r="AT721" s="62"/>
      <c r="AU721" s="63"/>
      <c r="BN721" s="64"/>
    </row>
    <row r="722" spans="13:66" ht="13.2" x14ac:dyDescent="0.25">
      <c r="M722" s="61"/>
      <c r="AT722" s="62"/>
      <c r="AU722" s="63"/>
      <c r="BN722" s="64"/>
    </row>
    <row r="723" spans="13:66" ht="13.2" x14ac:dyDescent="0.25">
      <c r="M723" s="61"/>
      <c r="AT723" s="62"/>
      <c r="AU723" s="63"/>
      <c r="BN723" s="64"/>
    </row>
    <row r="724" spans="13:66" ht="13.2" x14ac:dyDescent="0.25">
      <c r="M724" s="61"/>
      <c r="AT724" s="62"/>
      <c r="AU724" s="63"/>
      <c r="BN724" s="64"/>
    </row>
    <row r="725" spans="13:66" ht="13.2" x14ac:dyDescent="0.25">
      <c r="M725" s="61"/>
      <c r="AT725" s="62"/>
      <c r="AU725" s="63"/>
      <c r="BN725" s="64"/>
    </row>
    <row r="726" spans="13:66" ht="13.2" x14ac:dyDescent="0.25">
      <c r="M726" s="61"/>
      <c r="AT726" s="62"/>
      <c r="AU726" s="63"/>
      <c r="BN726" s="64"/>
    </row>
    <row r="727" spans="13:66" ht="13.2" x14ac:dyDescent="0.25">
      <c r="M727" s="61"/>
      <c r="AT727" s="62"/>
      <c r="AU727" s="63"/>
      <c r="BN727" s="64"/>
    </row>
    <row r="728" spans="13:66" ht="13.2" x14ac:dyDescent="0.25">
      <c r="M728" s="61"/>
      <c r="AT728" s="62"/>
      <c r="AU728" s="63"/>
      <c r="BN728" s="64"/>
    </row>
    <row r="729" spans="13:66" ht="13.2" x14ac:dyDescent="0.25">
      <c r="M729" s="61"/>
      <c r="AT729" s="62"/>
      <c r="AU729" s="63"/>
      <c r="BN729" s="64"/>
    </row>
    <row r="730" spans="13:66" ht="13.2" x14ac:dyDescent="0.25">
      <c r="M730" s="61"/>
      <c r="AT730" s="62"/>
      <c r="AU730" s="63"/>
      <c r="BN730" s="64"/>
    </row>
    <row r="731" spans="13:66" ht="13.2" x14ac:dyDescent="0.25">
      <c r="M731" s="61"/>
      <c r="AT731" s="62"/>
      <c r="AU731" s="63"/>
      <c r="BN731" s="64"/>
    </row>
    <row r="732" spans="13:66" ht="13.2" x14ac:dyDescent="0.25">
      <c r="M732" s="61"/>
      <c r="AT732" s="62"/>
      <c r="AU732" s="63"/>
      <c r="BN732" s="64"/>
    </row>
    <row r="733" spans="13:66" ht="13.2" x14ac:dyDescent="0.25">
      <c r="M733" s="61"/>
      <c r="AT733" s="62"/>
      <c r="AU733" s="63"/>
      <c r="BN733" s="64"/>
    </row>
    <row r="734" spans="13:66" ht="13.2" x14ac:dyDescent="0.25">
      <c r="M734" s="61"/>
      <c r="AT734" s="62"/>
      <c r="AU734" s="63"/>
      <c r="BN734" s="64"/>
    </row>
    <row r="735" spans="13:66" ht="13.2" x14ac:dyDescent="0.25">
      <c r="M735" s="61"/>
      <c r="AT735" s="62"/>
      <c r="AU735" s="63"/>
      <c r="BN735" s="64"/>
    </row>
    <row r="736" spans="13:66" ht="13.2" x14ac:dyDescent="0.25">
      <c r="M736" s="61"/>
      <c r="AT736" s="62"/>
      <c r="AU736" s="63"/>
      <c r="BN736" s="64"/>
    </row>
    <row r="737" spans="13:66" ht="13.2" x14ac:dyDescent="0.25">
      <c r="M737" s="61"/>
      <c r="AT737" s="62"/>
      <c r="AU737" s="63"/>
      <c r="BN737" s="64"/>
    </row>
    <row r="738" spans="13:66" ht="13.2" x14ac:dyDescent="0.25">
      <c r="M738" s="61"/>
      <c r="AT738" s="62"/>
      <c r="AU738" s="63"/>
      <c r="BN738" s="64"/>
    </row>
    <row r="739" spans="13:66" ht="13.2" x14ac:dyDescent="0.25">
      <c r="M739" s="61"/>
      <c r="AT739" s="62"/>
      <c r="AU739" s="63"/>
      <c r="BN739" s="64"/>
    </row>
    <row r="740" spans="13:66" ht="13.2" x14ac:dyDescent="0.25">
      <c r="M740" s="61"/>
      <c r="AT740" s="62"/>
      <c r="AU740" s="63"/>
      <c r="BN740" s="64"/>
    </row>
    <row r="741" spans="13:66" ht="13.2" x14ac:dyDescent="0.25">
      <c r="M741" s="61"/>
      <c r="AT741" s="62"/>
      <c r="AU741" s="63"/>
      <c r="BN741" s="64"/>
    </row>
    <row r="742" spans="13:66" ht="13.2" x14ac:dyDescent="0.25">
      <c r="M742" s="61"/>
      <c r="AT742" s="62"/>
      <c r="AU742" s="63"/>
      <c r="BN742" s="64"/>
    </row>
    <row r="743" spans="13:66" ht="13.2" x14ac:dyDescent="0.25">
      <c r="M743" s="61"/>
      <c r="AT743" s="62"/>
      <c r="AU743" s="63"/>
      <c r="BN743" s="64"/>
    </row>
    <row r="744" spans="13:66" ht="13.2" x14ac:dyDescent="0.25">
      <c r="M744" s="61"/>
      <c r="AT744" s="62"/>
      <c r="AU744" s="63"/>
      <c r="BN744" s="64"/>
    </row>
    <row r="745" spans="13:66" ht="13.2" x14ac:dyDescent="0.25">
      <c r="M745" s="61"/>
      <c r="AT745" s="62"/>
      <c r="AU745" s="63"/>
      <c r="BN745" s="64"/>
    </row>
    <row r="746" spans="13:66" ht="13.2" x14ac:dyDescent="0.25">
      <c r="M746" s="61"/>
      <c r="AT746" s="62"/>
      <c r="AU746" s="63"/>
      <c r="BN746" s="64"/>
    </row>
    <row r="747" spans="13:66" ht="13.2" x14ac:dyDescent="0.25">
      <c r="M747" s="61"/>
      <c r="AT747" s="62"/>
      <c r="AU747" s="63"/>
      <c r="BN747" s="64"/>
    </row>
    <row r="748" spans="13:66" ht="13.2" x14ac:dyDescent="0.25">
      <c r="M748" s="61"/>
      <c r="AT748" s="62"/>
      <c r="AU748" s="63"/>
      <c r="BN748" s="64"/>
    </row>
    <row r="749" spans="13:66" ht="13.2" x14ac:dyDescent="0.25">
      <c r="M749" s="61"/>
      <c r="AT749" s="62"/>
      <c r="AU749" s="63"/>
      <c r="BN749" s="64"/>
    </row>
    <row r="750" spans="13:66" ht="13.2" x14ac:dyDescent="0.25">
      <c r="M750" s="61"/>
      <c r="AT750" s="62"/>
      <c r="AU750" s="63"/>
      <c r="BN750" s="64"/>
    </row>
    <row r="751" spans="13:66" ht="13.2" x14ac:dyDescent="0.25">
      <c r="M751" s="61"/>
      <c r="AT751" s="62"/>
      <c r="AU751" s="63"/>
      <c r="BN751" s="64"/>
    </row>
    <row r="752" spans="13:66" ht="13.2" x14ac:dyDescent="0.25">
      <c r="M752" s="61"/>
      <c r="AT752" s="62"/>
      <c r="AU752" s="63"/>
      <c r="BN752" s="64"/>
    </row>
    <row r="753" spans="13:66" ht="13.2" x14ac:dyDescent="0.25">
      <c r="M753" s="61"/>
      <c r="AT753" s="62"/>
      <c r="AU753" s="63"/>
      <c r="BN753" s="64"/>
    </row>
    <row r="754" spans="13:66" ht="13.2" x14ac:dyDescent="0.25">
      <c r="M754" s="61"/>
      <c r="AT754" s="62"/>
      <c r="AU754" s="63"/>
      <c r="BN754" s="64"/>
    </row>
    <row r="755" spans="13:66" ht="13.2" x14ac:dyDescent="0.25">
      <c r="M755" s="61"/>
      <c r="AT755" s="62"/>
      <c r="AU755" s="63"/>
      <c r="BN755" s="64"/>
    </row>
    <row r="756" spans="13:66" ht="13.2" x14ac:dyDescent="0.25">
      <c r="M756" s="61"/>
      <c r="AT756" s="62"/>
      <c r="AU756" s="63"/>
      <c r="BN756" s="64"/>
    </row>
    <row r="757" spans="13:66" ht="13.2" x14ac:dyDescent="0.25">
      <c r="M757" s="61"/>
      <c r="AT757" s="62"/>
      <c r="AU757" s="63"/>
      <c r="BN757" s="64"/>
    </row>
    <row r="758" spans="13:66" ht="13.2" x14ac:dyDescent="0.25">
      <c r="M758" s="61"/>
      <c r="AT758" s="62"/>
      <c r="AU758" s="63"/>
      <c r="BN758" s="64"/>
    </row>
    <row r="759" spans="13:66" ht="13.2" x14ac:dyDescent="0.25">
      <c r="M759" s="61"/>
      <c r="AT759" s="62"/>
      <c r="AU759" s="63"/>
      <c r="BN759" s="64"/>
    </row>
    <row r="760" spans="13:66" ht="13.2" x14ac:dyDescent="0.25">
      <c r="M760" s="61"/>
      <c r="AT760" s="62"/>
      <c r="AU760" s="63"/>
      <c r="BN760" s="64"/>
    </row>
    <row r="761" spans="13:66" ht="13.2" x14ac:dyDescent="0.25">
      <c r="M761" s="61"/>
      <c r="AT761" s="62"/>
      <c r="AU761" s="63"/>
      <c r="BN761" s="64"/>
    </row>
    <row r="762" spans="13:66" ht="13.2" x14ac:dyDescent="0.25">
      <c r="M762" s="61"/>
      <c r="AT762" s="62"/>
      <c r="AU762" s="63"/>
      <c r="BN762" s="64"/>
    </row>
    <row r="763" spans="13:66" ht="13.2" x14ac:dyDescent="0.25">
      <c r="M763" s="61"/>
      <c r="AT763" s="62"/>
      <c r="AU763" s="63"/>
      <c r="BN763" s="64"/>
    </row>
    <row r="764" spans="13:66" ht="13.2" x14ac:dyDescent="0.25">
      <c r="M764" s="61"/>
      <c r="AT764" s="62"/>
      <c r="AU764" s="63"/>
      <c r="BN764" s="64"/>
    </row>
    <row r="765" spans="13:66" ht="13.2" x14ac:dyDescent="0.25">
      <c r="M765" s="61"/>
      <c r="AT765" s="62"/>
      <c r="AU765" s="63"/>
      <c r="BN765" s="64"/>
    </row>
    <row r="766" spans="13:66" ht="13.2" x14ac:dyDescent="0.25">
      <c r="M766" s="61"/>
      <c r="AT766" s="62"/>
      <c r="AU766" s="63"/>
      <c r="BN766" s="64"/>
    </row>
    <row r="767" spans="13:66" ht="13.2" x14ac:dyDescent="0.25">
      <c r="M767" s="61"/>
      <c r="AT767" s="62"/>
      <c r="AU767" s="63"/>
      <c r="BN767" s="64"/>
    </row>
    <row r="768" spans="13:66" ht="13.2" x14ac:dyDescent="0.25">
      <c r="M768" s="61"/>
      <c r="AT768" s="62"/>
      <c r="AU768" s="63"/>
      <c r="BN768" s="64"/>
    </row>
    <row r="769" spans="13:66" ht="13.2" x14ac:dyDescent="0.25">
      <c r="M769" s="61"/>
      <c r="AT769" s="62"/>
      <c r="AU769" s="63"/>
      <c r="BN769" s="64"/>
    </row>
    <row r="770" spans="13:66" ht="13.2" x14ac:dyDescent="0.25">
      <c r="M770" s="61"/>
      <c r="AT770" s="62"/>
      <c r="AU770" s="63"/>
      <c r="BN770" s="64"/>
    </row>
    <row r="771" spans="13:66" ht="13.2" x14ac:dyDescent="0.25">
      <c r="M771" s="61"/>
      <c r="AT771" s="62"/>
      <c r="AU771" s="63"/>
      <c r="BN771" s="64"/>
    </row>
    <row r="772" spans="13:66" ht="13.2" x14ac:dyDescent="0.25">
      <c r="M772" s="61"/>
      <c r="AT772" s="62"/>
      <c r="AU772" s="63"/>
      <c r="BN772" s="64"/>
    </row>
    <row r="773" spans="13:66" ht="13.2" x14ac:dyDescent="0.25">
      <c r="M773" s="61"/>
      <c r="AT773" s="62"/>
      <c r="AU773" s="63"/>
      <c r="BN773" s="64"/>
    </row>
    <row r="774" spans="13:66" ht="13.2" x14ac:dyDescent="0.25">
      <c r="M774" s="61"/>
      <c r="AT774" s="62"/>
      <c r="AU774" s="63"/>
      <c r="BN774" s="64"/>
    </row>
    <row r="775" spans="13:66" ht="13.2" x14ac:dyDescent="0.25">
      <c r="M775" s="61"/>
      <c r="AT775" s="62"/>
      <c r="AU775" s="63"/>
      <c r="BN775" s="64"/>
    </row>
    <row r="776" spans="13:66" ht="13.2" x14ac:dyDescent="0.25">
      <c r="M776" s="61"/>
      <c r="AT776" s="62"/>
      <c r="AU776" s="63"/>
      <c r="BN776" s="64"/>
    </row>
    <row r="777" spans="13:66" ht="13.2" x14ac:dyDescent="0.25">
      <c r="M777" s="61"/>
      <c r="AT777" s="62"/>
      <c r="AU777" s="63"/>
      <c r="BN777" s="64"/>
    </row>
    <row r="778" spans="13:66" ht="13.2" x14ac:dyDescent="0.25">
      <c r="M778" s="61"/>
      <c r="AT778" s="62"/>
      <c r="AU778" s="63"/>
      <c r="BN778" s="64"/>
    </row>
    <row r="779" spans="13:66" ht="13.2" x14ac:dyDescent="0.25">
      <c r="M779" s="61"/>
      <c r="AT779" s="62"/>
      <c r="AU779" s="63"/>
      <c r="BN779" s="64"/>
    </row>
    <row r="780" spans="13:66" ht="13.2" x14ac:dyDescent="0.25">
      <c r="M780" s="61"/>
      <c r="AT780" s="62"/>
      <c r="AU780" s="63"/>
      <c r="BN780" s="64"/>
    </row>
    <row r="781" spans="13:66" ht="13.2" x14ac:dyDescent="0.25">
      <c r="M781" s="61"/>
      <c r="AT781" s="62"/>
      <c r="AU781" s="63"/>
      <c r="BN781" s="64"/>
    </row>
    <row r="782" spans="13:66" ht="13.2" x14ac:dyDescent="0.25">
      <c r="M782" s="61"/>
      <c r="AT782" s="62"/>
      <c r="AU782" s="63"/>
      <c r="BN782" s="64"/>
    </row>
    <row r="783" spans="13:66" ht="13.2" x14ac:dyDescent="0.25">
      <c r="M783" s="61"/>
      <c r="AT783" s="62"/>
      <c r="AU783" s="63"/>
      <c r="BN783" s="64"/>
    </row>
    <row r="784" spans="13:66" ht="13.2" x14ac:dyDescent="0.25">
      <c r="M784" s="61"/>
      <c r="AT784" s="62"/>
      <c r="AU784" s="63"/>
      <c r="BN784" s="64"/>
    </row>
    <row r="785" spans="13:66" ht="13.2" x14ac:dyDescent="0.25">
      <c r="M785" s="61"/>
      <c r="AT785" s="62"/>
      <c r="AU785" s="63"/>
      <c r="BN785" s="64"/>
    </row>
    <row r="786" spans="13:66" ht="13.2" x14ac:dyDescent="0.25">
      <c r="M786" s="61"/>
      <c r="AT786" s="62"/>
      <c r="AU786" s="63"/>
      <c r="BN786" s="64"/>
    </row>
    <row r="787" spans="13:66" ht="13.2" x14ac:dyDescent="0.25">
      <c r="M787" s="61"/>
      <c r="AT787" s="62"/>
      <c r="AU787" s="63"/>
      <c r="BN787" s="64"/>
    </row>
    <row r="788" spans="13:66" ht="13.2" x14ac:dyDescent="0.25">
      <c r="M788" s="61"/>
      <c r="AT788" s="62"/>
      <c r="AU788" s="63"/>
      <c r="BN788" s="64"/>
    </row>
    <row r="789" spans="13:66" ht="13.2" x14ac:dyDescent="0.25">
      <c r="M789" s="61"/>
      <c r="AT789" s="62"/>
      <c r="AU789" s="63"/>
      <c r="BN789" s="64"/>
    </row>
    <row r="790" spans="13:66" ht="13.2" x14ac:dyDescent="0.25">
      <c r="M790" s="61"/>
      <c r="AT790" s="62"/>
      <c r="AU790" s="63"/>
      <c r="BN790" s="64"/>
    </row>
    <row r="791" spans="13:66" ht="13.2" x14ac:dyDescent="0.25">
      <c r="M791" s="61"/>
      <c r="AT791" s="62"/>
      <c r="AU791" s="63"/>
      <c r="BN791" s="64"/>
    </row>
    <row r="792" spans="13:66" ht="13.2" x14ac:dyDescent="0.25">
      <c r="M792" s="61"/>
      <c r="AT792" s="62"/>
      <c r="AU792" s="63"/>
      <c r="BN792" s="64"/>
    </row>
    <row r="793" spans="13:66" ht="13.2" x14ac:dyDescent="0.25">
      <c r="M793" s="61"/>
      <c r="AT793" s="62"/>
      <c r="AU793" s="63"/>
      <c r="BN793" s="64"/>
    </row>
    <row r="794" spans="13:66" ht="13.2" x14ac:dyDescent="0.25">
      <c r="M794" s="61"/>
      <c r="AT794" s="62"/>
      <c r="AU794" s="63"/>
      <c r="BN794" s="64"/>
    </row>
    <row r="795" spans="13:66" ht="13.2" x14ac:dyDescent="0.25">
      <c r="M795" s="61"/>
      <c r="AT795" s="62"/>
      <c r="AU795" s="63"/>
      <c r="BN795" s="64"/>
    </row>
    <row r="796" spans="13:66" ht="13.2" x14ac:dyDescent="0.25">
      <c r="M796" s="61"/>
      <c r="AT796" s="62"/>
      <c r="AU796" s="63"/>
      <c r="BN796" s="64"/>
    </row>
    <row r="797" spans="13:66" ht="13.2" x14ac:dyDescent="0.25">
      <c r="M797" s="61"/>
      <c r="AT797" s="62"/>
      <c r="AU797" s="63"/>
      <c r="BN797" s="64"/>
    </row>
    <row r="798" spans="13:66" ht="13.2" x14ac:dyDescent="0.25">
      <c r="M798" s="61"/>
      <c r="AT798" s="62"/>
      <c r="AU798" s="63"/>
      <c r="BN798" s="64"/>
    </row>
    <row r="799" spans="13:66" ht="13.2" x14ac:dyDescent="0.25">
      <c r="M799" s="61"/>
      <c r="AT799" s="62"/>
      <c r="AU799" s="63"/>
      <c r="BN799" s="64"/>
    </row>
    <row r="800" spans="13:66" ht="13.2" x14ac:dyDescent="0.25">
      <c r="M800" s="61"/>
      <c r="AT800" s="62"/>
      <c r="AU800" s="63"/>
      <c r="BN800" s="64"/>
    </row>
    <row r="801" spans="13:66" ht="13.2" x14ac:dyDescent="0.25">
      <c r="M801" s="61"/>
      <c r="AT801" s="62"/>
      <c r="AU801" s="63"/>
      <c r="BN801" s="64"/>
    </row>
    <row r="802" spans="13:66" ht="13.2" x14ac:dyDescent="0.25">
      <c r="M802" s="61"/>
      <c r="AT802" s="62"/>
      <c r="AU802" s="63"/>
      <c r="BN802" s="64"/>
    </row>
    <row r="803" spans="13:66" ht="13.2" x14ac:dyDescent="0.25">
      <c r="M803" s="61"/>
      <c r="AT803" s="62"/>
      <c r="AU803" s="63"/>
      <c r="BN803" s="64"/>
    </row>
    <row r="804" spans="13:66" ht="13.2" x14ac:dyDescent="0.25">
      <c r="M804" s="61"/>
      <c r="AT804" s="62"/>
      <c r="AU804" s="63"/>
      <c r="BN804" s="64"/>
    </row>
    <row r="805" spans="13:66" ht="13.2" x14ac:dyDescent="0.25">
      <c r="M805" s="61"/>
      <c r="AT805" s="62"/>
      <c r="AU805" s="63"/>
      <c r="BN805" s="64"/>
    </row>
    <row r="806" spans="13:66" ht="13.2" x14ac:dyDescent="0.25">
      <c r="M806" s="61"/>
      <c r="AT806" s="62"/>
      <c r="AU806" s="63"/>
      <c r="BN806" s="64"/>
    </row>
    <row r="807" spans="13:66" ht="13.2" x14ac:dyDescent="0.25">
      <c r="M807" s="61"/>
      <c r="AT807" s="62"/>
      <c r="AU807" s="63"/>
      <c r="BN807" s="64"/>
    </row>
    <row r="808" spans="13:66" ht="13.2" x14ac:dyDescent="0.25">
      <c r="M808" s="61"/>
      <c r="AT808" s="62"/>
      <c r="AU808" s="63"/>
      <c r="BN808" s="64"/>
    </row>
    <row r="809" spans="13:66" ht="13.2" x14ac:dyDescent="0.25">
      <c r="M809" s="61"/>
      <c r="AT809" s="62"/>
      <c r="AU809" s="63"/>
      <c r="BN809" s="64"/>
    </row>
    <row r="810" spans="13:66" ht="13.2" x14ac:dyDescent="0.25">
      <c r="M810" s="61"/>
      <c r="AT810" s="62"/>
      <c r="AU810" s="63"/>
      <c r="BN810" s="64"/>
    </row>
    <row r="811" spans="13:66" ht="13.2" x14ac:dyDescent="0.25">
      <c r="M811" s="61"/>
      <c r="AT811" s="62"/>
      <c r="AU811" s="63"/>
      <c r="BN811" s="64"/>
    </row>
    <row r="812" spans="13:66" ht="13.2" x14ac:dyDescent="0.25">
      <c r="M812" s="61"/>
      <c r="AT812" s="62"/>
      <c r="AU812" s="63"/>
      <c r="BN812" s="64"/>
    </row>
    <row r="813" spans="13:66" ht="13.2" x14ac:dyDescent="0.25">
      <c r="M813" s="61"/>
      <c r="AT813" s="62"/>
      <c r="AU813" s="63"/>
      <c r="BN813" s="64"/>
    </row>
    <row r="814" spans="13:66" ht="13.2" x14ac:dyDescent="0.25">
      <c r="M814" s="61"/>
      <c r="AT814" s="62"/>
      <c r="AU814" s="63"/>
      <c r="BN814" s="64"/>
    </row>
    <row r="815" spans="13:66" ht="13.2" x14ac:dyDescent="0.25">
      <c r="M815" s="61"/>
      <c r="AT815" s="62"/>
      <c r="AU815" s="63"/>
      <c r="BN815" s="64"/>
    </row>
    <row r="816" spans="13:66" ht="13.2" x14ac:dyDescent="0.25">
      <c r="M816" s="61"/>
      <c r="AT816" s="62"/>
      <c r="AU816" s="63"/>
      <c r="BN816" s="64"/>
    </row>
    <row r="817" spans="13:66" ht="13.2" x14ac:dyDescent="0.25">
      <c r="M817" s="61"/>
      <c r="AT817" s="62"/>
      <c r="AU817" s="63"/>
      <c r="BN817" s="64"/>
    </row>
    <row r="818" spans="13:66" ht="13.2" x14ac:dyDescent="0.25">
      <c r="M818" s="61"/>
      <c r="AT818" s="62"/>
      <c r="AU818" s="63"/>
      <c r="BN818" s="64"/>
    </row>
    <row r="819" spans="13:66" ht="13.2" x14ac:dyDescent="0.25">
      <c r="M819" s="61"/>
      <c r="AT819" s="62"/>
      <c r="AU819" s="63"/>
      <c r="BN819" s="64"/>
    </row>
    <row r="820" spans="13:66" ht="13.2" x14ac:dyDescent="0.25">
      <c r="M820" s="61"/>
      <c r="AT820" s="62"/>
      <c r="AU820" s="63"/>
      <c r="BN820" s="64"/>
    </row>
    <row r="821" spans="13:66" ht="13.2" x14ac:dyDescent="0.25">
      <c r="M821" s="61"/>
      <c r="AT821" s="62"/>
      <c r="AU821" s="63"/>
      <c r="BN821" s="64"/>
    </row>
    <row r="822" spans="13:66" ht="13.2" x14ac:dyDescent="0.25">
      <c r="M822" s="61"/>
      <c r="AT822" s="62"/>
      <c r="AU822" s="63"/>
      <c r="BN822" s="64"/>
    </row>
    <row r="823" spans="13:66" ht="13.2" x14ac:dyDescent="0.25">
      <c r="M823" s="61"/>
      <c r="AT823" s="62"/>
      <c r="AU823" s="63"/>
      <c r="BN823" s="64"/>
    </row>
    <row r="824" spans="13:66" ht="13.2" x14ac:dyDescent="0.25">
      <c r="M824" s="61"/>
      <c r="AT824" s="62"/>
      <c r="AU824" s="63"/>
      <c r="BN824" s="64"/>
    </row>
    <row r="825" spans="13:66" ht="13.2" x14ac:dyDescent="0.25">
      <c r="M825" s="61"/>
      <c r="AT825" s="62"/>
      <c r="AU825" s="63"/>
      <c r="BN825" s="64"/>
    </row>
    <row r="826" spans="13:66" ht="13.2" x14ac:dyDescent="0.25">
      <c r="M826" s="61"/>
      <c r="AT826" s="62"/>
      <c r="AU826" s="63"/>
      <c r="BN826" s="64"/>
    </row>
    <row r="827" spans="13:66" ht="13.2" x14ac:dyDescent="0.25">
      <c r="M827" s="61"/>
      <c r="AT827" s="62"/>
      <c r="AU827" s="63"/>
      <c r="BN827" s="64"/>
    </row>
    <row r="828" spans="13:66" ht="13.2" x14ac:dyDescent="0.25">
      <c r="M828" s="61"/>
      <c r="AT828" s="62"/>
      <c r="AU828" s="63"/>
      <c r="BN828" s="64"/>
    </row>
    <row r="829" spans="13:66" ht="13.2" x14ac:dyDescent="0.25">
      <c r="M829" s="61"/>
      <c r="AT829" s="62"/>
      <c r="AU829" s="63"/>
      <c r="BN829" s="64"/>
    </row>
    <row r="830" spans="13:66" ht="13.2" x14ac:dyDescent="0.25">
      <c r="M830" s="61"/>
      <c r="AT830" s="62"/>
      <c r="AU830" s="63"/>
      <c r="BN830" s="64"/>
    </row>
    <row r="831" spans="13:66" ht="13.2" x14ac:dyDescent="0.25">
      <c r="M831" s="61"/>
      <c r="AT831" s="62"/>
      <c r="AU831" s="63"/>
      <c r="BN831" s="64"/>
    </row>
    <row r="832" spans="13:66" ht="13.2" x14ac:dyDescent="0.25">
      <c r="M832" s="61"/>
      <c r="AT832" s="62"/>
      <c r="AU832" s="63"/>
      <c r="BN832" s="64"/>
    </row>
    <row r="833" spans="13:66" ht="13.2" x14ac:dyDescent="0.25">
      <c r="M833" s="61"/>
      <c r="AT833" s="62"/>
      <c r="AU833" s="63"/>
      <c r="BN833" s="64"/>
    </row>
    <row r="834" spans="13:66" ht="13.2" x14ac:dyDescent="0.25">
      <c r="M834" s="61"/>
      <c r="AT834" s="62"/>
      <c r="AU834" s="63"/>
      <c r="BN834" s="64"/>
    </row>
    <row r="835" spans="13:66" ht="13.2" x14ac:dyDescent="0.25">
      <c r="M835" s="61"/>
      <c r="AT835" s="62"/>
      <c r="AU835" s="63"/>
      <c r="BN835" s="64"/>
    </row>
    <row r="836" spans="13:66" ht="13.2" x14ac:dyDescent="0.25">
      <c r="M836" s="61"/>
      <c r="AT836" s="62"/>
      <c r="AU836" s="63"/>
      <c r="BN836" s="64"/>
    </row>
    <row r="837" spans="13:66" ht="13.2" x14ac:dyDescent="0.25">
      <c r="M837" s="61"/>
      <c r="AT837" s="62"/>
      <c r="AU837" s="63"/>
      <c r="BN837" s="64"/>
    </row>
    <row r="838" spans="13:66" ht="13.2" x14ac:dyDescent="0.25">
      <c r="M838" s="61"/>
      <c r="AT838" s="62"/>
      <c r="AU838" s="63"/>
      <c r="BN838" s="64"/>
    </row>
    <row r="839" spans="13:66" ht="13.2" x14ac:dyDescent="0.25">
      <c r="M839" s="61"/>
      <c r="AT839" s="62"/>
      <c r="AU839" s="63"/>
      <c r="BN839" s="64"/>
    </row>
    <row r="840" spans="13:66" ht="13.2" x14ac:dyDescent="0.25">
      <c r="M840" s="61"/>
      <c r="AT840" s="62"/>
      <c r="AU840" s="63"/>
      <c r="BN840" s="64"/>
    </row>
    <row r="841" spans="13:66" ht="13.2" x14ac:dyDescent="0.25">
      <c r="M841" s="61"/>
      <c r="AT841" s="62"/>
      <c r="AU841" s="63"/>
      <c r="BN841" s="64"/>
    </row>
    <row r="842" spans="13:66" ht="13.2" x14ac:dyDescent="0.25">
      <c r="M842" s="61"/>
      <c r="AT842" s="62"/>
      <c r="AU842" s="63"/>
      <c r="BN842" s="64"/>
    </row>
    <row r="843" spans="13:66" ht="13.2" x14ac:dyDescent="0.25">
      <c r="M843" s="61"/>
      <c r="AT843" s="62"/>
      <c r="AU843" s="63"/>
      <c r="BN843" s="64"/>
    </row>
    <row r="844" spans="13:66" ht="13.2" x14ac:dyDescent="0.25">
      <c r="M844" s="61"/>
      <c r="AT844" s="62"/>
      <c r="AU844" s="63"/>
      <c r="BN844" s="64"/>
    </row>
    <row r="845" spans="13:66" ht="13.2" x14ac:dyDescent="0.25">
      <c r="M845" s="61"/>
      <c r="AT845" s="62"/>
      <c r="AU845" s="63"/>
      <c r="BN845" s="64"/>
    </row>
    <row r="846" spans="13:66" ht="13.2" x14ac:dyDescent="0.25">
      <c r="M846" s="61"/>
      <c r="AT846" s="62"/>
      <c r="AU846" s="63"/>
      <c r="BN846" s="64"/>
    </row>
    <row r="847" spans="13:66" ht="13.2" x14ac:dyDescent="0.25">
      <c r="M847" s="61"/>
      <c r="AT847" s="62"/>
      <c r="AU847" s="63"/>
      <c r="BN847" s="64"/>
    </row>
    <row r="848" spans="13:66" ht="13.2" x14ac:dyDescent="0.25">
      <c r="M848" s="61"/>
      <c r="AT848" s="62"/>
      <c r="AU848" s="63"/>
      <c r="BN848" s="64"/>
    </row>
    <row r="849" spans="13:66" ht="13.2" x14ac:dyDescent="0.25">
      <c r="M849" s="61"/>
      <c r="AT849" s="62"/>
      <c r="AU849" s="63"/>
      <c r="BN849" s="64"/>
    </row>
    <row r="850" spans="13:66" ht="13.2" x14ac:dyDescent="0.25">
      <c r="M850" s="61"/>
      <c r="AT850" s="62"/>
      <c r="AU850" s="63"/>
      <c r="BN850" s="64"/>
    </row>
    <row r="851" spans="13:66" ht="13.2" x14ac:dyDescent="0.25">
      <c r="M851" s="61"/>
      <c r="AT851" s="62"/>
      <c r="AU851" s="63"/>
      <c r="BN851" s="64"/>
    </row>
    <row r="852" spans="13:66" ht="13.2" x14ac:dyDescent="0.25">
      <c r="M852" s="61"/>
      <c r="AT852" s="62"/>
      <c r="AU852" s="63"/>
      <c r="BN852" s="64"/>
    </row>
    <row r="853" spans="13:66" ht="13.2" x14ac:dyDescent="0.25">
      <c r="M853" s="61"/>
      <c r="AT853" s="62"/>
      <c r="AU853" s="63"/>
      <c r="BN853" s="64"/>
    </row>
    <row r="854" spans="13:66" ht="13.2" x14ac:dyDescent="0.25">
      <c r="M854" s="61"/>
      <c r="AT854" s="62"/>
      <c r="AU854" s="63"/>
      <c r="BN854" s="64"/>
    </row>
    <row r="855" spans="13:66" ht="13.2" x14ac:dyDescent="0.25">
      <c r="M855" s="61"/>
      <c r="AT855" s="62"/>
      <c r="AU855" s="63"/>
      <c r="BN855" s="64"/>
    </row>
    <row r="856" spans="13:66" ht="13.2" x14ac:dyDescent="0.25">
      <c r="M856" s="61"/>
      <c r="AT856" s="62"/>
      <c r="AU856" s="63"/>
      <c r="BN856" s="64"/>
    </row>
    <row r="857" spans="13:66" ht="13.2" x14ac:dyDescent="0.25">
      <c r="M857" s="61"/>
      <c r="AT857" s="62"/>
      <c r="AU857" s="63"/>
      <c r="BN857" s="64"/>
    </row>
    <row r="858" spans="13:66" ht="13.2" x14ac:dyDescent="0.25">
      <c r="M858" s="61"/>
      <c r="AT858" s="62"/>
      <c r="AU858" s="63"/>
      <c r="BN858" s="64"/>
    </row>
    <row r="859" spans="13:66" ht="13.2" x14ac:dyDescent="0.25">
      <c r="M859" s="61"/>
      <c r="AT859" s="62"/>
      <c r="AU859" s="63"/>
      <c r="BN859" s="64"/>
    </row>
    <row r="860" spans="13:66" ht="13.2" x14ac:dyDescent="0.25">
      <c r="M860" s="61"/>
      <c r="AT860" s="62"/>
      <c r="AU860" s="63"/>
      <c r="BN860" s="64"/>
    </row>
    <row r="861" spans="13:66" ht="13.2" x14ac:dyDescent="0.25">
      <c r="M861" s="61"/>
      <c r="AT861" s="62"/>
      <c r="AU861" s="63"/>
      <c r="BN861" s="64"/>
    </row>
    <row r="862" spans="13:66" ht="13.2" x14ac:dyDescent="0.25">
      <c r="M862" s="61"/>
      <c r="AT862" s="62"/>
      <c r="AU862" s="63"/>
      <c r="BN862" s="64"/>
    </row>
    <row r="863" spans="13:66" ht="13.2" x14ac:dyDescent="0.25">
      <c r="M863" s="61"/>
      <c r="AT863" s="62"/>
      <c r="AU863" s="63"/>
      <c r="BN863" s="64"/>
    </row>
    <row r="864" spans="13:66" ht="13.2" x14ac:dyDescent="0.25">
      <c r="M864" s="61"/>
      <c r="AT864" s="62"/>
      <c r="AU864" s="63"/>
      <c r="BN864" s="64"/>
    </row>
    <row r="865" spans="13:66" ht="13.2" x14ac:dyDescent="0.25">
      <c r="M865" s="61"/>
      <c r="AT865" s="62"/>
      <c r="AU865" s="63"/>
      <c r="BN865" s="64"/>
    </row>
    <row r="866" spans="13:66" ht="13.2" x14ac:dyDescent="0.25">
      <c r="M866" s="61"/>
      <c r="AT866" s="62"/>
      <c r="AU866" s="63"/>
      <c r="BN866" s="64"/>
    </row>
    <row r="867" spans="13:66" ht="13.2" x14ac:dyDescent="0.25">
      <c r="M867" s="61"/>
      <c r="AT867" s="62"/>
      <c r="AU867" s="63"/>
      <c r="BN867" s="64"/>
    </row>
    <row r="868" spans="13:66" ht="13.2" x14ac:dyDescent="0.25">
      <c r="M868" s="61"/>
      <c r="AT868" s="62"/>
      <c r="AU868" s="63"/>
      <c r="BN868" s="64"/>
    </row>
    <row r="869" spans="13:66" ht="13.2" x14ac:dyDescent="0.25">
      <c r="M869" s="61"/>
      <c r="AT869" s="62"/>
      <c r="AU869" s="63"/>
      <c r="BN869" s="64"/>
    </row>
    <row r="870" spans="13:66" ht="13.2" x14ac:dyDescent="0.25">
      <c r="M870" s="61"/>
      <c r="AT870" s="62"/>
      <c r="AU870" s="63"/>
      <c r="BN870" s="64"/>
    </row>
    <row r="871" spans="13:66" ht="13.2" x14ac:dyDescent="0.25">
      <c r="M871" s="61"/>
      <c r="AT871" s="62"/>
      <c r="AU871" s="63"/>
      <c r="BN871" s="64"/>
    </row>
    <row r="872" spans="13:66" ht="13.2" x14ac:dyDescent="0.25">
      <c r="M872" s="61"/>
      <c r="AT872" s="62"/>
      <c r="AU872" s="63"/>
      <c r="BN872" s="64"/>
    </row>
    <row r="873" spans="13:66" ht="13.2" x14ac:dyDescent="0.25">
      <c r="M873" s="61"/>
      <c r="AT873" s="62"/>
      <c r="AU873" s="63"/>
      <c r="BN873" s="64"/>
    </row>
    <row r="874" spans="13:66" ht="13.2" x14ac:dyDescent="0.25">
      <c r="M874" s="61"/>
      <c r="AT874" s="62"/>
      <c r="AU874" s="63"/>
      <c r="BN874" s="64"/>
    </row>
    <row r="875" spans="13:66" ht="13.2" x14ac:dyDescent="0.25">
      <c r="M875" s="61"/>
      <c r="AT875" s="62"/>
      <c r="AU875" s="63"/>
      <c r="BN875" s="64"/>
    </row>
    <row r="876" spans="13:66" ht="13.2" x14ac:dyDescent="0.25">
      <c r="M876" s="61"/>
      <c r="AT876" s="62"/>
      <c r="AU876" s="63"/>
      <c r="BN876" s="64"/>
    </row>
    <row r="877" spans="13:66" ht="13.2" x14ac:dyDescent="0.25">
      <c r="M877" s="61"/>
      <c r="AT877" s="62"/>
      <c r="AU877" s="63"/>
      <c r="BN877" s="64"/>
    </row>
    <row r="878" spans="13:66" ht="13.2" x14ac:dyDescent="0.25">
      <c r="M878" s="61"/>
      <c r="AT878" s="62"/>
      <c r="AU878" s="63"/>
      <c r="BN878" s="64"/>
    </row>
    <row r="879" spans="13:66" ht="13.2" x14ac:dyDescent="0.25">
      <c r="M879" s="61"/>
      <c r="AT879" s="62"/>
      <c r="AU879" s="63"/>
      <c r="BN879" s="64"/>
    </row>
    <row r="880" spans="13:66" ht="13.2" x14ac:dyDescent="0.25">
      <c r="M880" s="61"/>
      <c r="AT880" s="62"/>
      <c r="AU880" s="63"/>
      <c r="BN880" s="64"/>
    </row>
    <row r="881" spans="13:66" ht="13.2" x14ac:dyDescent="0.25">
      <c r="M881" s="61"/>
      <c r="AT881" s="62"/>
      <c r="AU881" s="63"/>
      <c r="BN881" s="64"/>
    </row>
    <row r="882" spans="13:66" ht="13.2" x14ac:dyDescent="0.25">
      <c r="M882" s="61"/>
      <c r="AT882" s="62"/>
      <c r="AU882" s="63"/>
      <c r="BN882" s="64"/>
    </row>
    <row r="883" spans="13:66" ht="13.2" x14ac:dyDescent="0.25">
      <c r="M883" s="61"/>
      <c r="AT883" s="62"/>
      <c r="AU883" s="63"/>
      <c r="BN883" s="64"/>
    </row>
    <row r="884" spans="13:66" ht="13.2" x14ac:dyDescent="0.25">
      <c r="M884" s="61"/>
      <c r="AT884" s="62"/>
      <c r="AU884" s="63"/>
      <c r="BN884" s="64"/>
    </row>
    <row r="885" spans="13:66" ht="13.2" x14ac:dyDescent="0.25">
      <c r="M885" s="61"/>
      <c r="AT885" s="62"/>
      <c r="AU885" s="63"/>
      <c r="BN885" s="64"/>
    </row>
    <row r="886" spans="13:66" ht="13.2" x14ac:dyDescent="0.25">
      <c r="M886" s="61"/>
      <c r="AT886" s="62"/>
      <c r="AU886" s="63"/>
      <c r="BN886" s="64"/>
    </row>
    <row r="887" spans="13:66" ht="13.2" x14ac:dyDescent="0.25">
      <c r="M887" s="61"/>
      <c r="AT887" s="62"/>
      <c r="AU887" s="63"/>
      <c r="BN887" s="64"/>
    </row>
    <row r="888" spans="13:66" ht="13.2" x14ac:dyDescent="0.25">
      <c r="M888" s="61"/>
      <c r="AT888" s="62"/>
      <c r="AU888" s="63"/>
      <c r="BN888" s="64"/>
    </row>
    <row r="889" spans="13:66" ht="13.2" x14ac:dyDescent="0.25">
      <c r="M889" s="61"/>
      <c r="AT889" s="62"/>
      <c r="AU889" s="63"/>
      <c r="BN889" s="64"/>
    </row>
    <row r="890" spans="13:66" ht="13.2" x14ac:dyDescent="0.25">
      <c r="M890" s="61"/>
      <c r="AT890" s="62"/>
      <c r="AU890" s="63"/>
      <c r="BN890" s="64"/>
    </row>
    <row r="891" spans="13:66" ht="13.2" x14ac:dyDescent="0.25">
      <c r="M891" s="61"/>
      <c r="AT891" s="62"/>
      <c r="AU891" s="63"/>
      <c r="BN891" s="64"/>
    </row>
    <row r="892" spans="13:66" ht="13.2" x14ac:dyDescent="0.25">
      <c r="M892" s="61"/>
      <c r="AT892" s="62"/>
      <c r="AU892" s="63"/>
      <c r="BN892" s="64"/>
    </row>
    <row r="893" spans="13:66" ht="13.2" x14ac:dyDescent="0.25">
      <c r="M893" s="61"/>
      <c r="AT893" s="62"/>
      <c r="AU893" s="63"/>
      <c r="BN893" s="64"/>
    </row>
    <row r="894" spans="13:66" ht="13.2" x14ac:dyDescent="0.25">
      <c r="M894" s="61"/>
      <c r="AT894" s="62"/>
      <c r="AU894" s="63"/>
      <c r="BN894" s="64"/>
    </row>
    <row r="895" spans="13:66" ht="13.2" x14ac:dyDescent="0.25">
      <c r="M895" s="61"/>
      <c r="AT895" s="62"/>
      <c r="AU895" s="63"/>
      <c r="BN895" s="64"/>
    </row>
    <row r="896" spans="13:66" ht="13.2" x14ac:dyDescent="0.25">
      <c r="M896" s="61"/>
      <c r="AT896" s="62"/>
      <c r="AU896" s="63"/>
      <c r="BN896" s="64"/>
    </row>
    <row r="897" spans="13:66" ht="13.2" x14ac:dyDescent="0.25">
      <c r="M897" s="61"/>
      <c r="AT897" s="62"/>
      <c r="AU897" s="63"/>
      <c r="BN897" s="64"/>
    </row>
    <row r="898" spans="13:66" ht="13.2" x14ac:dyDescent="0.25">
      <c r="M898" s="61"/>
      <c r="AT898" s="62"/>
      <c r="AU898" s="63"/>
      <c r="BN898" s="64"/>
    </row>
    <row r="899" spans="13:66" ht="13.2" x14ac:dyDescent="0.25">
      <c r="M899" s="61"/>
      <c r="AT899" s="62"/>
      <c r="AU899" s="63"/>
      <c r="BN899" s="64"/>
    </row>
    <row r="900" spans="13:66" ht="13.2" x14ac:dyDescent="0.25">
      <c r="M900" s="61"/>
      <c r="AT900" s="62"/>
      <c r="AU900" s="63"/>
      <c r="BN900" s="64"/>
    </row>
    <row r="901" spans="13:66" ht="13.2" x14ac:dyDescent="0.25">
      <c r="M901" s="61"/>
      <c r="AT901" s="62"/>
      <c r="AU901" s="63"/>
      <c r="BN901" s="64"/>
    </row>
    <row r="902" spans="13:66" ht="13.2" x14ac:dyDescent="0.25">
      <c r="M902" s="61"/>
      <c r="AT902" s="62"/>
      <c r="AU902" s="63"/>
      <c r="BN902" s="64"/>
    </row>
    <row r="903" spans="13:66" ht="13.2" x14ac:dyDescent="0.25">
      <c r="M903" s="61"/>
      <c r="AT903" s="62"/>
      <c r="AU903" s="63"/>
      <c r="BN903" s="64"/>
    </row>
    <row r="904" spans="13:66" ht="13.2" x14ac:dyDescent="0.25">
      <c r="M904" s="61"/>
      <c r="AT904" s="62"/>
      <c r="AU904" s="63"/>
      <c r="BN904" s="64"/>
    </row>
    <row r="905" spans="13:66" ht="13.2" x14ac:dyDescent="0.25">
      <c r="M905" s="61"/>
      <c r="AT905" s="62"/>
      <c r="AU905" s="63"/>
      <c r="BN905" s="64"/>
    </row>
    <row r="906" spans="13:66" ht="13.2" x14ac:dyDescent="0.25">
      <c r="M906" s="61"/>
      <c r="AT906" s="62"/>
      <c r="AU906" s="63"/>
      <c r="BN906" s="64"/>
    </row>
    <row r="907" spans="13:66" ht="13.2" x14ac:dyDescent="0.25">
      <c r="M907" s="61"/>
      <c r="AT907" s="62"/>
      <c r="AU907" s="63"/>
      <c r="BN907" s="64"/>
    </row>
    <row r="908" spans="13:66" ht="13.2" x14ac:dyDescent="0.25">
      <c r="M908" s="61"/>
      <c r="AT908" s="62"/>
      <c r="AU908" s="63"/>
      <c r="BN908" s="64"/>
    </row>
    <row r="909" spans="13:66" ht="13.2" x14ac:dyDescent="0.25">
      <c r="M909" s="61"/>
      <c r="AT909" s="62"/>
      <c r="AU909" s="63"/>
      <c r="BN909" s="64"/>
    </row>
    <row r="910" spans="13:66" ht="13.2" x14ac:dyDescent="0.25">
      <c r="M910" s="61"/>
      <c r="AT910" s="62"/>
      <c r="AU910" s="63"/>
      <c r="BN910" s="64"/>
    </row>
    <row r="911" spans="13:66" ht="13.2" x14ac:dyDescent="0.25">
      <c r="M911" s="61"/>
      <c r="AT911" s="62"/>
      <c r="AU911" s="63"/>
      <c r="BN911" s="64"/>
    </row>
    <row r="912" spans="13:66" ht="13.2" x14ac:dyDescent="0.25">
      <c r="M912" s="61"/>
      <c r="AT912" s="62"/>
      <c r="AU912" s="63"/>
      <c r="BN912" s="64"/>
    </row>
    <row r="913" spans="13:66" ht="13.2" x14ac:dyDescent="0.25">
      <c r="M913" s="61"/>
      <c r="AT913" s="62"/>
      <c r="AU913" s="63"/>
      <c r="BN913" s="64"/>
    </row>
    <row r="914" spans="13:66" ht="13.2" x14ac:dyDescent="0.25">
      <c r="M914" s="61"/>
      <c r="AT914" s="62"/>
      <c r="AU914" s="63"/>
      <c r="BN914" s="64"/>
    </row>
    <row r="915" spans="13:66" ht="13.2" x14ac:dyDescent="0.25">
      <c r="M915" s="61"/>
      <c r="AT915" s="62"/>
      <c r="AU915" s="63"/>
      <c r="BN915" s="64"/>
    </row>
    <row r="916" spans="13:66" ht="13.2" x14ac:dyDescent="0.25">
      <c r="M916" s="61"/>
      <c r="AT916" s="62"/>
      <c r="AU916" s="63"/>
      <c r="BN916" s="64"/>
    </row>
    <row r="917" spans="13:66" ht="13.2" x14ac:dyDescent="0.25">
      <c r="M917" s="61"/>
      <c r="AT917" s="62"/>
      <c r="AU917" s="63"/>
      <c r="BN917" s="64"/>
    </row>
    <row r="918" spans="13:66" ht="13.2" x14ac:dyDescent="0.25">
      <c r="M918" s="61"/>
      <c r="AT918" s="62"/>
      <c r="AU918" s="63"/>
      <c r="BN918" s="64"/>
    </row>
    <row r="919" spans="13:66" ht="13.2" x14ac:dyDescent="0.25">
      <c r="M919" s="61"/>
      <c r="AT919" s="62"/>
      <c r="AU919" s="63"/>
      <c r="BN919" s="64"/>
    </row>
    <row r="920" spans="13:66" ht="13.2" x14ac:dyDescent="0.25">
      <c r="M920" s="61"/>
      <c r="AT920" s="62"/>
      <c r="AU920" s="63"/>
      <c r="BN920" s="64"/>
    </row>
    <row r="921" spans="13:66" ht="13.2" x14ac:dyDescent="0.25">
      <c r="M921" s="61"/>
      <c r="AT921" s="62"/>
      <c r="AU921" s="63"/>
      <c r="BN921" s="64"/>
    </row>
    <row r="922" spans="13:66" ht="13.2" x14ac:dyDescent="0.25">
      <c r="M922" s="61"/>
      <c r="AT922" s="62"/>
      <c r="AU922" s="63"/>
      <c r="BN922" s="64"/>
    </row>
    <row r="923" spans="13:66" ht="13.2" x14ac:dyDescent="0.25">
      <c r="M923" s="61"/>
      <c r="AT923" s="62"/>
      <c r="AU923" s="63"/>
      <c r="BN923" s="64"/>
    </row>
    <row r="924" spans="13:66" ht="13.2" x14ac:dyDescent="0.25">
      <c r="M924" s="61"/>
      <c r="AT924" s="62"/>
      <c r="AU924" s="63"/>
      <c r="BN924" s="64"/>
    </row>
    <row r="925" spans="13:66" ht="13.2" x14ac:dyDescent="0.25">
      <c r="M925" s="61"/>
      <c r="AT925" s="62"/>
      <c r="AU925" s="63"/>
      <c r="BN925" s="64"/>
    </row>
    <row r="926" spans="13:66" ht="13.2" x14ac:dyDescent="0.25">
      <c r="M926" s="61"/>
      <c r="AT926" s="62"/>
      <c r="AU926" s="63"/>
      <c r="BN926" s="64"/>
    </row>
    <row r="927" spans="13:66" ht="13.2" x14ac:dyDescent="0.25">
      <c r="M927" s="61"/>
      <c r="AT927" s="62"/>
      <c r="AU927" s="63"/>
      <c r="BN927" s="64"/>
    </row>
    <row r="928" spans="13:66" ht="13.2" x14ac:dyDescent="0.25">
      <c r="M928" s="61"/>
      <c r="AT928" s="62"/>
      <c r="AU928" s="63"/>
      <c r="BN928" s="64"/>
    </row>
    <row r="929" spans="13:66" ht="13.2" x14ac:dyDescent="0.25">
      <c r="M929" s="61"/>
      <c r="AT929" s="62"/>
      <c r="AU929" s="63"/>
      <c r="BN929" s="64"/>
    </row>
    <row r="930" spans="13:66" ht="13.2" x14ac:dyDescent="0.25">
      <c r="M930" s="61"/>
      <c r="AT930" s="62"/>
      <c r="AU930" s="63"/>
      <c r="BN930" s="64"/>
    </row>
    <row r="931" spans="13:66" ht="13.2" x14ac:dyDescent="0.25">
      <c r="M931" s="61"/>
      <c r="AT931" s="62"/>
      <c r="AU931" s="63"/>
      <c r="BN931" s="64"/>
    </row>
    <row r="932" spans="13:66" ht="13.2" x14ac:dyDescent="0.25">
      <c r="M932" s="61"/>
      <c r="AT932" s="62"/>
      <c r="AU932" s="63"/>
      <c r="BN932" s="64"/>
    </row>
    <row r="933" spans="13:66" ht="13.2" x14ac:dyDescent="0.25">
      <c r="M933" s="61"/>
      <c r="AT933" s="62"/>
      <c r="AU933" s="63"/>
      <c r="BN933" s="64"/>
    </row>
    <row r="934" spans="13:66" ht="13.2" x14ac:dyDescent="0.25">
      <c r="M934" s="61"/>
      <c r="AT934" s="62"/>
      <c r="AU934" s="63"/>
      <c r="BN934" s="64"/>
    </row>
    <row r="935" spans="13:66" ht="13.2" x14ac:dyDescent="0.25">
      <c r="M935" s="61"/>
      <c r="AT935" s="62"/>
      <c r="AU935" s="63"/>
      <c r="BN935" s="64"/>
    </row>
    <row r="936" spans="13:66" ht="13.2" x14ac:dyDescent="0.25">
      <c r="M936" s="61"/>
      <c r="AT936" s="62"/>
      <c r="AU936" s="63"/>
      <c r="BN936" s="64"/>
    </row>
    <row r="937" spans="13:66" ht="13.2" x14ac:dyDescent="0.25">
      <c r="M937" s="61"/>
      <c r="AT937" s="62"/>
      <c r="AU937" s="63"/>
      <c r="BN937" s="64"/>
    </row>
    <row r="938" spans="13:66" ht="13.2" x14ac:dyDescent="0.25">
      <c r="M938" s="61"/>
      <c r="AT938" s="62"/>
      <c r="AU938" s="63"/>
      <c r="BN938" s="64"/>
    </row>
    <row r="939" spans="13:66" ht="13.2" x14ac:dyDescent="0.25">
      <c r="M939" s="61"/>
      <c r="AT939" s="62"/>
      <c r="AU939" s="63"/>
      <c r="BN939" s="64"/>
    </row>
    <row r="940" spans="13:66" ht="13.2" x14ac:dyDescent="0.25">
      <c r="M940" s="61"/>
      <c r="AT940" s="62"/>
      <c r="AU940" s="63"/>
      <c r="BN940" s="64"/>
    </row>
    <row r="941" spans="13:66" ht="13.2" x14ac:dyDescent="0.25">
      <c r="M941" s="61"/>
      <c r="AT941" s="62"/>
      <c r="AU941" s="63"/>
      <c r="BN941" s="64"/>
    </row>
    <row r="942" spans="13:66" ht="13.2" x14ac:dyDescent="0.25">
      <c r="M942" s="61"/>
      <c r="AT942" s="62"/>
      <c r="AU942" s="63"/>
      <c r="BN942" s="64"/>
    </row>
    <row r="943" spans="13:66" ht="13.2" x14ac:dyDescent="0.25">
      <c r="M943" s="61"/>
      <c r="AT943" s="62"/>
      <c r="AU943" s="63"/>
      <c r="BN943" s="64"/>
    </row>
    <row r="944" spans="13:66" ht="13.2" x14ac:dyDescent="0.25">
      <c r="M944" s="61"/>
      <c r="AT944" s="62"/>
      <c r="AU944" s="63"/>
      <c r="BN944" s="64"/>
    </row>
    <row r="945" spans="13:66" ht="13.2" x14ac:dyDescent="0.25">
      <c r="M945" s="61"/>
      <c r="AT945" s="62"/>
      <c r="AU945" s="63"/>
      <c r="BN945" s="64"/>
    </row>
    <row r="946" spans="13:66" ht="13.2" x14ac:dyDescent="0.25">
      <c r="M946" s="61"/>
      <c r="AT946" s="62"/>
      <c r="AU946" s="63"/>
      <c r="BN946" s="64"/>
    </row>
    <row r="947" spans="13:66" ht="13.2" x14ac:dyDescent="0.25">
      <c r="M947" s="61"/>
      <c r="AT947" s="62"/>
      <c r="AU947" s="63"/>
      <c r="BN947" s="64"/>
    </row>
    <row r="948" spans="13:66" ht="13.2" x14ac:dyDescent="0.25">
      <c r="M948" s="61"/>
      <c r="AT948" s="62"/>
      <c r="AU948" s="63"/>
      <c r="BN948" s="64"/>
    </row>
    <row r="949" spans="13:66" ht="13.2" x14ac:dyDescent="0.25">
      <c r="M949" s="61"/>
      <c r="AT949" s="62"/>
      <c r="AU949" s="63"/>
      <c r="BN949" s="64"/>
    </row>
    <row r="950" spans="13:66" ht="13.2" x14ac:dyDescent="0.25">
      <c r="M950" s="61"/>
      <c r="AT950" s="62"/>
      <c r="AU950" s="63"/>
      <c r="BN950" s="64"/>
    </row>
    <row r="951" spans="13:66" ht="13.2" x14ac:dyDescent="0.25">
      <c r="M951" s="61"/>
      <c r="AT951" s="62"/>
      <c r="AU951" s="63"/>
      <c r="BN951" s="64"/>
    </row>
    <row r="952" spans="13:66" ht="13.2" x14ac:dyDescent="0.25">
      <c r="M952" s="61"/>
      <c r="AT952" s="62"/>
      <c r="AU952" s="63"/>
      <c r="BN952" s="64"/>
    </row>
    <row r="953" spans="13:66" ht="13.2" x14ac:dyDescent="0.25">
      <c r="M953" s="61"/>
      <c r="AT953" s="62"/>
      <c r="AU953" s="63"/>
      <c r="BN953" s="64"/>
    </row>
    <row r="954" spans="13:66" ht="13.2" x14ac:dyDescent="0.25">
      <c r="M954" s="61"/>
      <c r="AT954" s="62"/>
      <c r="AU954" s="63"/>
      <c r="BN954" s="64"/>
    </row>
    <row r="955" spans="13:66" ht="13.2" x14ac:dyDescent="0.25">
      <c r="M955" s="61"/>
      <c r="AT955" s="62"/>
      <c r="AU955" s="63"/>
      <c r="BN955" s="64"/>
    </row>
    <row r="956" spans="13:66" ht="13.2" x14ac:dyDescent="0.25">
      <c r="M956" s="61"/>
      <c r="AT956" s="62"/>
      <c r="AU956" s="63"/>
      <c r="BN956" s="64"/>
    </row>
    <row r="957" spans="13:66" ht="13.2" x14ac:dyDescent="0.25">
      <c r="M957" s="61"/>
      <c r="AT957" s="62"/>
      <c r="AU957" s="63"/>
      <c r="BN957" s="64"/>
    </row>
    <row r="958" spans="13:66" ht="13.2" x14ac:dyDescent="0.25">
      <c r="M958" s="61"/>
      <c r="AT958" s="62"/>
      <c r="AU958" s="63"/>
      <c r="BN958" s="64"/>
    </row>
    <row r="959" spans="13:66" ht="13.2" x14ac:dyDescent="0.25">
      <c r="M959" s="61"/>
      <c r="AT959" s="62"/>
      <c r="AU959" s="63"/>
      <c r="BN959" s="64"/>
    </row>
    <row r="960" spans="13:66" ht="13.2" x14ac:dyDescent="0.25">
      <c r="M960" s="61"/>
      <c r="AT960" s="62"/>
      <c r="AU960" s="63"/>
      <c r="BN960" s="64"/>
    </row>
    <row r="961" spans="13:66" ht="13.2" x14ac:dyDescent="0.25">
      <c r="M961" s="61"/>
      <c r="AT961" s="62"/>
      <c r="AU961" s="63"/>
      <c r="BN961" s="64"/>
    </row>
    <row r="962" spans="13:66" ht="13.2" x14ac:dyDescent="0.25">
      <c r="M962" s="61"/>
      <c r="AT962" s="62"/>
      <c r="AU962" s="63"/>
      <c r="BN962" s="64"/>
    </row>
    <row r="963" spans="13:66" ht="13.2" x14ac:dyDescent="0.25">
      <c r="M963" s="61"/>
      <c r="AT963" s="62"/>
      <c r="AU963" s="63"/>
      <c r="BN963" s="64"/>
    </row>
    <row r="964" spans="13:66" ht="13.2" x14ac:dyDescent="0.25">
      <c r="M964" s="61"/>
      <c r="AT964" s="62"/>
      <c r="AU964" s="63"/>
      <c r="BN964" s="64"/>
    </row>
    <row r="965" spans="13:66" ht="13.2" x14ac:dyDescent="0.25">
      <c r="M965" s="61"/>
      <c r="AT965" s="62"/>
      <c r="AU965" s="63"/>
      <c r="BN965" s="64"/>
    </row>
    <row r="966" spans="13:66" ht="13.2" x14ac:dyDescent="0.25">
      <c r="M966" s="61"/>
      <c r="AT966" s="62"/>
      <c r="AU966" s="63"/>
      <c r="BN966" s="64"/>
    </row>
    <row r="967" spans="13:66" ht="13.2" x14ac:dyDescent="0.25">
      <c r="M967" s="61"/>
      <c r="AT967" s="62"/>
      <c r="AU967" s="63"/>
      <c r="BN967" s="64"/>
    </row>
    <row r="968" spans="13:66" ht="13.2" x14ac:dyDescent="0.25">
      <c r="M968" s="61"/>
      <c r="AT968" s="62"/>
      <c r="AU968" s="63"/>
      <c r="BN968" s="64"/>
    </row>
    <row r="969" spans="13:66" ht="13.2" x14ac:dyDescent="0.25">
      <c r="M969" s="61"/>
      <c r="AT969" s="62"/>
      <c r="AU969" s="63"/>
      <c r="BN969" s="64"/>
    </row>
    <row r="970" spans="13:66" ht="13.2" x14ac:dyDescent="0.25">
      <c r="M970" s="61"/>
      <c r="AT970" s="62"/>
      <c r="AU970" s="63"/>
      <c r="BN970" s="64"/>
    </row>
    <row r="971" spans="13:66" ht="13.2" x14ac:dyDescent="0.25">
      <c r="M971" s="61"/>
      <c r="AT971" s="62"/>
      <c r="AU971" s="63"/>
      <c r="BN971" s="64"/>
    </row>
    <row r="972" spans="13:66" ht="13.2" x14ac:dyDescent="0.25">
      <c r="M972" s="61"/>
      <c r="AT972" s="62"/>
      <c r="AU972" s="63"/>
      <c r="BN972" s="64"/>
    </row>
    <row r="973" spans="13:66" ht="13.2" x14ac:dyDescent="0.25">
      <c r="M973" s="61"/>
      <c r="AT973" s="62"/>
      <c r="AU973" s="63"/>
      <c r="BN973" s="64"/>
    </row>
    <row r="974" spans="13:66" ht="13.2" x14ac:dyDescent="0.25">
      <c r="M974" s="61"/>
      <c r="AT974" s="62"/>
      <c r="AU974" s="63"/>
      <c r="BN974" s="64"/>
    </row>
    <row r="975" spans="13:66" ht="13.2" x14ac:dyDescent="0.25">
      <c r="M975" s="61"/>
      <c r="AT975" s="62"/>
      <c r="AU975" s="63"/>
      <c r="BN975" s="64"/>
    </row>
    <row r="976" spans="13:66" ht="13.2" x14ac:dyDescent="0.25">
      <c r="M976" s="61"/>
      <c r="AT976" s="62"/>
      <c r="AU976" s="63"/>
      <c r="BN976" s="64"/>
    </row>
    <row r="977" spans="13:66" ht="13.2" x14ac:dyDescent="0.25">
      <c r="M977" s="61"/>
      <c r="AT977" s="62"/>
      <c r="AU977" s="63"/>
      <c r="BN977" s="64"/>
    </row>
    <row r="978" spans="13:66" ht="13.2" x14ac:dyDescent="0.25">
      <c r="M978" s="61"/>
      <c r="AT978" s="62"/>
      <c r="AU978" s="63"/>
      <c r="BN978" s="64"/>
    </row>
    <row r="979" spans="13:66" ht="13.2" x14ac:dyDescent="0.25">
      <c r="M979" s="61"/>
      <c r="AT979" s="62"/>
      <c r="AU979" s="63"/>
      <c r="BN979" s="64"/>
    </row>
    <row r="980" spans="13:66" ht="13.2" x14ac:dyDescent="0.25">
      <c r="M980" s="61"/>
      <c r="AT980" s="62"/>
      <c r="AU980" s="63"/>
      <c r="BN980" s="64"/>
    </row>
    <row r="981" spans="13:66" ht="13.2" x14ac:dyDescent="0.25">
      <c r="M981" s="61"/>
      <c r="AT981" s="62"/>
      <c r="AU981" s="63"/>
      <c r="BN981" s="64"/>
    </row>
    <row r="982" spans="13:66" ht="13.2" x14ac:dyDescent="0.25">
      <c r="M982" s="61"/>
      <c r="AT982" s="62"/>
      <c r="AU982" s="63"/>
      <c r="BN982" s="64"/>
    </row>
    <row r="983" spans="13:66" ht="13.2" x14ac:dyDescent="0.25">
      <c r="M983" s="61"/>
      <c r="AT983" s="62"/>
      <c r="AU983" s="63"/>
      <c r="BN983" s="64"/>
    </row>
    <row r="984" spans="13:66" ht="13.2" x14ac:dyDescent="0.25">
      <c r="M984" s="61"/>
      <c r="AT984" s="62"/>
      <c r="AU984" s="63"/>
      <c r="BN984" s="64"/>
    </row>
    <row r="985" spans="13:66" ht="13.2" x14ac:dyDescent="0.25">
      <c r="M985" s="61"/>
      <c r="AT985" s="62"/>
      <c r="AU985" s="63"/>
      <c r="BN985" s="64"/>
    </row>
    <row r="986" spans="13:66" ht="13.2" x14ac:dyDescent="0.25">
      <c r="M986" s="61"/>
      <c r="AT986" s="62"/>
      <c r="AU986" s="63"/>
      <c r="BN986" s="64"/>
    </row>
    <row r="987" spans="13:66" ht="13.2" x14ac:dyDescent="0.25">
      <c r="M987" s="61"/>
      <c r="AT987" s="62"/>
      <c r="AU987" s="63"/>
      <c r="BN987" s="64"/>
    </row>
    <row r="988" spans="13:66" ht="13.2" x14ac:dyDescent="0.25">
      <c r="M988" s="61"/>
      <c r="AT988" s="62"/>
      <c r="AU988" s="63"/>
      <c r="BN988" s="64"/>
    </row>
    <row r="989" spans="13:66" ht="13.2" x14ac:dyDescent="0.25">
      <c r="M989" s="61"/>
      <c r="AT989" s="62"/>
      <c r="AU989" s="63"/>
      <c r="BN989" s="64"/>
    </row>
    <row r="990" spans="13:66" ht="13.2" x14ac:dyDescent="0.25">
      <c r="M990" s="61"/>
      <c r="AT990" s="62"/>
      <c r="AU990" s="63"/>
      <c r="BN990" s="64"/>
    </row>
    <row r="991" spans="13:66" ht="13.2" x14ac:dyDescent="0.25">
      <c r="M991" s="61"/>
      <c r="AT991" s="62"/>
      <c r="AU991" s="63"/>
      <c r="BN991" s="64"/>
    </row>
    <row r="992" spans="13:66" ht="13.2" x14ac:dyDescent="0.25">
      <c r="M992" s="61"/>
      <c r="AT992" s="62"/>
      <c r="AU992" s="63"/>
      <c r="BN992" s="64"/>
    </row>
    <row r="993" spans="13:66" ht="13.2" x14ac:dyDescent="0.25">
      <c r="M993" s="61"/>
      <c r="AT993" s="62"/>
      <c r="AU993" s="63"/>
      <c r="BN993" s="64"/>
    </row>
    <row r="994" spans="13:66" ht="13.2" x14ac:dyDescent="0.25">
      <c r="M994" s="61"/>
      <c r="AT994" s="62"/>
      <c r="AU994" s="63"/>
      <c r="BN994" s="64"/>
    </row>
    <row r="995" spans="13:66" ht="13.2" x14ac:dyDescent="0.25">
      <c r="M995" s="61"/>
      <c r="AT995" s="62"/>
      <c r="AU995" s="63"/>
      <c r="BN995" s="64"/>
    </row>
    <row r="996" spans="13:66" ht="13.2" x14ac:dyDescent="0.25">
      <c r="M996" s="61"/>
      <c r="AT996" s="62"/>
      <c r="AU996" s="63"/>
      <c r="BN996" s="64"/>
    </row>
    <row r="997" spans="13:66" ht="13.2" x14ac:dyDescent="0.25">
      <c r="M997" s="61"/>
      <c r="AT997" s="62"/>
      <c r="AU997" s="63"/>
      <c r="BN997" s="64"/>
    </row>
    <row r="998" spans="13:66" ht="13.2" x14ac:dyDescent="0.25">
      <c r="M998" s="61"/>
      <c r="AT998" s="62"/>
      <c r="AU998" s="63"/>
      <c r="BN998" s="64"/>
    </row>
    <row r="999" spans="13:66" ht="13.2" x14ac:dyDescent="0.25">
      <c r="M999" s="61"/>
      <c r="AT999" s="62"/>
      <c r="AU999" s="63"/>
      <c r="BN999" s="64"/>
    </row>
    <row r="1000" spans="13:66" ht="13.2" x14ac:dyDescent="0.25">
      <c r="M1000" s="61"/>
      <c r="AT1000" s="62"/>
      <c r="AU1000" s="63"/>
      <c r="BN1000" s="64"/>
    </row>
  </sheetData>
  <autoFilter ref="A1:CP233" xr:uid="{00000000-0001-0000-0000-000000000000}">
    <filterColumn colId="3">
      <filters>
        <filter val="No binario"/>
      </filters>
    </filterColumn>
  </autoFilter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823618-CD00-4653-A70D-4FB75B795BAF}">
  <dimension ref="A1"/>
  <sheetViews>
    <sheetView workbookViewId="0"/>
  </sheetViews>
  <sheetFormatPr defaultRowHeight="13.2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48D7B-EF0D-442A-85F9-769363E10E93}">
  <dimension ref="B2:AE448"/>
  <sheetViews>
    <sheetView topLeftCell="A322" workbookViewId="0">
      <selection activeCell="B435" sqref="B435"/>
    </sheetView>
  </sheetViews>
  <sheetFormatPr defaultRowHeight="13.2" x14ac:dyDescent="0.25"/>
  <cols>
    <col min="2" max="13" width="15.77734375" customWidth="1"/>
    <col min="25" max="34" width="18.5546875" customWidth="1"/>
  </cols>
  <sheetData>
    <row r="2" spans="2:31" x14ac:dyDescent="0.25">
      <c r="Y2" s="101" t="s">
        <v>888</v>
      </c>
    </row>
    <row r="3" spans="2:31" x14ac:dyDescent="0.25">
      <c r="B3" s="101" t="s">
        <v>889</v>
      </c>
    </row>
    <row r="4" spans="2:31" x14ac:dyDescent="0.25">
      <c r="Y4" s="98" t="s">
        <v>789</v>
      </c>
      <c r="Z4" s="98" t="s">
        <v>790</v>
      </c>
      <c r="AA4" s="98" t="s">
        <v>791</v>
      </c>
      <c r="AB4" s="98" t="s">
        <v>792</v>
      </c>
      <c r="AC4" s="98" t="s">
        <v>793</v>
      </c>
      <c r="AD4" s="98" t="s">
        <v>794</v>
      </c>
      <c r="AE4" s="98" t="s">
        <v>795</v>
      </c>
    </row>
    <row r="5" spans="2:31" ht="26.4" x14ac:dyDescent="0.25">
      <c r="B5" s="102" t="s">
        <v>789</v>
      </c>
      <c r="C5" s="102" t="s">
        <v>790</v>
      </c>
      <c r="D5" s="102" t="s">
        <v>791</v>
      </c>
      <c r="E5" s="102" t="s">
        <v>792</v>
      </c>
      <c r="F5" s="102" t="s">
        <v>793</v>
      </c>
      <c r="G5" s="102" t="s">
        <v>794</v>
      </c>
      <c r="H5" s="102" t="s">
        <v>795</v>
      </c>
      <c r="Y5" s="99" t="s">
        <v>796</v>
      </c>
      <c r="Z5" s="100">
        <v>3877551</v>
      </c>
      <c r="AA5" s="100">
        <v>3250000</v>
      </c>
      <c r="AB5" s="99" t="s">
        <v>797</v>
      </c>
      <c r="AC5" s="100">
        <v>1851282</v>
      </c>
      <c r="AD5" s="99" t="s">
        <v>798</v>
      </c>
      <c r="AE5" s="99" t="s">
        <v>271</v>
      </c>
    </row>
    <row r="6" spans="2:31" x14ac:dyDescent="0.25">
      <c r="B6" s="103" t="s">
        <v>796</v>
      </c>
      <c r="C6" s="104">
        <v>3877551</v>
      </c>
      <c r="D6" s="104">
        <v>3250000</v>
      </c>
      <c r="E6" s="103" t="s">
        <v>797</v>
      </c>
      <c r="F6" s="104">
        <v>1851282</v>
      </c>
      <c r="G6" s="103" t="s">
        <v>798</v>
      </c>
      <c r="H6" s="103" t="s">
        <v>271</v>
      </c>
      <c r="Y6" s="99" t="s">
        <v>799</v>
      </c>
      <c r="Z6" s="100">
        <v>3673469</v>
      </c>
      <c r="AA6" s="100">
        <v>2500000</v>
      </c>
      <c r="AB6" s="100">
        <v>1173469</v>
      </c>
      <c r="AC6" s="100">
        <v>2828677</v>
      </c>
      <c r="AD6" s="99" t="s">
        <v>800</v>
      </c>
      <c r="AE6" s="99" t="s">
        <v>801</v>
      </c>
    </row>
    <row r="7" spans="2:31" ht="26.4" x14ac:dyDescent="0.25">
      <c r="B7" s="103" t="s">
        <v>799</v>
      </c>
      <c r="C7" s="104">
        <v>3734694</v>
      </c>
      <c r="D7" s="104">
        <v>2500000</v>
      </c>
      <c r="E7" s="104">
        <v>1234694</v>
      </c>
      <c r="F7" s="104">
        <v>3026103</v>
      </c>
      <c r="G7" s="103" t="s">
        <v>890</v>
      </c>
      <c r="H7" s="103" t="s">
        <v>801</v>
      </c>
      <c r="Y7" s="99" t="s">
        <v>802</v>
      </c>
      <c r="Z7" s="100">
        <v>3469388</v>
      </c>
      <c r="AA7" s="100">
        <v>2250000</v>
      </c>
      <c r="AB7" s="100">
        <v>1219388</v>
      </c>
      <c r="AC7" s="100">
        <v>4031208</v>
      </c>
      <c r="AD7" s="99" t="s">
        <v>803</v>
      </c>
      <c r="AE7" s="99" t="s">
        <v>801</v>
      </c>
    </row>
    <row r="8" spans="2:31" x14ac:dyDescent="0.25">
      <c r="B8" s="103" t="s">
        <v>802</v>
      </c>
      <c r="C8" s="104">
        <v>3469388</v>
      </c>
      <c r="D8" s="104">
        <v>2250000</v>
      </c>
      <c r="E8" s="104">
        <v>1219388</v>
      </c>
      <c r="F8" s="104">
        <v>4031208</v>
      </c>
      <c r="G8" s="103" t="s">
        <v>803</v>
      </c>
      <c r="H8" s="103" t="s">
        <v>801</v>
      </c>
      <c r="Y8" s="99" t="s">
        <v>804</v>
      </c>
      <c r="Z8" s="100">
        <v>3795918</v>
      </c>
      <c r="AA8" s="100">
        <v>3375000</v>
      </c>
      <c r="AB8" s="99" t="s">
        <v>805</v>
      </c>
      <c r="AC8" s="100">
        <v>1218395</v>
      </c>
      <c r="AD8" s="99" t="s">
        <v>806</v>
      </c>
      <c r="AE8" s="99" t="s">
        <v>271</v>
      </c>
    </row>
    <row r="9" spans="2:31" x14ac:dyDescent="0.25">
      <c r="B9" s="103" t="s">
        <v>804</v>
      </c>
      <c r="C9" s="104">
        <v>3795918</v>
      </c>
      <c r="D9" s="104">
        <v>3375000</v>
      </c>
      <c r="E9" s="103" t="s">
        <v>805</v>
      </c>
      <c r="F9" s="104">
        <v>1218395</v>
      </c>
      <c r="G9" s="103" t="s">
        <v>806</v>
      </c>
      <c r="H9" s="103" t="s">
        <v>271</v>
      </c>
      <c r="Y9" s="99" t="s">
        <v>807</v>
      </c>
      <c r="Z9" s="100">
        <v>2551020</v>
      </c>
      <c r="AA9" s="100">
        <v>3000000</v>
      </c>
      <c r="AB9" s="99" t="s">
        <v>808</v>
      </c>
      <c r="AC9" s="100">
        <v>-1077829</v>
      </c>
      <c r="AD9" s="99" t="s">
        <v>809</v>
      </c>
      <c r="AE9" s="99" t="s">
        <v>271</v>
      </c>
    </row>
    <row r="10" spans="2:31" ht="26.4" x14ac:dyDescent="0.25">
      <c r="B10" s="103" t="s">
        <v>891</v>
      </c>
      <c r="C10" s="104">
        <v>2836735</v>
      </c>
      <c r="D10" s="104">
        <v>2625000</v>
      </c>
      <c r="E10" s="103" t="s">
        <v>892</v>
      </c>
      <c r="F10" s="103" t="s">
        <v>893</v>
      </c>
      <c r="G10" s="103" t="s">
        <v>894</v>
      </c>
      <c r="H10" s="103" t="s">
        <v>271</v>
      </c>
      <c r="Y10" s="99" t="s">
        <v>810</v>
      </c>
      <c r="Z10" s="100">
        <v>2653061</v>
      </c>
      <c r="AA10" s="100">
        <v>3500000</v>
      </c>
      <c r="AB10" s="99" t="s">
        <v>811</v>
      </c>
      <c r="AC10" s="100">
        <v>-2813694</v>
      </c>
      <c r="AD10" s="99" t="s">
        <v>812</v>
      </c>
      <c r="AE10" s="99" t="s">
        <v>801</v>
      </c>
    </row>
    <row r="11" spans="2:31" ht="26.4" x14ac:dyDescent="0.25">
      <c r="B11" s="103" t="s">
        <v>895</v>
      </c>
      <c r="C11" s="104">
        <v>2959184</v>
      </c>
      <c r="D11" s="104">
        <v>2250000</v>
      </c>
      <c r="E11" s="103" t="s">
        <v>896</v>
      </c>
      <c r="F11" s="104">
        <v>2108392</v>
      </c>
      <c r="G11" s="103" t="s">
        <v>897</v>
      </c>
      <c r="H11" s="103" t="s">
        <v>271</v>
      </c>
      <c r="Y11" s="99" t="s">
        <v>813</v>
      </c>
      <c r="Z11" s="100">
        <v>3000000</v>
      </c>
      <c r="AA11" s="100">
        <v>3500000</v>
      </c>
      <c r="AB11" s="99" t="s">
        <v>814</v>
      </c>
      <c r="AC11" s="100">
        <v>-2160247</v>
      </c>
      <c r="AD11" s="99" t="s">
        <v>815</v>
      </c>
      <c r="AE11" s="99" t="s">
        <v>801</v>
      </c>
    </row>
    <row r="12" spans="2:31" ht="26.4" x14ac:dyDescent="0.25">
      <c r="B12" s="103" t="s">
        <v>898</v>
      </c>
      <c r="C12" s="104">
        <v>2857143</v>
      </c>
      <c r="D12" s="104">
        <v>2875000</v>
      </c>
      <c r="E12" s="103" t="s">
        <v>899</v>
      </c>
      <c r="F12" s="103" t="s">
        <v>900</v>
      </c>
      <c r="G12" s="103" t="s">
        <v>901</v>
      </c>
      <c r="H12" s="103" t="s">
        <v>271</v>
      </c>
      <c r="Y12" s="99" t="s">
        <v>816</v>
      </c>
      <c r="Z12" s="100">
        <v>2897959</v>
      </c>
      <c r="AA12" s="100">
        <v>4000000</v>
      </c>
      <c r="AB12" s="100">
        <v>-1102041</v>
      </c>
      <c r="AC12" s="100">
        <v>-3567123</v>
      </c>
      <c r="AD12" s="99" t="s">
        <v>817</v>
      </c>
      <c r="AE12" s="99" t="s">
        <v>801</v>
      </c>
    </row>
    <row r="13" spans="2:31" ht="26.4" x14ac:dyDescent="0.25">
      <c r="B13" s="103" t="s">
        <v>902</v>
      </c>
      <c r="C13" s="104">
        <v>3326531</v>
      </c>
      <c r="D13" s="104">
        <v>3375000</v>
      </c>
      <c r="E13" s="103" t="s">
        <v>903</v>
      </c>
      <c r="F13" s="103" t="s">
        <v>904</v>
      </c>
      <c r="G13" s="103" t="s">
        <v>905</v>
      </c>
      <c r="H13" s="103" t="s">
        <v>271</v>
      </c>
      <c r="Y13" s="99" t="s">
        <v>818</v>
      </c>
      <c r="Z13" s="100">
        <v>3673469</v>
      </c>
      <c r="AA13" s="100">
        <v>2375000</v>
      </c>
      <c r="AB13" s="100">
        <v>1298469</v>
      </c>
      <c r="AC13" s="100">
        <v>5665941</v>
      </c>
      <c r="AD13" s="99" t="s">
        <v>819</v>
      </c>
      <c r="AE13" s="99" t="s">
        <v>801</v>
      </c>
    </row>
    <row r="14" spans="2:31" ht="26.4" x14ac:dyDescent="0.25">
      <c r="B14" s="103" t="s">
        <v>906</v>
      </c>
      <c r="C14" s="104">
        <v>3285714</v>
      </c>
      <c r="D14" s="104">
        <v>3375000</v>
      </c>
      <c r="E14" s="103" t="s">
        <v>907</v>
      </c>
      <c r="F14" s="103" t="s">
        <v>908</v>
      </c>
      <c r="G14" s="103" t="s">
        <v>909</v>
      </c>
      <c r="H14" s="103" t="s">
        <v>271</v>
      </c>
      <c r="Y14" s="99" t="s">
        <v>820</v>
      </c>
      <c r="Z14" s="100">
        <v>3918367</v>
      </c>
      <c r="AA14" s="100">
        <v>3000000</v>
      </c>
      <c r="AB14" s="99" t="s">
        <v>821</v>
      </c>
      <c r="AC14" s="100">
        <v>1899690</v>
      </c>
      <c r="AD14" s="99" t="s">
        <v>822</v>
      </c>
      <c r="AE14" s="99" t="s">
        <v>271</v>
      </c>
    </row>
    <row r="15" spans="2:31" ht="26.4" x14ac:dyDescent="0.25">
      <c r="B15" s="103" t="s">
        <v>910</v>
      </c>
      <c r="C15" s="104">
        <v>3530612</v>
      </c>
      <c r="D15" s="104">
        <v>3500000</v>
      </c>
      <c r="E15" s="103" t="s">
        <v>911</v>
      </c>
      <c r="F15" s="103" t="s">
        <v>912</v>
      </c>
      <c r="G15" s="103" t="s">
        <v>913</v>
      </c>
      <c r="H15" s="103" t="s">
        <v>271</v>
      </c>
      <c r="Y15" s="99" t="s">
        <v>823</v>
      </c>
      <c r="Z15" s="100">
        <v>3367347</v>
      </c>
      <c r="AA15" s="100">
        <v>3000000</v>
      </c>
      <c r="AB15" s="99" t="s">
        <v>824</v>
      </c>
      <c r="AC15" s="100">
        <v>1009588</v>
      </c>
      <c r="AD15" s="99" t="s">
        <v>825</v>
      </c>
      <c r="AE15" s="99" t="s">
        <v>271</v>
      </c>
    </row>
    <row r="16" spans="2:31" ht="26.4" x14ac:dyDescent="0.25">
      <c r="B16" s="103" t="s">
        <v>914</v>
      </c>
      <c r="C16" s="104">
        <v>3204082</v>
      </c>
      <c r="D16" s="104">
        <v>3250000</v>
      </c>
      <c r="E16" s="103" t="s">
        <v>915</v>
      </c>
      <c r="F16" s="103" t="s">
        <v>916</v>
      </c>
      <c r="G16" s="103" t="s">
        <v>917</v>
      </c>
      <c r="H16" s="103" t="s">
        <v>271</v>
      </c>
      <c r="Y16" s="99" t="s">
        <v>826</v>
      </c>
      <c r="Z16" s="100">
        <v>3653061</v>
      </c>
      <c r="AA16" s="100">
        <v>2875000</v>
      </c>
      <c r="AB16" s="99" t="s">
        <v>827</v>
      </c>
      <c r="AC16" s="100">
        <v>2083980</v>
      </c>
      <c r="AD16" s="99" t="s">
        <v>828</v>
      </c>
      <c r="AE16" s="99" t="s">
        <v>271</v>
      </c>
    </row>
    <row r="17" spans="2:31" x14ac:dyDescent="0.25">
      <c r="B17" s="103" t="s">
        <v>818</v>
      </c>
      <c r="C17" s="104">
        <v>3673469</v>
      </c>
      <c r="D17" s="104">
        <v>2375000</v>
      </c>
      <c r="E17" s="104">
        <v>1298469</v>
      </c>
      <c r="F17" s="104">
        <v>5665941</v>
      </c>
      <c r="G17" s="103" t="s">
        <v>819</v>
      </c>
      <c r="H17" s="103" t="s">
        <v>801</v>
      </c>
      <c r="Y17" s="99" t="s">
        <v>829</v>
      </c>
      <c r="Z17" s="100">
        <v>4000000</v>
      </c>
      <c r="AA17" s="100">
        <v>3875000</v>
      </c>
      <c r="AB17" s="99" t="s">
        <v>830</v>
      </c>
      <c r="AC17" s="99" t="s">
        <v>831</v>
      </c>
      <c r="AD17" s="99" t="s">
        <v>832</v>
      </c>
      <c r="AE17" s="99" t="s">
        <v>271</v>
      </c>
    </row>
    <row r="18" spans="2:31" x14ac:dyDescent="0.25">
      <c r="B18" s="103" t="s">
        <v>918</v>
      </c>
      <c r="C18" s="104">
        <v>4428571</v>
      </c>
      <c r="D18" s="104">
        <v>4250000</v>
      </c>
      <c r="E18" s="103" t="s">
        <v>919</v>
      </c>
      <c r="F18" s="103" t="s">
        <v>920</v>
      </c>
      <c r="G18" s="103" t="s">
        <v>921</v>
      </c>
      <c r="H18" s="103" t="s">
        <v>271</v>
      </c>
    </row>
    <row r="19" spans="2:31" x14ac:dyDescent="0.25">
      <c r="B19" s="103" t="s">
        <v>922</v>
      </c>
      <c r="C19" s="104">
        <v>3387755</v>
      </c>
      <c r="D19" s="104">
        <v>3125000</v>
      </c>
      <c r="E19" s="103" t="s">
        <v>923</v>
      </c>
      <c r="F19" s="103" t="s">
        <v>924</v>
      </c>
      <c r="G19" s="103" t="s">
        <v>925</v>
      </c>
      <c r="H19" s="103" t="s">
        <v>271</v>
      </c>
    </row>
    <row r="20" spans="2:31" x14ac:dyDescent="0.25">
      <c r="B20" s="103" t="s">
        <v>926</v>
      </c>
      <c r="C20" s="104">
        <v>3632653</v>
      </c>
      <c r="D20" s="104">
        <v>3500000</v>
      </c>
      <c r="E20" s="103" t="s">
        <v>927</v>
      </c>
      <c r="F20" s="103" t="s">
        <v>928</v>
      </c>
      <c r="G20" s="103" t="s">
        <v>929</v>
      </c>
      <c r="H20" s="103" t="s">
        <v>271</v>
      </c>
    </row>
    <row r="21" spans="2:31" x14ac:dyDescent="0.25">
      <c r="B21" s="103" t="s">
        <v>820</v>
      </c>
      <c r="C21" s="104">
        <v>3918367</v>
      </c>
      <c r="D21" s="104">
        <v>3000000</v>
      </c>
      <c r="E21" s="103" t="s">
        <v>821</v>
      </c>
      <c r="F21" s="104">
        <v>1899690</v>
      </c>
      <c r="G21" s="103" t="s">
        <v>822</v>
      </c>
      <c r="H21" s="103" t="s">
        <v>271</v>
      </c>
      <c r="Y21" s="101" t="s">
        <v>887</v>
      </c>
    </row>
    <row r="22" spans="2:31" x14ac:dyDescent="0.25">
      <c r="B22" s="103" t="s">
        <v>823</v>
      </c>
      <c r="C22" s="104">
        <v>3367347</v>
      </c>
      <c r="D22" s="104">
        <v>3000000</v>
      </c>
      <c r="E22" s="103" t="s">
        <v>824</v>
      </c>
      <c r="F22" s="104">
        <v>1009588</v>
      </c>
      <c r="G22" s="103" t="s">
        <v>825</v>
      </c>
      <c r="H22" s="103" t="s">
        <v>271</v>
      </c>
    </row>
    <row r="23" spans="2:31" ht="26.4" x14ac:dyDescent="0.25">
      <c r="B23" s="103" t="s">
        <v>930</v>
      </c>
      <c r="C23" s="104">
        <v>3061224</v>
      </c>
      <c r="D23" s="104">
        <v>2875000</v>
      </c>
      <c r="E23" s="103" t="s">
        <v>931</v>
      </c>
      <c r="F23" s="103" t="s">
        <v>932</v>
      </c>
      <c r="G23" s="103" t="s">
        <v>933</v>
      </c>
      <c r="H23" s="103" t="s">
        <v>271</v>
      </c>
      <c r="Y23" s="98" t="s">
        <v>789</v>
      </c>
      <c r="Z23" s="98" t="s">
        <v>790</v>
      </c>
      <c r="AA23" s="98" t="s">
        <v>791</v>
      </c>
      <c r="AB23" s="98" t="s">
        <v>792</v>
      </c>
      <c r="AC23" s="98" t="s">
        <v>793</v>
      </c>
      <c r="AD23" s="98" t="s">
        <v>794</v>
      </c>
      <c r="AE23" s="98" t="s">
        <v>795</v>
      </c>
    </row>
    <row r="24" spans="2:31" ht="26.4" x14ac:dyDescent="0.25">
      <c r="B24" s="103" t="s">
        <v>829</v>
      </c>
      <c r="C24" s="104">
        <v>4000000</v>
      </c>
      <c r="D24" s="104">
        <v>3875000</v>
      </c>
      <c r="E24" s="103" t="s">
        <v>830</v>
      </c>
      <c r="F24" s="103" t="s">
        <v>831</v>
      </c>
      <c r="G24" s="103" t="s">
        <v>832</v>
      </c>
      <c r="H24" s="103" t="s">
        <v>271</v>
      </c>
      <c r="Y24" s="99" t="s">
        <v>796</v>
      </c>
      <c r="Z24" s="100">
        <v>3903448</v>
      </c>
      <c r="AA24" s="100">
        <v>3533333</v>
      </c>
      <c r="AB24" s="99" t="s">
        <v>833</v>
      </c>
      <c r="AC24" s="100">
        <v>2306067</v>
      </c>
      <c r="AD24" s="99" t="s">
        <v>834</v>
      </c>
      <c r="AE24" s="99" t="s">
        <v>801</v>
      </c>
    </row>
    <row r="25" spans="2:31" x14ac:dyDescent="0.25">
      <c r="B25" s="103" t="s">
        <v>934</v>
      </c>
      <c r="C25" s="104">
        <v>3040816</v>
      </c>
      <c r="D25" s="104">
        <v>2750000</v>
      </c>
      <c r="E25" s="103" t="s">
        <v>935</v>
      </c>
      <c r="F25" s="103" t="s">
        <v>936</v>
      </c>
      <c r="G25" s="103" t="s">
        <v>937</v>
      </c>
      <c r="H25" s="103" t="s">
        <v>271</v>
      </c>
      <c r="Y25" s="99" t="s">
        <v>799</v>
      </c>
      <c r="Z25" s="100">
        <v>3448276</v>
      </c>
      <c r="AA25" s="100">
        <v>3500000</v>
      </c>
      <c r="AB25" s="99" t="s">
        <v>835</v>
      </c>
      <c r="AC25" s="99" t="s">
        <v>836</v>
      </c>
      <c r="AD25" s="99" t="s">
        <v>837</v>
      </c>
      <c r="AE25" s="99" t="s">
        <v>271</v>
      </c>
    </row>
    <row r="26" spans="2:31" x14ac:dyDescent="0.25">
      <c r="B26" s="103" t="s">
        <v>938</v>
      </c>
      <c r="C26" s="104">
        <v>2530612</v>
      </c>
      <c r="D26" s="104">
        <v>2875000</v>
      </c>
      <c r="E26" s="103" t="s">
        <v>939</v>
      </c>
      <c r="F26" s="103" t="s">
        <v>940</v>
      </c>
      <c r="G26" s="103" t="s">
        <v>941</v>
      </c>
      <c r="H26" s="103" t="s">
        <v>271</v>
      </c>
      <c r="Y26" s="99" t="s">
        <v>802</v>
      </c>
      <c r="Z26" s="100">
        <v>3365517</v>
      </c>
      <c r="AA26" s="100">
        <v>3433333</v>
      </c>
      <c r="AB26" s="99" t="s">
        <v>838</v>
      </c>
      <c r="AC26" s="99" t="s">
        <v>839</v>
      </c>
      <c r="AD26" s="99" t="s">
        <v>840</v>
      </c>
      <c r="AE26" s="99" t="s">
        <v>271</v>
      </c>
    </row>
    <row r="27" spans="2:31" ht="26.4" x14ac:dyDescent="0.25">
      <c r="B27" s="103" t="s">
        <v>942</v>
      </c>
      <c r="C27" s="104">
        <v>2938776</v>
      </c>
      <c r="D27" s="104">
        <v>3000000</v>
      </c>
      <c r="E27" s="103" t="s">
        <v>943</v>
      </c>
      <c r="F27" s="103" t="s">
        <v>944</v>
      </c>
      <c r="G27" s="103" t="s">
        <v>945</v>
      </c>
      <c r="H27" s="103" t="s">
        <v>271</v>
      </c>
      <c r="Y27" s="99" t="s">
        <v>804</v>
      </c>
      <c r="Z27" s="100">
        <v>3600000</v>
      </c>
      <c r="AA27" s="100">
        <v>3566667</v>
      </c>
      <c r="AB27" s="99" t="s">
        <v>841</v>
      </c>
      <c r="AC27" s="99" t="s">
        <v>842</v>
      </c>
      <c r="AD27" s="99" t="s">
        <v>843</v>
      </c>
      <c r="AE27" s="99" t="s">
        <v>271</v>
      </c>
    </row>
    <row r="28" spans="2:31" x14ac:dyDescent="0.25">
      <c r="B28" s="103" t="s">
        <v>946</v>
      </c>
      <c r="C28" s="104">
        <v>2959184</v>
      </c>
      <c r="D28" s="104">
        <v>3125000</v>
      </c>
      <c r="E28" s="103" t="s">
        <v>947</v>
      </c>
      <c r="F28" s="103" t="s">
        <v>948</v>
      </c>
      <c r="G28" s="103" t="s">
        <v>949</v>
      </c>
      <c r="H28" s="103" t="s">
        <v>271</v>
      </c>
      <c r="Y28" s="99" t="s">
        <v>807</v>
      </c>
      <c r="Z28" s="100">
        <v>2248276</v>
      </c>
      <c r="AA28" s="100">
        <v>2266667</v>
      </c>
      <c r="AB28" s="99" t="s">
        <v>844</v>
      </c>
      <c r="AC28" s="99" t="s">
        <v>845</v>
      </c>
      <c r="AD28" s="99" t="s">
        <v>846</v>
      </c>
      <c r="AE28" s="99" t="s">
        <v>271</v>
      </c>
    </row>
    <row r="29" spans="2:31" ht="26.4" x14ac:dyDescent="0.25">
      <c r="B29" s="103" t="s">
        <v>950</v>
      </c>
      <c r="C29" s="104">
        <v>3081633</v>
      </c>
      <c r="D29" s="104">
        <v>3125000</v>
      </c>
      <c r="E29" s="103" t="s">
        <v>951</v>
      </c>
      <c r="F29" s="103" t="s">
        <v>952</v>
      </c>
      <c r="G29" s="103" t="s">
        <v>953</v>
      </c>
      <c r="H29" s="103" t="s">
        <v>271</v>
      </c>
      <c r="Y29" s="99" t="s">
        <v>810</v>
      </c>
      <c r="Z29" s="100">
        <v>2489655</v>
      </c>
      <c r="AA29" s="100">
        <v>2533333</v>
      </c>
      <c r="AB29" s="99" t="s">
        <v>847</v>
      </c>
      <c r="AC29" s="99" t="s">
        <v>848</v>
      </c>
      <c r="AD29" s="99" t="s">
        <v>849</v>
      </c>
      <c r="AE29" s="99" t="s">
        <v>271</v>
      </c>
    </row>
    <row r="30" spans="2:31" x14ac:dyDescent="0.25">
      <c r="B30" s="103" t="s">
        <v>954</v>
      </c>
      <c r="C30" s="104">
        <v>3102041</v>
      </c>
      <c r="D30" s="104">
        <v>3125000</v>
      </c>
      <c r="E30" s="103" t="s">
        <v>955</v>
      </c>
      <c r="F30" s="103" t="s">
        <v>956</v>
      </c>
      <c r="G30" s="103" t="s">
        <v>957</v>
      </c>
      <c r="H30" s="103" t="s">
        <v>271</v>
      </c>
      <c r="Y30" s="99" t="s">
        <v>813</v>
      </c>
      <c r="Z30" s="100">
        <v>2910345</v>
      </c>
      <c r="AA30" s="100">
        <v>3066667</v>
      </c>
      <c r="AB30" s="99" t="s">
        <v>850</v>
      </c>
      <c r="AC30" s="100">
        <v>-1209761</v>
      </c>
      <c r="AD30" s="99" t="s">
        <v>851</v>
      </c>
      <c r="AE30" s="99" t="s">
        <v>271</v>
      </c>
    </row>
    <row r="31" spans="2:31" ht="26.4" x14ac:dyDescent="0.25">
      <c r="B31" s="103" t="s">
        <v>958</v>
      </c>
      <c r="C31" s="104">
        <v>2306122</v>
      </c>
      <c r="D31" s="104">
        <v>2250000</v>
      </c>
      <c r="E31" s="103" t="s">
        <v>959</v>
      </c>
      <c r="F31" s="103" t="s">
        <v>960</v>
      </c>
      <c r="G31" s="103" t="s">
        <v>961</v>
      </c>
      <c r="H31" s="103" t="s">
        <v>271</v>
      </c>
      <c r="Y31" s="99" t="s">
        <v>816</v>
      </c>
      <c r="Z31" s="100">
        <v>2827586</v>
      </c>
      <c r="AA31" s="100">
        <v>2366667</v>
      </c>
      <c r="AB31" s="99" t="s">
        <v>852</v>
      </c>
      <c r="AC31" s="100">
        <v>2034302</v>
      </c>
      <c r="AD31" s="99" t="s">
        <v>853</v>
      </c>
      <c r="AE31" s="99" t="s">
        <v>801</v>
      </c>
    </row>
    <row r="32" spans="2:31" x14ac:dyDescent="0.25">
      <c r="B32" s="103" t="s">
        <v>962</v>
      </c>
      <c r="C32" s="104">
        <v>3918367</v>
      </c>
      <c r="D32" s="104">
        <v>3750000</v>
      </c>
      <c r="E32" s="103" t="s">
        <v>963</v>
      </c>
      <c r="F32" s="103" t="s">
        <v>964</v>
      </c>
      <c r="G32" s="103" t="s">
        <v>965</v>
      </c>
      <c r="H32" s="103" t="s">
        <v>271</v>
      </c>
      <c r="Y32" s="99" t="s">
        <v>818</v>
      </c>
      <c r="Z32" s="100">
        <v>3696552</v>
      </c>
      <c r="AA32" s="100">
        <v>3400000</v>
      </c>
      <c r="AB32" s="99" t="s">
        <v>854</v>
      </c>
      <c r="AC32" s="100">
        <v>1759034</v>
      </c>
      <c r="AD32" s="99" t="s">
        <v>855</v>
      </c>
      <c r="AE32" s="99" t="s">
        <v>271</v>
      </c>
    </row>
    <row r="33" spans="2:31" ht="26.4" x14ac:dyDescent="0.25">
      <c r="B33" s="103" t="s">
        <v>966</v>
      </c>
      <c r="C33" s="104">
        <v>2428571</v>
      </c>
      <c r="D33" s="104">
        <v>2750000</v>
      </c>
      <c r="E33" s="103" t="s">
        <v>967</v>
      </c>
      <c r="F33" s="103" t="s">
        <v>968</v>
      </c>
      <c r="G33" s="103" t="s">
        <v>969</v>
      </c>
      <c r="H33" s="103" t="s">
        <v>271</v>
      </c>
      <c r="Y33" s="99" t="s">
        <v>820</v>
      </c>
      <c r="Z33" s="100">
        <v>3993103</v>
      </c>
      <c r="AA33" s="100">
        <v>3633333</v>
      </c>
      <c r="AB33" s="99" t="s">
        <v>856</v>
      </c>
      <c r="AC33" s="100">
        <v>1772525</v>
      </c>
      <c r="AD33" s="99" t="s">
        <v>857</v>
      </c>
      <c r="AE33" s="99" t="s">
        <v>271</v>
      </c>
    </row>
    <row r="34" spans="2:31" x14ac:dyDescent="0.25">
      <c r="B34" s="103" t="s">
        <v>970</v>
      </c>
      <c r="C34" s="104">
        <v>3020408</v>
      </c>
      <c r="D34" s="104">
        <v>2875000</v>
      </c>
      <c r="E34" s="103" t="s">
        <v>971</v>
      </c>
      <c r="F34" s="103" t="s">
        <v>972</v>
      </c>
      <c r="G34" s="103" t="s">
        <v>973</v>
      </c>
      <c r="H34" s="103" t="s">
        <v>271</v>
      </c>
      <c r="Y34" s="99" t="s">
        <v>823</v>
      </c>
      <c r="Z34" s="100">
        <v>3406897</v>
      </c>
      <c r="AA34" s="100">
        <v>3200000</v>
      </c>
      <c r="AB34" s="99" t="s">
        <v>858</v>
      </c>
      <c r="AC34" s="100">
        <v>1146311</v>
      </c>
      <c r="AD34" s="99" t="s">
        <v>859</v>
      </c>
      <c r="AE34" s="99" t="s">
        <v>271</v>
      </c>
    </row>
    <row r="35" spans="2:31" x14ac:dyDescent="0.25">
      <c r="B35" s="103" t="s">
        <v>826</v>
      </c>
      <c r="C35" s="104">
        <v>3653061</v>
      </c>
      <c r="D35" s="104">
        <v>2875000</v>
      </c>
      <c r="E35" s="103" t="s">
        <v>827</v>
      </c>
      <c r="F35" s="104">
        <v>2083980</v>
      </c>
      <c r="G35" s="103" t="s">
        <v>828</v>
      </c>
      <c r="H35" s="103" t="s">
        <v>271</v>
      </c>
      <c r="Y35" s="99" t="s">
        <v>826</v>
      </c>
      <c r="Z35" s="100">
        <v>3806897</v>
      </c>
      <c r="AA35" s="100">
        <v>3466667</v>
      </c>
      <c r="AB35" s="99" t="s">
        <v>860</v>
      </c>
      <c r="AC35" s="100">
        <v>2156366</v>
      </c>
      <c r="AD35" s="99" t="s">
        <v>861</v>
      </c>
      <c r="AE35" s="99" t="s">
        <v>801</v>
      </c>
    </row>
    <row r="36" spans="2:31" x14ac:dyDescent="0.25">
      <c r="B36" s="103" t="s">
        <v>807</v>
      </c>
      <c r="C36" s="104">
        <v>2551020</v>
      </c>
      <c r="D36" s="104">
        <v>3000000</v>
      </c>
      <c r="E36" s="103" t="s">
        <v>808</v>
      </c>
      <c r="F36" s="104">
        <v>-1077829</v>
      </c>
      <c r="G36" s="103" t="s">
        <v>809</v>
      </c>
      <c r="H36" s="103" t="s">
        <v>271</v>
      </c>
      <c r="Y36" s="99" t="s">
        <v>829</v>
      </c>
      <c r="Z36" s="100">
        <v>4165517</v>
      </c>
      <c r="AA36" s="100">
        <v>3766667</v>
      </c>
      <c r="AB36" s="99" t="s">
        <v>862</v>
      </c>
      <c r="AC36" s="100">
        <v>1901334</v>
      </c>
      <c r="AD36" s="99" t="s">
        <v>863</v>
      </c>
      <c r="AE36" s="99" t="s">
        <v>271</v>
      </c>
    </row>
    <row r="37" spans="2:31" x14ac:dyDescent="0.25">
      <c r="B37" s="103" t="s">
        <v>974</v>
      </c>
      <c r="C37" s="104">
        <v>3387755</v>
      </c>
      <c r="D37" s="104">
        <v>3125000</v>
      </c>
      <c r="E37" s="103" t="s">
        <v>923</v>
      </c>
      <c r="F37" s="103" t="s">
        <v>975</v>
      </c>
      <c r="G37" s="103" t="s">
        <v>976</v>
      </c>
      <c r="H37" s="103" t="s">
        <v>271</v>
      </c>
    </row>
    <row r="38" spans="2:31" x14ac:dyDescent="0.25">
      <c r="B38" s="103" t="s">
        <v>810</v>
      </c>
      <c r="C38" s="104">
        <v>2653061</v>
      </c>
      <c r="D38" s="104">
        <v>3500000</v>
      </c>
      <c r="E38" s="103" t="s">
        <v>811</v>
      </c>
      <c r="F38" s="104">
        <v>-2813694</v>
      </c>
      <c r="G38" s="103" t="s">
        <v>812</v>
      </c>
      <c r="H38" s="103" t="s">
        <v>801</v>
      </c>
    </row>
    <row r="39" spans="2:31" x14ac:dyDescent="0.25">
      <c r="B39" s="103" t="s">
        <v>813</v>
      </c>
      <c r="C39" s="104">
        <v>3000000</v>
      </c>
      <c r="D39" s="104">
        <v>3500000</v>
      </c>
      <c r="E39" s="103" t="s">
        <v>814</v>
      </c>
      <c r="F39" s="104">
        <v>-2160247</v>
      </c>
      <c r="G39" s="103" t="s">
        <v>815</v>
      </c>
      <c r="H39" s="103" t="s">
        <v>801</v>
      </c>
    </row>
    <row r="40" spans="2:31" x14ac:dyDescent="0.25">
      <c r="B40" s="103" t="s">
        <v>977</v>
      </c>
      <c r="C40" s="104">
        <v>4469388</v>
      </c>
      <c r="D40" s="104">
        <v>4125000</v>
      </c>
      <c r="E40" s="103" t="s">
        <v>978</v>
      </c>
      <c r="F40" s="104">
        <v>1288931</v>
      </c>
      <c r="G40" s="103" t="s">
        <v>979</v>
      </c>
      <c r="H40" s="103" t="s">
        <v>271</v>
      </c>
    </row>
    <row r="41" spans="2:31" ht="26.4" x14ac:dyDescent="0.25">
      <c r="B41" s="103" t="s">
        <v>980</v>
      </c>
      <c r="C41" s="104">
        <v>3408163</v>
      </c>
      <c r="D41" s="104">
        <v>3625000</v>
      </c>
      <c r="E41" s="103" t="s">
        <v>981</v>
      </c>
      <c r="F41" s="103" t="s">
        <v>982</v>
      </c>
      <c r="G41" s="103" t="s">
        <v>983</v>
      </c>
      <c r="H41" s="103" t="s">
        <v>271</v>
      </c>
    </row>
    <row r="42" spans="2:31" x14ac:dyDescent="0.25">
      <c r="B42" s="103" t="s">
        <v>984</v>
      </c>
      <c r="C42" s="104">
        <v>2755102</v>
      </c>
      <c r="D42" s="104">
        <v>2875000</v>
      </c>
      <c r="E42" s="103" t="s">
        <v>985</v>
      </c>
      <c r="F42" s="103" t="s">
        <v>986</v>
      </c>
      <c r="G42" s="103" t="s">
        <v>987</v>
      </c>
      <c r="H42" s="103" t="s">
        <v>271</v>
      </c>
      <c r="Y42" s="101" t="s">
        <v>886</v>
      </c>
    </row>
    <row r="43" spans="2:31" ht="26.4" x14ac:dyDescent="0.25">
      <c r="B43" s="103" t="s">
        <v>988</v>
      </c>
      <c r="C43" s="104">
        <v>3877551</v>
      </c>
      <c r="D43" s="104">
        <v>3750000</v>
      </c>
      <c r="E43" s="103" t="s">
        <v>989</v>
      </c>
      <c r="F43" s="103" t="s">
        <v>990</v>
      </c>
      <c r="G43" s="103" t="s">
        <v>991</v>
      </c>
      <c r="H43" s="103" t="s">
        <v>271</v>
      </c>
    </row>
    <row r="44" spans="2:31" ht="26.4" x14ac:dyDescent="0.25">
      <c r="B44" s="103" t="s">
        <v>816</v>
      </c>
      <c r="C44" s="104">
        <v>2897959</v>
      </c>
      <c r="D44" s="104">
        <v>4000000</v>
      </c>
      <c r="E44" s="104">
        <v>-1102041</v>
      </c>
      <c r="F44" s="104">
        <v>-3567123</v>
      </c>
      <c r="G44" s="103" t="s">
        <v>817</v>
      </c>
      <c r="H44" s="103" t="s">
        <v>801</v>
      </c>
      <c r="Y44" s="98" t="s">
        <v>789</v>
      </c>
      <c r="Z44" s="98" t="s">
        <v>864</v>
      </c>
      <c r="AA44" s="98" t="s">
        <v>865</v>
      </c>
      <c r="AB44" s="98" t="s">
        <v>866</v>
      </c>
    </row>
    <row r="45" spans="2:31" ht="26.4" x14ac:dyDescent="0.25">
      <c r="B45" s="103" t="s">
        <v>992</v>
      </c>
      <c r="C45" s="104">
        <v>2653061</v>
      </c>
      <c r="D45" s="104">
        <v>2875000</v>
      </c>
      <c r="E45" s="103" t="s">
        <v>993</v>
      </c>
      <c r="F45" s="103" t="s">
        <v>994</v>
      </c>
      <c r="G45" s="103" t="s">
        <v>995</v>
      </c>
      <c r="H45" s="103" t="s">
        <v>271</v>
      </c>
      <c r="Y45" s="99" t="s">
        <v>796</v>
      </c>
      <c r="Z45" s="99" t="s">
        <v>867</v>
      </c>
      <c r="AA45" s="99" t="s">
        <v>868</v>
      </c>
      <c r="AB45" s="99" t="s">
        <v>869</v>
      </c>
    </row>
    <row r="46" spans="2:31" ht="26.4" x14ac:dyDescent="0.25">
      <c r="Y46" s="99" t="s">
        <v>799</v>
      </c>
      <c r="Z46" s="99" t="s">
        <v>870</v>
      </c>
      <c r="AA46" s="99" t="s">
        <v>871</v>
      </c>
      <c r="AB46" s="99" t="s">
        <v>872</v>
      </c>
    </row>
    <row r="47" spans="2:31" ht="26.4" x14ac:dyDescent="0.25">
      <c r="B47" s="101" t="s">
        <v>996</v>
      </c>
      <c r="Y47" s="99" t="s">
        <v>802</v>
      </c>
      <c r="Z47" s="99" t="s">
        <v>873</v>
      </c>
      <c r="AA47" s="99" t="s">
        <v>874</v>
      </c>
      <c r="AB47" s="99" t="s">
        <v>872</v>
      </c>
    </row>
    <row r="48" spans="2:31" ht="26.4" x14ac:dyDescent="0.25">
      <c r="Y48" s="99" t="s">
        <v>810</v>
      </c>
      <c r="Z48" s="99" t="s">
        <v>875</v>
      </c>
      <c r="AA48" s="99" t="s">
        <v>876</v>
      </c>
      <c r="AB48" s="99" t="s">
        <v>872</v>
      </c>
    </row>
    <row r="49" spans="2:28" ht="26.4" x14ac:dyDescent="0.25">
      <c r="B49" s="102" t="s">
        <v>789</v>
      </c>
      <c r="C49" s="102" t="s">
        <v>790</v>
      </c>
      <c r="D49" s="102" t="s">
        <v>791</v>
      </c>
      <c r="E49" s="102" t="s">
        <v>792</v>
      </c>
      <c r="F49" s="102" t="s">
        <v>793</v>
      </c>
      <c r="G49" s="102" t="s">
        <v>794</v>
      </c>
      <c r="H49" s="102" t="s">
        <v>795</v>
      </c>
      <c r="Y49" s="99" t="s">
        <v>813</v>
      </c>
      <c r="Z49" s="99" t="s">
        <v>877</v>
      </c>
      <c r="AA49" s="99" t="s">
        <v>878</v>
      </c>
      <c r="AB49" s="99" t="s">
        <v>872</v>
      </c>
    </row>
    <row r="50" spans="2:28" ht="26.4" x14ac:dyDescent="0.25">
      <c r="B50" s="103" t="s">
        <v>796</v>
      </c>
      <c r="C50" s="104">
        <v>3903448</v>
      </c>
      <c r="D50" s="104">
        <v>3533333</v>
      </c>
      <c r="E50" s="103" t="s">
        <v>833</v>
      </c>
      <c r="F50" s="104">
        <v>2306067</v>
      </c>
      <c r="G50" s="103" t="s">
        <v>834</v>
      </c>
      <c r="H50" s="103" t="s">
        <v>801</v>
      </c>
      <c r="Y50" s="99" t="s">
        <v>816</v>
      </c>
      <c r="Z50" s="99" t="s">
        <v>879</v>
      </c>
      <c r="AA50" s="99" t="s">
        <v>880</v>
      </c>
      <c r="AB50" s="99" t="s">
        <v>881</v>
      </c>
    </row>
    <row r="51" spans="2:28" ht="26.4" x14ac:dyDescent="0.25">
      <c r="B51" s="103" t="s">
        <v>799</v>
      </c>
      <c r="C51" s="104">
        <v>3737931</v>
      </c>
      <c r="D51" s="104">
        <v>3500000</v>
      </c>
      <c r="E51" s="103" t="s">
        <v>997</v>
      </c>
      <c r="F51" s="104">
        <v>1367551</v>
      </c>
      <c r="G51" s="103" t="s">
        <v>998</v>
      </c>
      <c r="H51" s="103" t="s">
        <v>271</v>
      </c>
      <c r="Y51" s="99" t="s">
        <v>818</v>
      </c>
      <c r="Z51" s="99" t="s">
        <v>882</v>
      </c>
      <c r="AA51" s="99" t="s">
        <v>883</v>
      </c>
      <c r="AB51" s="99" t="s">
        <v>872</v>
      </c>
    </row>
    <row r="52" spans="2:28" ht="26.4" x14ac:dyDescent="0.25">
      <c r="B52" s="103" t="s">
        <v>802</v>
      </c>
      <c r="C52" s="104">
        <v>3593103</v>
      </c>
      <c r="D52" s="104">
        <v>3533333</v>
      </c>
      <c r="E52" s="103" t="s">
        <v>999</v>
      </c>
      <c r="F52" s="103" t="s">
        <v>1000</v>
      </c>
      <c r="G52" s="103" t="s">
        <v>1001</v>
      </c>
      <c r="H52" s="103" t="s">
        <v>271</v>
      </c>
      <c r="Y52" s="99" t="s">
        <v>826</v>
      </c>
      <c r="Z52" s="99" t="s">
        <v>884</v>
      </c>
      <c r="AA52" s="99" t="s">
        <v>885</v>
      </c>
      <c r="AB52" s="99" t="s">
        <v>869</v>
      </c>
    </row>
    <row r="53" spans="2:28" x14ac:dyDescent="0.25">
      <c r="B53" s="103" t="s">
        <v>804</v>
      </c>
      <c r="C53" s="104">
        <v>3600000</v>
      </c>
      <c r="D53" s="104">
        <v>3566667</v>
      </c>
      <c r="E53" s="103" t="s">
        <v>841</v>
      </c>
      <c r="F53" s="103" t="s">
        <v>842</v>
      </c>
      <c r="G53" s="103" t="s">
        <v>843</v>
      </c>
      <c r="H53" s="103" t="s">
        <v>271</v>
      </c>
    </row>
    <row r="54" spans="2:28" ht="26.4" x14ac:dyDescent="0.25">
      <c r="B54" s="103" t="s">
        <v>891</v>
      </c>
      <c r="C54" s="104">
        <v>2924138</v>
      </c>
      <c r="D54" s="104">
        <v>2766667</v>
      </c>
      <c r="E54" s="103" t="s">
        <v>1002</v>
      </c>
      <c r="F54" s="104">
        <v>1071830</v>
      </c>
      <c r="G54" s="103" t="s">
        <v>1003</v>
      </c>
      <c r="H54" s="103" t="s">
        <v>271</v>
      </c>
    </row>
    <row r="55" spans="2:28" ht="26.4" x14ac:dyDescent="0.25">
      <c r="B55" s="103" t="s">
        <v>895</v>
      </c>
      <c r="C55" s="104">
        <v>2751724</v>
      </c>
      <c r="D55" s="104">
        <v>2833333</v>
      </c>
      <c r="E55" s="103" t="s">
        <v>1004</v>
      </c>
      <c r="F55" s="103" t="s">
        <v>1005</v>
      </c>
      <c r="G55" s="103" t="s">
        <v>1006</v>
      </c>
      <c r="H55" s="103" t="s">
        <v>271</v>
      </c>
    </row>
    <row r="56" spans="2:28" ht="26.4" x14ac:dyDescent="0.25">
      <c r="B56" s="103" t="s">
        <v>898</v>
      </c>
      <c r="C56" s="104">
        <v>2896552</v>
      </c>
      <c r="D56" s="104">
        <v>2833333</v>
      </c>
      <c r="E56" s="103" t="s">
        <v>1007</v>
      </c>
      <c r="F56" s="103" t="s">
        <v>1008</v>
      </c>
      <c r="G56" s="103" t="s">
        <v>1009</v>
      </c>
      <c r="H56" s="103" t="s">
        <v>271</v>
      </c>
    </row>
    <row r="57" spans="2:28" ht="26.4" x14ac:dyDescent="0.25">
      <c r="B57" s="103" t="s">
        <v>902</v>
      </c>
      <c r="C57" s="104">
        <v>3172414</v>
      </c>
      <c r="D57" s="104">
        <v>3400000</v>
      </c>
      <c r="E57" s="103" t="s">
        <v>1010</v>
      </c>
      <c r="F57" s="104">
        <v>-1190982</v>
      </c>
      <c r="G57" s="103" t="s">
        <v>1011</v>
      </c>
      <c r="H57" s="103" t="s">
        <v>271</v>
      </c>
    </row>
    <row r="58" spans="2:28" ht="26.4" x14ac:dyDescent="0.25">
      <c r="B58" s="103" t="s">
        <v>906</v>
      </c>
      <c r="C58" s="104">
        <v>3220690</v>
      </c>
      <c r="D58" s="104">
        <v>3166667</v>
      </c>
      <c r="E58" s="103" t="s">
        <v>1012</v>
      </c>
      <c r="F58" s="103" t="s">
        <v>1013</v>
      </c>
      <c r="G58" s="103" t="s">
        <v>1014</v>
      </c>
      <c r="H58" s="103" t="s">
        <v>271</v>
      </c>
    </row>
    <row r="59" spans="2:28" ht="26.4" x14ac:dyDescent="0.25">
      <c r="B59" s="103" t="s">
        <v>910</v>
      </c>
      <c r="C59" s="104">
        <v>3531034</v>
      </c>
      <c r="D59" s="104">
        <v>3400000</v>
      </c>
      <c r="E59" s="103" t="s">
        <v>1015</v>
      </c>
      <c r="F59" s="103" t="s">
        <v>1016</v>
      </c>
      <c r="G59" s="103" t="s">
        <v>1017</v>
      </c>
      <c r="H59" s="103" t="s">
        <v>271</v>
      </c>
    </row>
    <row r="60" spans="2:28" ht="26.4" x14ac:dyDescent="0.25">
      <c r="B60" s="103" t="s">
        <v>914</v>
      </c>
      <c r="C60" s="104">
        <v>3255172</v>
      </c>
      <c r="D60" s="104">
        <v>3133333</v>
      </c>
      <c r="E60" s="103" t="s">
        <v>1018</v>
      </c>
      <c r="F60" s="103" t="s">
        <v>1019</v>
      </c>
      <c r="G60" s="103" t="s">
        <v>1020</v>
      </c>
      <c r="H60" s="103" t="s">
        <v>271</v>
      </c>
    </row>
    <row r="61" spans="2:28" x14ac:dyDescent="0.25">
      <c r="B61" s="103" t="s">
        <v>818</v>
      </c>
      <c r="C61" s="104">
        <v>3696552</v>
      </c>
      <c r="D61" s="104">
        <v>3400000</v>
      </c>
      <c r="E61" s="103" t="s">
        <v>854</v>
      </c>
      <c r="F61" s="104">
        <v>1759034</v>
      </c>
      <c r="G61" s="103" t="s">
        <v>855</v>
      </c>
      <c r="H61" s="103" t="s">
        <v>271</v>
      </c>
    </row>
    <row r="62" spans="2:28" x14ac:dyDescent="0.25">
      <c r="B62" s="103" t="s">
        <v>918</v>
      </c>
      <c r="C62" s="104">
        <v>4558621</v>
      </c>
      <c r="D62" s="104">
        <v>4333333</v>
      </c>
      <c r="E62" s="103" t="s">
        <v>1021</v>
      </c>
      <c r="F62" s="104">
        <v>1888384</v>
      </c>
      <c r="G62" s="103" t="s">
        <v>1022</v>
      </c>
      <c r="H62" s="103" t="s">
        <v>271</v>
      </c>
    </row>
    <row r="63" spans="2:28" x14ac:dyDescent="0.25">
      <c r="B63" s="103" t="s">
        <v>922</v>
      </c>
      <c r="C63" s="104">
        <v>3565517</v>
      </c>
      <c r="D63" s="104">
        <v>3300000</v>
      </c>
      <c r="E63" s="103" t="s">
        <v>1023</v>
      </c>
      <c r="F63" s="104">
        <v>1509302</v>
      </c>
      <c r="G63" s="103" t="s">
        <v>1024</v>
      </c>
      <c r="H63" s="103" t="s">
        <v>271</v>
      </c>
    </row>
    <row r="64" spans="2:28" x14ac:dyDescent="0.25">
      <c r="B64" s="103" t="s">
        <v>926</v>
      </c>
      <c r="C64" s="104">
        <v>3786207</v>
      </c>
      <c r="D64" s="104">
        <v>3433333</v>
      </c>
      <c r="E64" s="103" t="s">
        <v>1025</v>
      </c>
      <c r="F64" s="104">
        <v>2414724</v>
      </c>
      <c r="G64" s="103" t="s">
        <v>1026</v>
      </c>
      <c r="H64" s="103" t="s">
        <v>801</v>
      </c>
    </row>
    <row r="65" spans="2:8" x14ac:dyDescent="0.25">
      <c r="B65" s="103" t="s">
        <v>820</v>
      </c>
      <c r="C65" s="104">
        <v>3993103</v>
      </c>
      <c r="D65" s="104">
        <v>3633333</v>
      </c>
      <c r="E65" s="103" t="s">
        <v>856</v>
      </c>
      <c r="F65" s="104">
        <v>1772525</v>
      </c>
      <c r="G65" s="103" t="s">
        <v>857</v>
      </c>
      <c r="H65" s="103" t="s">
        <v>271</v>
      </c>
    </row>
    <row r="66" spans="2:8" x14ac:dyDescent="0.25">
      <c r="B66" s="103" t="s">
        <v>823</v>
      </c>
      <c r="C66" s="104">
        <v>3406897</v>
      </c>
      <c r="D66" s="104">
        <v>3200000</v>
      </c>
      <c r="E66" s="103" t="s">
        <v>858</v>
      </c>
      <c r="F66" s="104">
        <v>1146311</v>
      </c>
      <c r="G66" s="103" t="s">
        <v>859</v>
      </c>
      <c r="H66" s="103" t="s">
        <v>271</v>
      </c>
    </row>
    <row r="67" spans="2:8" ht="26.4" x14ac:dyDescent="0.25">
      <c r="B67" s="103" t="s">
        <v>930</v>
      </c>
      <c r="C67" s="104">
        <v>3137931</v>
      </c>
      <c r="D67" s="104">
        <v>3066667</v>
      </c>
      <c r="E67" s="103" t="s">
        <v>1027</v>
      </c>
      <c r="F67" s="103" t="s">
        <v>1028</v>
      </c>
      <c r="G67" s="103" t="s">
        <v>1029</v>
      </c>
      <c r="H67" s="103" t="s">
        <v>271</v>
      </c>
    </row>
    <row r="68" spans="2:8" ht="26.4" x14ac:dyDescent="0.25">
      <c r="B68" s="103" t="s">
        <v>829</v>
      </c>
      <c r="C68" s="104">
        <v>4165517</v>
      </c>
      <c r="D68" s="104">
        <v>3766667</v>
      </c>
      <c r="E68" s="103" t="s">
        <v>862</v>
      </c>
      <c r="F68" s="104">
        <v>1901334</v>
      </c>
      <c r="G68" s="103" t="s">
        <v>863</v>
      </c>
      <c r="H68" s="103" t="s">
        <v>271</v>
      </c>
    </row>
    <row r="69" spans="2:8" x14ac:dyDescent="0.25">
      <c r="B69" s="103" t="s">
        <v>934</v>
      </c>
      <c r="C69" s="104">
        <v>3234483</v>
      </c>
      <c r="D69" s="104">
        <v>2833333</v>
      </c>
      <c r="E69" s="103" t="s">
        <v>1030</v>
      </c>
      <c r="F69" s="104">
        <v>2369069</v>
      </c>
      <c r="G69" s="103" t="s">
        <v>1031</v>
      </c>
      <c r="H69" s="103" t="s">
        <v>801</v>
      </c>
    </row>
    <row r="70" spans="2:8" x14ac:dyDescent="0.25">
      <c r="B70" s="103" t="s">
        <v>938</v>
      </c>
      <c r="C70" s="104">
        <v>2393103</v>
      </c>
      <c r="D70" s="104">
        <v>2500000</v>
      </c>
      <c r="E70" s="103" t="s">
        <v>1032</v>
      </c>
      <c r="F70" s="103" t="s">
        <v>1033</v>
      </c>
      <c r="G70" s="103" t="s">
        <v>1034</v>
      </c>
      <c r="H70" s="103" t="s">
        <v>271</v>
      </c>
    </row>
    <row r="71" spans="2:8" ht="26.4" x14ac:dyDescent="0.25">
      <c r="B71" s="103" t="s">
        <v>942</v>
      </c>
      <c r="C71" s="104">
        <v>3006897</v>
      </c>
      <c r="D71" s="104">
        <v>2933333</v>
      </c>
      <c r="E71" s="103" t="s">
        <v>1035</v>
      </c>
      <c r="F71" s="103" t="s">
        <v>1036</v>
      </c>
      <c r="G71" s="103" t="s">
        <v>1037</v>
      </c>
      <c r="H71" s="103" t="s">
        <v>271</v>
      </c>
    </row>
    <row r="72" spans="2:8" x14ac:dyDescent="0.25">
      <c r="B72" s="103" t="s">
        <v>946</v>
      </c>
      <c r="C72" s="104">
        <v>2924138</v>
      </c>
      <c r="D72" s="104">
        <v>2900000</v>
      </c>
      <c r="E72" s="103" t="s">
        <v>1038</v>
      </c>
      <c r="F72" s="103" t="s">
        <v>1039</v>
      </c>
      <c r="G72" s="103" t="s">
        <v>1040</v>
      </c>
      <c r="H72" s="103" t="s">
        <v>271</v>
      </c>
    </row>
    <row r="73" spans="2:8" ht="26.4" x14ac:dyDescent="0.25">
      <c r="B73" s="103" t="s">
        <v>950</v>
      </c>
      <c r="C73" s="104">
        <v>3496552</v>
      </c>
      <c r="D73" s="104">
        <v>2933333</v>
      </c>
      <c r="E73" s="103" t="s">
        <v>1041</v>
      </c>
      <c r="F73" s="104">
        <v>3032064</v>
      </c>
      <c r="G73" s="103" t="s">
        <v>1042</v>
      </c>
      <c r="H73" s="103" t="s">
        <v>801</v>
      </c>
    </row>
    <row r="74" spans="2:8" x14ac:dyDescent="0.25">
      <c r="B74" s="103" t="s">
        <v>954</v>
      </c>
      <c r="C74" s="104">
        <v>3262069</v>
      </c>
      <c r="D74" s="104">
        <v>2966667</v>
      </c>
      <c r="E74" s="103" t="s">
        <v>1043</v>
      </c>
      <c r="F74" s="104">
        <v>1791168</v>
      </c>
      <c r="G74" s="103" t="s">
        <v>1044</v>
      </c>
      <c r="H74" s="103" t="s">
        <v>271</v>
      </c>
    </row>
    <row r="75" spans="2:8" ht="26.4" x14ac:dyDescent="0.25">
      <c r="B75" s="103" t="s">
        <v>958</v>
      </c>
      <c r="C75" s="104">
        <v>2227586</v>
      </c>
      <c r="D75" s="104">
        <v>2266667</v>
      </c>
      <c r="E75" s="103" t="s">
        <v>1045</v>
      </c>
      <c r="F75" s="103" t="s">
        <v>1046</v>
      </c>
      <c r="G75" s="103" t="s">
        <v>1047</v>
      </c>
      <c r="H75" s="103" t="s">
        <v>271</v>
      </c>
    </row>
    <row r="76" spans="2:8" x14ac:dyDescent="0.25">
      <c r="B76" s="103" t="s">
        <v>962</v>
      </c>
      <c r="C76" s="104">
        <v>3968966</v>
      </c>
      <c r="D76" s="104">
        <v>3666667</v>
      </c>
      <c r="E76" s="103" t="s">
        <v>1048</v>
      </c>
      <c r="F76" s="104">
        <v>2052992</v>
      </c>
      <c r="G76" s="103" t="s">
        <v>1049</v>
      </c>
      <c r="H76" s="103" t="s">
        <v>801</v>
      </c>
    </row>
    <row r="77" spans="2:8" ht="26.4" x14ac:dyDescent="0.25">
      <c r="B77" s="103" t="s">
        <v>966</v>
      </c>
      <c r="C77" s="104">
        <v>2193103</v>
      </c>
      <c r="D77" s="104">
        <v>2600000</v>
      </c>
      <c r="E77" s="103" t="s">
        <v>1050</v>
      </c>
      <c r="F77" s="104">
        <v>-2185878</v>
      </c>
      <c r="G77" s="103" t="s">
        <v>1051</v>
      </c>
      <c r="H77" s="103" t="s">
        <v>801</v>
      </c>
    </row>
    <row r="78" spans="2:8" x14ac:dyDescent="0.25">
      <c r="B78" s="103" t="s">
        <v>970</v>
      </c>
      <c r="C78" s="104">
        <v>2951724</v>
      </c>
      <c r="D78" s="104">
        <v>2900000</v>
      </c>
      <c r="E78" s="103" t="s">
        <v>1052</v>
      </c>
      <c r="F78" s="103" t="s">
        <v>1053</v>
      </c>
      <c r="G78" s="103" t="s">
        <v>1054</v>
      </c>
      <c r="H78" s="103" t="s">
        <v>271</v>
      </c>
    </row>
    <row r="79" spans="2:8" x14ac:dyDescent="0.25">
      <c r="B79" s="103" t="s">
        <v>826</v>
      </c>
      <c r="C79" s="104">
        <v>3806897</v>
      </c>
      <c r="D79" s="104">
        <v>3466667</v>
      </c>
      <c r="E79" s="103" t="s">
        <v>860</v>
      </c>
      <c r="F79" s="104">
        <v>2156366</v>
      </c>
      <c r="G79" s="103" t="s">
        <v>861</v>
      </c>
      <c r="H79" s="103" t="s">
        <v>801</v>
      </c>
    </row>
    <row r="80" spans="2:8" x14ac:dyDescent="0.25">
      <c r="B80" s="103" t="s">
        <v>807</v>
      </c>
      <c r="C80" s="104">
        <v>2248276</v>
      </c>
      <c r="D80" s="104">
        <v>2266667</v>
      </c>
      <c r="E80" s="103" t="s">
        <v>844</v>
      </c>
      <c r="F80" s="103" t="s">
        <v>845</v>
      </c>
      <c r="G80" s="103" t="s">
        <v>846</v>
      </c>
      <c r="H80" s="103" t="s">
        <v>271</v>
      </c>
    </row>
    <row r="81" spans="2:8" x14ac:dyDescent="0.25">
      <c r="B81" s="103" t="s">
        <v>974</v>
      </c>
      <c r="C81" s="104">
        <v>3668966</v>
      </c>
      <c r="D81" s="104">
        <v>3333333</v>
      </c>
      <c r="E81" s="103" t="s">
        <v>1055</v>
      </c>
      <c r="F81" s="104">
        <v>2325520</v>
      </c>
      <c r="G81" s="103" t="s">
        <v>1056</v>
      </c>
      <c r="H81" s="103" t="s">
        <v>801</v>
      </c>
    </row>
    <row r="82" spans="2:8" x14ac:dyDescent="0.25">
      <c r="B82" s="103" t="s">
        <v>810</v>
      </c>
      <c r="C82" s="104">
        <v>2489655</v>
      </c>
      <c r="D82" s="104">
        <v>2533333</v>
      </c>
      <c r="E82" s="103" t="s">
        <v>847</v>
      </c>
      <c r="F82" s="103" t="s">
        <v>848</v>
      </c>
      <c r="G82" s="103" t="s">
        <v>849</v>
      </c>
      <c r="H82" s="103" t="s">
        <v>271</v>
      </c>
    </row>
    <row r="83" spans="2:8" x14ac:dyDescent="0.25">
      <c r="B83" s="103" t="s">
        <v>813</v>
      </c>
      <c r="C83" s="104">
        <v>2910345</v>
      </c>
      <c r="D83" s="104">
        <v>3066667</v>
      </c>
      <c r="E83" s="103" t="s">
        <v>850</v>
      </c>
      <c r="F83" s="104">
        <v>-1209761</v>
      </c>
      <c r="G83" s="103" t="s">
        <v>851</v>
      </c>
      <c r="H83" s="103" t="s">
        <v>271</v>
      </c>
    </row>
    <row r="84" spans="2:8" x14ac:dyDescent="0.25">
      <c r="B84" s="103" t="s">
        <v>977</v>
      </c>
      <c r="C84" s="104">
        <v>4289655</v>
      </c>
      <c r="D84" s="104">
        <v>3933333</v>
      </c>
      <c r="E84" s="103" t="s">
        <v>1057</v>
      </c>
      <c r="F84" s="104">
        <v>2184151</v>
      </c>
      <c r="G84" s="103" t="s">
        <v>1058</v>
      </c>
      <c r="H84" s="103" t="s">
        <v>801</v>
      </c>
    </row>
    <row r="85" spans="2:8" ht="26.4" x14ac:dyDescent="0.25">
      <c r="B85" s="103" t="s">
        <v>980</v>
      </c>
      <c r="C85" s="104">
        <v>2951724</v>
      </c>
      <c r="D85" s="104">
        <v>3333333</v>
      </c>
      <c r="E85" s="103" t="s">
        <v>1059</v>
      </c>
      <c r="F85" s="104">
        <v>-2432246</v>
      </c>
      <c r="G85" s="103" t="s">
        <v>1060</v>
      </c>
      <c r="H85" s="103" t="s">
        <v>801</v>
      </c>
    </row>
    <row r="86" spans="2:8" x14ac:dyDescent="0.25">
      <c r="B86" s="103" t="s">
        <v>984</v>
      </c>
      <c r="C86" s="104">
        <v>3027586</v>
      </c>
      <c r="D86" s="104">
        <v>2700000</v>
      </c>
      <c r="E86" s="103" t="s">
        <v>1061</v>
      </c>
      <c r="F86" s="104">
        <v>2357946</v>
      </c>
      <c r="G86" s="103" t="s">
        <v>1062</v>
      </c>
      <c r="H86" s="103" t="s">
        <v>801</v>
      </c>
    </row>
    <row r="87" spans="2:8" ht="26.4" x14ac:dyDescent="0.25">
      <c r="B87" s="103" t="s">
        <v>988</v>
      </c>
      <c r="C87" s="104">
        <v>3827586</v>
      </c>
      <c r="D87" s="104">
        <v>3566667</v>
      </c>
      <c r="E87" s="103" t="s">
        <v>1063</v>
      </c>
      <c r="F87" s="104">
        <v>1539868</v>
      </c>
      <c r="G87" s="103" t="s">
        <v>1064</v>
      </c>
      <c r="H87" s="103" t="s">
        <v>271</v>
      </c>
    </row>
    <row r="88" spans="2:8" ht="26.4" x14ac:dyDescent="0.25">
      <c r="B88" s="103" t="s">
        <v>816</v>
      </c>
      <c r="C88" s="104">
        <v>2827586</v>
      </c>
      <c r="D88" s="104">
        <v>3366667</v>
      </c>
      <c r="E88" s="103" t="s">
        <v>1065</v>
      </c>
      <c r="F88" s="104">
        <v>-2839863</v>
      </c>
      <c r="G88" s="103" t="s">
        <v>1066</v>
      </c>
      <c r="H88" s="103" t="s">
        <v>801</v>
      </c>
    </row>
    <row r="89" spans="2:8" x14ac:dyDescent="0.25">
      <c r="B89" s="103" t="s">
        <v>992</v>
      </c>
      <c r="C89" s="104">
        <v>2413793</v>
      </c>
      <c r="D89" s="104">
        <v>2733333</v>
      </c>
      <c r="E89" s="103" t="s">
        <v>1067</v>
      </c>
      <c r="F89" s="104">
        <v>-1889756</v>
      </c>
      <c r="G89" s="103" t="s">
        <v>1068</v>
      </c>
      <c r="H89" s="103" t="s">
        <v>271</v>
      </c>
    </row>
    <row r="92" spans="2:8" x14ac:dyDescent="0.25">
      <c r="B92" s="101" t="s">
        <v>886</v>
      </c>
    </row>
    <row r="94" spans="2:8" ht="26.4" x14ac:dyDescent="0.25">
      <c r="B94" s="102" t="s">
        <v>789</v>
      </c>
      <c r="C94" s="102" t="s">
        <v>864</v>
      </c>
      <c r="D94" s="102" t="s">
        <v>865</v>
      </c>
      <c r="E94" s="102" t="s">
        <v>866</v>
      </c>
    </row>
    <row r="95" spans="2:8" ht="39.6" x14ac:dyDescent="0.25">
      <c r="B95" s="103" t="s">
        <v>796</v>
      </c>
      <c r="C95" s="103" t="s">
        <v>867</v>
      </c>
      <c r="D95" s="103" t="s">
        <v>868</v>
      </c>
      <c r="E95" s="103" t="s">
        <v>869</v>
      </c>
    </row>
    <row r="96" spans="2:8" ht="26.4" x14ac:dyDescent="0.25">
      <c r="B96" s="103" t="s">
        <v>799</v>
      </c>
      <c r="C96" s="103" t="s">
        <v>1069</v>
      </c>
      <c r="D96" s="103" t="s">
        <v>1070</v>
      </c>
      <c r="E96" s="103" t="s">
        <v>872</v>
      </c>
    </row>
    <row r="97" spans="2:5" ht="26.4" x14ac:dyDescent="0.25">
      <c r="B97" s="103" t="s">
        <v>802</v>
      </c>
      <c r="C97" s="103" t="s">
        <v>873</v>
      </c>
      <c r="D97" s="103" t="s">
        <v>1071</v>
      </c>
      <c r="E97" s="103" t="s">
        <v>872</v>
      </c>
    </row>
    <row r="98" spans="2:5" ht="39.6" x14ac:dyDescent="0.25">
      <c r="B98" s="103" t="s">
        <v>804</v>
      </c>
      <c r="C98" s="103" t="s">
        <v>1072</v>
      </c>
      <c r="D98" s="103" t="s">
        <v>1073</v>
      </c>
      <c r="E98" s="103" t="s">
        <v>1074</v>
      </c>
    </row>
    <row r="99" spans="2:5" ht="39.6" x14ac:dyDescent="0.25">
      <c r="B99" s="103" t="s">
        <v>891</v>
      </c>
      <c r="C99" s="103" t="s">
        <v>1075</v>
      </c>
      <c r="D99" s="103" t="s">
        <v>1076</v>
      </c>
      <c r="E99" s="103" t="s">
        <v>1074</v>
      </c>
    </row>
    <row r="100" spans="2:5" ht="26.4" x14ac:dyDescent="0.25">
      <c r="B100" s="103" t="s">
        <v>895</v>
      </c>
      <c r="C100" s="103" t="s">
        <v>1077</v>
      </c>
      <c r="D100" s="103" t="s">
        <v>1078</v>
      </c>
      <c r="E100" s="103" t="s">
        <v>1079</v>
      </c>
    </row>
    <row r="101" spans="2:5" ht="26.4" x14ac:dyDescent="0.25">
      <c r="B101" s="103" t="s">
        <v>818</v>
      </c>
      <c r="C101" s="103" t="s">
        <v>882</v>
      </c>
      <c r="D101" s="103" t="s">
        <v>883</v>
      </c>
      <c r="E101" s="103" t="s">
        <v>872</v>
      </c>
    </row>
    <row r="102" spans="2:5" ht="39.6" x14ac:dyDescent="0.25">
      <c r="B102" s="103" t="s">
        <v>926</v>
      </c>
      <c r="C102" s="103" t="s">
        <v>1080</v>
      </c>
      <c r="D102" s="103" t="s">
        <v>1081</v>
      </c>
      <c r="E102" s="103" t="s">
        <v>869</v>
      </c>
    </row>
    <row r="103" spans="2:5" ht="39.6" x14ac:dyDescent="0.25">
      <c r="B103" s="103" t="s">
        <v>820</v>
      </c>
      <c r="C103" s="103" t="s">
        <v>1082</v>
      </c>
      <c r="D103" s="103" t="s">
        <v>1083</v>
      </c>
      <c r="E103" s="103" t="s">
        <v>1074</v>
      </c>
    </row>
    <row r="104" spans="2:5" ht="39.6" x14ac:dyDescent="0.25">
      <c r="B104" s="103" t="s">
        <v>950</v>
      </c>
      <c r="C104" s="103" t="s">
        <v>876</v>
      </c>
      <c r="D104" s="103" t="s">
        <v>1084</v>
      </c>
      <c r="E104" s="103" t="s">
        <v>869</v>
      </c>
    </row>
    <row r="105" spans="2:5" ht="39.6" x14ac:dyDescent="0.25">
      <c r="B105" s="103" t="s">
        <v>962</v>
      </c>
      <c r="C105" s="103" t="s">
        <v>1085</v>
      </c>
      <c r="D105" s="103" t="s">
        <v>1086</v>
      </c>
      <c r="E105" s="103" t="s">
        <v>869</v>
      </c>
    </row>
    <row r="106" spans="2:5" ht="39.6" x14ac:dyDescent="0.25">
      <c r="B106" s="103" t="s">
        <v>966</v>
      </c>
      <c r="C106" s="103" t="s">
        <v>1087</v>
      </c>
      <c r="D106" s="103" t="s">
        <v>1088</v>
      </c>
      <c r="E106" s="103" t="s">
        <v>869</v>
      </c>
    </row>
    <row r="107" spans="2:5" ht="39.6" x14ac:dyDescent="0.25">
      <c r="B107" s="103" t="s">
        <v>826</v>
      </c>
      <c r="C107" s="103" t="s">
        <v>884</v>
      </c>
      <c r="D107" s="103" t="s">
        <v>885</v>
      </c>
      <c r="E107" s="103" t="s">
        <v>869</v>
      </c>
    </row>
    <row r="108" spans="2:5" ht="39.6" x14ac:dyDescent="0.25">
      <c r="B108" s="103" t="s">
        <v>807</v>
      </c>
      <c r="C108" s="103" t="s">
        <v>1089</v>
      </c>
      <c r="D108" s="103" t="s">
        <v>1090</v>
      </c>
      <c r="E108" s="103" t="s">
        <v>1074</v>
      </c>
    </row>
    <row r="109" spans="2:5" ht="39.6" x14ac:dyDescent="0.25">
      <c r="B109" s="103" t="s">
        <v>974</v>
      </c>
      <c r="C109" s="103" t="s">
        <v>1091</v>
      </c>
      <c r="D109" s="103" t="s">
        <v>1092</v>
      </c>
      <c r="E109" s="103" t="s">
        <v>869</v>
      </c>
    </row>
    <row r="110" spans="2:5" ht="26.4" x14ac:dyDescent="0.25">
      <c r="B110" s="103" t="s">
        <v>810</v>
      </c>
      <c r="C110" s="103" t="s">
        <v>875</v>
      </c>
      <c r="D110" s="103" t="s">
        <v>876</v>
      </c>
      <c r="E110" s="103" t="s">
        <v>872</v>
      </c>
    </row>
    <row r="111" spans="2:5" ht="26.4" x14ac:dyDescent="0.25">
      <c r="B111" s="103" t="s">
        <v>813</v>
      </c>
      <c r="C111" s="103" t="s">
        <v>877</v>
      </c>
      <c r="D111" s="103" t="s">
        <v>878</v>
      </c>
      <c r="E111" s="103" t="s">
        <v>872</v>
      </c>
    </row>
    <row r="112" spans="2:5" ht="39.6" x14ac:dyDescent="0.25">
      <c r="B112" s="103" t="s">
        <v>977</v>
      </c>
      <c r="C112" s="103" t="s">
        <v>1093</v>
      </c>
      <c r="D112" s="103" t="s">
        <v>1094</v>
      </c>
      <c r="E112" s="103" t="s">
        <v>869</v>
      </c>
    </row>
    <row r="113" spans="2:8" ht="39.6" x14ac:dyDescent="0.25">
      <c r="B113" s="103" t="s">
        <v>980</v>
      </c>
      <c r="C113" s="103" t="s">
        <v>1095</v>
      </c>
      <c r="D113" s="103" t="s">
        <v>1096</v>
      </c>
      <c r="E113" s="103" t="s">
        <v>869</v>
      </c>
    </row>
    <row r="114" spans="2:8" ht="52.8" x14ac:dyDescent="0.25">
      <c r="B114" s="103" t="s">
        <v>984</v>
      </c>
      <c r="C114" s="103" t="s">
        <v>1097</v>
      </c>
      <c r="D114" s="103" t="s">
        <v>1098</v>
      </c>
      <c r="E114" s="103" t="s">
        <v>1099</v>
      </c>
    </row>
    <row r="115" spans="2:8" ht="39.6" x14ac:dyDescent="0.25">
      <c r="B115" s="103" t="s">
        <v>816</v>
      </c>
      <c r="C115" s="103" t="s">
        <v>879</v>
      </c>
      <c r="D115" s="103" t="s">
        <v>1100</v>
      </c>
      <c r="E115" s="103" t="s">
        <v>1101</v>
      </c>
    </row>
    <row r="118" spans="2:8" x14ac:dyDescent="0.25">
      <c r="B118" s="101" t="s">
        <v>1102</v>
      </c>
    </row>
    <row r="119" spans="2:8" x14ac:dyDescent="0.25">
      <c r="B119" s="101" t="s">
        <v>1103</v>
      </c>
    </row>
    <row r="122" spans="2:8" ht="26.4" x14ac:dyDescent="0.25">
      <c r="B122" s="102" t="s">
        <v>789</v>
      </c>
      <c r="C122" s="102" t="s">
        <v>790</v>
      </c>
      <c r="D122" s="102" t="s">
        <v>791</v>
      </c>
      <c r="E122" s="102" t="s">
        <v>792</v>
      </c>
      <c r="F122" s="102" t="s">
        <v>793</v>
      </c>
      <c r="G122" s="102" t="s">
        <v>794</v>
      </c>
      <c r="H122" s="102" t="s">
        <v>795</v>
      </c>
    </row>
    <row r="123" spans="2:8" x14ac:dyDescent="0.25">
      <c r="B123" s="103" t="s">
        <v>796</v>
      </c>
      <c r="C123" s="104">
        <v>3921348</v>
      </c>
      <c r="D123" s="104">
        <v>3333333</v>
      </c>
      <c r="E123" s="103" t="s">
        <v>1104</v>
      </c>
      <c r="F123" s="104">
        <v>2889257</v>
      </c>
      <c r="G123" s="103" t="s">
        <v>1105</v>
      </c>
      <c r="H123" s="103" t="s">
        <v>801</v>
      </c>
    </row>
    <row r="124" spans="2:8" ht="26.4" x14ac:dyDescent="0.25">
      <c r="B124" s="103" t="s">
        <v>799</v>
      </c>
      <c r="C124" s="104">
        <v>3719101</v>
      </c>
      <c r="D124" s="104">
        <v>3000000</v>
      </c>
      <c r="E124" s="103" t="s">
        <v>1106</v>
      </c>
      <c r="F124" s="104">
        <v>3019159</v>
      </c>
      <c r="G124" s="103" t="s">
        <v>1107</v>
      </c>
      <c r="H124" s="103" t="s">
        <v>801</v>
      </c>
    </row>
    <row r="125" spans="2:8" x14ac:dyDescent="0.25">
      <c r="B125" s="103" t="s">
        <v>802</v>
      </c>
      <c r="C125" s="104">
        <v>3606742</v>
      </c>
      <c r="D125" s="104">
        <v>3000000</v>
      </c>
      <c r="E125" s="103" t="s">
        <v>1108</v>
      </c>
      <c r="F125" s="104">
        <v>2692395</v>
      </c>
      <c r="G125" s="103" t="s">
        <v>1109</v>
      </c>
      <c r="H125" s="103" t="s">
        <v>801</v>
      </c>
    </row>
    <row r="126" spans="2:8" x14ac:dyDescent="0.25">
      <c r="B126" s="103" t="s">
        <v>804</v>
      </c>
      <c r="C126" s="104">
        <v>3629213</v>
      </c>
      <c r="D126" s="104">
        <v>3388889</v>
      </c>
      <c r="E126" s="103" t="s">
        <v>1110</v>
      </c>
      <c r="F126" s="103" t="s">
        <v>1111</v>
      </c>
      <c r="G126" s="103" t="s">
        <v>1112</v>
      </c>
      <c r="H126" s="103" t="s">
        <v>271</v>
      </c>
    </row>
    <row r="127" spans="2:8" ht="26.4" x14ac:dyDescent="0.25">
      <c r="B127" s="103" t="s">
        <v>891</v>
      </c>
      <c r="C127" s="104">
        <v>2853933</v>
      </c>
      <c r="D127" s="104">
        <v>2388889</v>
      </c>
      <c r="E127" s="103" t="s">
        <v>1113</v>
      </c>
      <c r="F127" s="104">
        <v>2221345</v>
      </c>
      <c r="G127" s="103" t="s">
        <v>1114</v>
      </c>
      <c r="H127" s="103" t="s">
        <v>801</v>
      </c>
    </row>
    <row r="128" spans="2:8" ht="26.4" x14ac:dyDescent="0.25">
      <c r="B128" s="103" t="s">
        <v>895</v>
      </c>
      <c r="C128" s="104">
        <v>2752809</v>
      </c>
      <c r="D128" s="104">
        <v>2166667</v>
      </c>
      <c r="E128" s="103" t="s">
        <v>1115</v>
      </c>
      <c r="F128" s="104">
        <v>2731903</v>
      </c>
      <c r="G128" s="103" t="s">
        <v>1116</v>
      </c>
      <c r="H128" s="103" t="s">
        <v>801</v>
      </c>
    </row>
    <row r="129" spans="2:8" ht="26.4" x14ac:dyDescent="0.25">
      <c r="B129" s="103" t="s">
        <v>898</v>
      </c>
      <c r="C129" s="104">
        <v>2865169</v>
      </c>
      <c r="D129" s="104">
        <v>2888889</v>
      </c>
      <c r="E129" s="103" t="s">
        <v>1117</v>
      </c>
      <c r="F129" s="103" t="s">
        <v>1118</v>
      </c>
      <c r="G129" s="103" t="s">
        <v>1119</v>
      </c>
      <c r="H129" s="103" t="s">
        <v>271</v>
      </c>
    </row>
    <row r="130" spans="2:8" ht="26.4" x14ac:dyDescent="0.25">
      <c r="B130" s="103" t="s">
        <v>902</v>
      </c>
      <c r="C130" s="104">
        <v>3235955</v>
      </c>
      <c r="D130" s="104">
        <v>3444444</v>
      </c>
      <c r="E130" s="103" t="s">
        <v>1120</v>
      </c>
      <c r="F130" s="103" t="s">
        <v>1121</v>
      </c>
      <c r="G130" s="103" t="s">
        <v>1122</v>
      </c>
      <c r="H130" s="103" t="s">
        <v>271</v>
      </c>
    </row>
    <row r="131" spans="2:8" ht="26.4" x14ac:dyDescent="0.25">
      <c r="B131" s="103" t="s">
        <v>906</v>
      </c>
      <c r="C131" s="104">
        <v>3202247</v>
      </c>
      <c r="D131" s="104">
        <v>3277778</v>
      </c>
      <c r="E131" s="103" t="s">
        <v>1123</v>
      </c>
      <c r="F131" s="103" t="s">
        <v>1124</v>
      </c>
      <c r="G131" s="103" t="s">
        <v>1125</v>
      </c>
      <c r="H131" s="103" t="s">
        <v>271</v>
      </c>
    </row>
    <row r="132" spans="2:8" ht="26.4" x14ac:dyDescent="0.25">
      <c r="B132" s="103" t="s">
        <v>910</v>
      </c>
      <c r="C132" s="104">
        <v>3483146</v>
      </c>
      <c r="D132" s="104">
        <v>3333333</v>
      </c>
      <c r="E132" s="103" t="s">
        <v>1126</v>
      </c>
      <c r="F132" s="103" t="s">
        <v>1127</v>
      </c>
      <c r="G132" s="103" t="s">
        <v>1128</v>
      </c>
      <c r="H132" s="103" t="s">
        <v>271</v>
      </c>
    </row>
    <row r="133" spans="2:8" ht="26.4" x14ac:dyDescent="0.25">
      <c r="B133" s="103" t="s">
        <v>914</v>
      </c>
      <c r="C133" s="104">
        <v>3292135</v>
      </c>
      <c r="D133" s="104">
        <v>3000000</v>
      </c>
      <c r="E133" s="103" t="s">
        <v>1129</v>
      </c>
      <c r="F133" s="104">
        <v>1582574</v>
      </c>
      <c r="G133" s="103" t="s">
        <v>1130</v>
      </c>
      <c r="H133" s="103" t="s">
        <v>271</v>
      </c>
    </row>
    <row r="134" spans="2:8" x14ac:dyDescent="0.25">
      <c r="B134" s="103" t="s">
        <v>818</v>
      </c>
      <c r="C134" s="104">
        <v>3775281</v>
      </c>
      <c r="D134" s="104">
        <v>3000000</v>
      </c>
      <c r="E134" s="103" t="s">
        <v>1131</v>
      </c>
      <c r="F134" s="104">
        <v>4069440</v>
      </c>
      <c r="G134" s="103" t="s">
        <v>1132</v>
      </c>
      <c r="H134" s="103" t="s">
        <v>801</v>
      </c>
    </row>
    <row r="135" spans="2:8" x14ac:dyDescent="0.25">
      <c r="B135" s="103" t="s">
        <v>918</v>
      </c>
      <c r="C135" s="104">
        <v>4550562</v>
      </c>
      <c r="D135" s="104">
        <v>4055556</v>
      </c>
      <c r="E135" s="103" t="s">
        <v>1133</v>
      </c>
      <c r="F135" s="104">
        <v>3080452</v>
      </c>
      <c r="G135" s="103" t="s">
        <v>1134</v>
      </c>
      <c r="H135" s="103" t="s">
        <v>801</v>
      </c>
    </row>
    <row r="136" spans="2:8" x14ac:dyDescent="0.25">
      <c r="B136" s="103" t="s">
        <v>922</v>
      </c>
      <c r="C136" s="104">
        <v>3505618</v>
      </c>
      <c r="D136" s="104">
        <v>3111111</v>
      </c>
      <c r="E136" s="103" t="s">
        <v>1135</v>
      </c>
      <c r="F136" s="104">
        <v>1729861</v>
      </c>
      <c r="G136" s="103" t="s">
        <v>1136</v>
      </c>
      <c r="H136" s="103" t="s">
        <v>271</v>
      </c>
    </row>
    <row r="137" spans="2:8" x14ac:dyDescent="0.25">
      <c r="B137" s="103" t="s">
        <v>926</v>
      </c>
      <c r="C137" s="104">
        <v>3808989</v>
      </c>
      <c r="D137" s="104">
        <v>3277778</v>
      </c>
      <c r="E137" s="103" t="s">
        <v>1137</v>
      </c>
      <c r="F137" s="104">
        <v>2962264</v>
      </c>
      <c r="G137" s="103" t="s">
        <v>1138</v>
      </c>
      <c r="H137" s="103" t="s">
        <v>801</v>
      </c>
    </row>
    <row r="138" spans="2:8" x14ac:dyDescent="0.25">
      <c r="B138" s="103" t="s">
        <v>820</v>
      </c>
      <c r="C138" s="104">
        <v>3887640</v>
      </c>
      <c r="D138" s="104">
        <v>3277778</v>
      </c>
      <c r="E138" s="103" t="s">
        <v>1139</v>
      </c>
      <c r="F138" s="104">
        <v>2383183</v>
      </c>
      <c r="G138" s="103" t="s">
        <v>1140</v>
      </c>
      <c r="H138" s="103" t="s">
        <v>801</v>
      </c>
    </row>
    <row r="139" spans="2:8" x14ac:dyDescent="0.25">
      <c r="B139" s="103" t="s">
        <v>823</v>
      </c>
      <c r="C139" s="104">
        <v>3348315</v>
      </c>
      <c r="D139" s="104">
        <v>3166667</v>
      </c>
      <c r="E139" s="103" t="s">
        <v>1141</v>
      </c>
      <c r="F139" s="103" t="s">
        <v>1142</v>
      </c>
      <c r="G139" s="103" t="s">
        <v>1143</v>
      </c>
      <c r="H139" s="103" t="s">
        <v>271</v>
      </c>
    </row>
    <row r="140" spans="2:8" ht="26.4" x14ac:dyDescent="0.25">
      <c r="B140" s="103" t="s">
        <v>930</v>
      </c>
      <c r="C140" s="104">
        <v>3168539</v>
      </c>
      <c r="D140" s="104">
        <v>2944444</v>
      </c>
      <c r="E140" s="103" t="s">
        <v>1144</v>
      </c>
      <c r="F140" s="104">
        <v>1301392</v>
      </c>
      <c r="G140" s="103" t="s">
        <v>1145</v>
      </c>
      <c r="H140" s="103" t="s">
        <v>271</v>
      </c>
    </row>
    <row r="141" spans="2:8" ht="26.4" x14ac:dyDescent="0.25">
      <c r="B141" s="103" t="s">
        <v>829</v>
      </c>
      <c r="C141" s="104">
        <v>4067416</v>
      </c>
      <c r="D141" s="104">
        <v>3833333</v>
      </c>
      <c r="E141" s="103" t="s">
        <v>1146</v>
      </c>
      <c r="F141" s="103" t="s">
        <v>1147</v>
      </c>
      <c r="G141" s="103" t="s">
        <v>1148</v>
      </c>
      <c r="H141" s="103" t="s">
        <v>271</v>
      </c>
    </row>
    <row r="142" spans="2:8" x14ac:dyDescent="0.25">
      <c r="B142" s="103" t="s">
        <v>934</v>
      </c>
      <c r="C142" s="104">
        <v>3168539</v>
      </c>
      <c r="D142" s="104">
        <v>2777778</v>
      </c>
      <c r="E142" s="103" t="s">
        <v>1149</v>
      </c>
      <c r="F142" s="104">
        <v>1666217</v>
      </c>
      <c r="G142" s="103" t="s">
        <v>1150</v>
      </c>
      <c r="H142" s="103" t="s">
        <v>271</v>
      </c>
    </row>
    <row r="143" spans="2:8" x14ac:dyDescent="0.25">
      <c r="B143" s="103" t="s">
        <v>938</v>
      </c>
      <c r="C143" s="104">
        <v>2415730</v>
      </c>
      <c r="D143" s="104">
        <v>2555556</v>
      </c>
      <c r="E143" s="103" t="s">
        <v>1151</v>
      </c>
      <c r="F143" s="103" t="s">
        <v>1152</v>
      </c>
      <c r="G143" s="103" t="s">
        <v>1153</v>
      </c>
      <c r="H143" s="103" t="s">
        <v>271</v>
      </c>
    </row>
    <row r="144" spans="2:8" ht="26.4" x14ac:dyDescent="0.25">
      <c r="B144" s="103" t="s">
        <v>942</v>
      </c>
      <c r="C144" s="104">
        <v>3000000</v>
      </c>
      <c r="D144" s="104">
        <v>2888889</v>
      </c>
      <c r="E144" s="103" t="s">
        <v>1154</v>
      </c>
      <c r="F144" s="103" t="s">
        <v>1155</v>
      </c>
      <c r="G144" s="103" t="s">
        <v>1156</v>
      </c>
      <c r="H144" s="103" t="s">
        <v>271</v>
      </c>
    </row>
    <row r="145" spans="2:8" x14ac:dyDescent="0.25">
      <c r="B145" s="103" t="s">
        <v>946</v>
      </c>
      <c r="C145" s="104">
        <v>2932584</v>
      </c>
      <c r="D145" s="104">
        <v>3055556</v>
      </c>
      <c r="E145" s="103" t="s">
        <v>1157</v>
      </c>
      <c r="F145" s="103" t="s">
        <v>1158</v>
      </c>
      <c r="G145" s="103" t="s">
        <v>1159</v>
      </c>
      <c r="H145" s="103" t="s">
        <v>271</v>
      </c>
    </row>
    <row r="146" spans="2:8" ht="26.4" x14ac:dyDescent="0.25">
      <c r="B146" s="103" t="s">
        <v>950</v>
      </c>
      <c r="C146" s="104">
        <v>3370787</v>
      </c>
      <c r="D146" s="104">
        <v>2888889</v>
      </c>
      <c r="E146" s="103" t="s">
        <v>1160</v>
      </c>
      <c r="F146" s="104">
        <v>1899304</v>
      </c>
      <c r="G146" s="103" t="s">
        <v>1161</v>
      </c>
      <c r="H146" s="103" t="s">
        <v>271</v>
      </c>
    </row>
    <row r="147" spans="2:8" x14ac:dyDescent="0.25">
      <c r="B147" s="103" t="s">
        <v>954</v>
      </c>
      <c r="C147" s="104">
        <v>3224719</v>
      </c>
      <c r="D147" s="104">
        <v>2833333</v>
      </c>
      <c r="E147" s="103" t="s">
        <v>1162</v>
      </c>
      <c r="F147" s="104">
        <v>1754058</v>
      </c>
      <c r="G147" s="103" t="s">
        <v>1163</v>
      </c>
      <c r="H147" s="103" t="s">
        <v>271</v>
      </c>
    </row>
    <row r="148" spans="2:8" ht="26.4" x14ac:dyDescent="0.25">
      <c r="B148" s="103" t="s">
        <v>958</v>
      </c>
      <c r="C148" s="104">
        <v>2269663</v>
      </c>
      <c r="D148" s="104">
        <v>2277778</v>
      </c>
      <c r="E148" s="103" t="s">
        <v>1164</v>
      </c>
      <c r="F148" s="103" t="s">
        <v>1165</v>
      </c>
      <c r="G148" s="103" t="s">
        <v>1166</v>
      </c>
      <c r="H148" s="103" t="s">
        <v>271</v>
      </c>
    </row>
    <row r="149" spans="2:8" x14ac:dyDescent="0.25">
      <c r="B149" s="103" t="s">
        <v>962</v>
      </c>
      <c r="C149" s="104">
        <v>3966292</v>
      </c>
      <c r="D149" s="104">
        <v>3388889</v>
      </c>
      <c r="E149" s="103" t="s">
        <v>1167</v>
      </c>
      <c r="F149" s="104">
        <v>3064557</v>
      </c>
      <c r="G149" s="103" t="s">
        <v>1168</v>
      </c>
      <c r="H149" s="103" t="s">
        <v>801</v>
      </c>
    </row>
    <row r="150" spans="2:8" ht="26.4" x14ac:dyDescent="0.25">
      <c r="B150" s="103" t="s">
        <v>966</v>
      </c>
      <c r="C150" s="104">
        <v>2224719</v>
      </c>
      <c r="D150" s="104">
        <v>2388889</v>
      </c>
      <c r="E150" s="103" t="s">
        <v>1169</v>
      </c>
      <c r="F150" s="103" t="s">
        <v>1170</v>
      </c>
      <c r="G150" s="103" t="s">
        <v>1171</v>
      </c>
      <c r="H150" s="103" t="s">
        <v>271</v>
      </c>
    </row>
    <row r="151" spans="2:8" x14ac:dyDescent="0.25">
      <c r="B151" s="103" t="s">
        <v>970</v>
      </c>
      <c r="C151" s="104">
        <v>2955056</v>
      </c>
      <c r="D151" s="104">
        <v>2611111</v>
      </c>
      <c r="E151" s="103" t="s">
        <v>1172</v>
      </c>
      <c r="F151" s="104">
        <v>1558861</v>
      </c>
      <c r="G151" s="103" t="s">
        <v>1173</v>
      </c>
      <c r="H151" s="103" t="s">
        <v>271</v>
      </c>
    </row>
    <row r="152" spans="2:8" x14ac:dyDescent="0.25">
      <c r="B152" s="103" t="s">
        <v>826</v>
      </c>
      <c r="C152" s="104">
        <v>3797753</v>
      </c>
      <c r="D152" s="104">
        <v>3333333</v>
      </c>
      <c r="E152" s="103" t="s">
        <v>1174</v>
      </c>
      <c r="F152" s="104">
        <v>2029633</v>
      </c>
      <c r="G152" s="103" t="s">
        <v>1175</v>
      </c>
      <c r="H152" s="103" t="s">
        <v>801</v>
      </c>
    </row>
    <row r="153" spans="2:8" x14ac:dyDescent="0.25">
      <c r="B153" s="103" t="s">
        <v>807</v>
      </c>
      <c r="C153" s="104">
        <v>2382022</v>
      </c>
      <c r="D153" s="104">
        <v>2611111</v>
      </c>
      <c r="E153" s="103" t="s">
        <v>1176</v>
      </c>
      <c r="F153" s="103" t="s">
        <v>1177</v>
      </c>
      <c r="G153" s="103" t="s">
        <v>1178</v>
      </c>
      <c r="H153" s="103" t="s">
        <v>271</v>
      </c>
    </row>
    <row r="154" spans="2:8" x14ac:dyDescent="0.25">
      <c r="B154" s="103" t="s">
        <v>974</v>
      </c>
      <c r="C154" s="104">
        <v>3662921</v>
      </c>
      <c r="D154" s="104">
        <v>3055556</v>
      </c>
      <c r="E154" s="103" t="s">
        <v>1179</v>
      </c>
      <c r="F154" s="104">
        <v>2876173</v>
      </c>
      <c r="G154" s="103" t="s">
        <v>1180</v>
      </c>
      <c r="H154" s="103" t="s">
        <v>801</v>
      </c>
    </row>
    <row r="155" spans="2:8" x14ac:dyDescent="0.25">
      <c r="B155" s="103" t="s">
        <v>810</v>
      </c>
      <c r="C155" s="104">
        <v>2550562</v>
      </c>
      <c r="D155" s="104">
        <v>2666667</v>
      </c>
      <c r="E155" s="103" t="s">
        <v>1181</v>
      </c>
      <c r="F155" s="103" t="s">
        <v>1182</v>
      </c>
      <c r="G155" s="103" t="s">
        <v>1183</v>
      </c>
      <c r="H155" s="103" t="s">
        <v>271</v>
      </c>
    </row>
    <row r="156" spans="2:8" x14ac:dyDescent="0.25">
      <c r="B156" s="103" t="s">
        <v>813</v>
      </c>
      <c r="C156" s="104">
        <v>3022472</v>
      </c>
      <c r="D156" s="104">
        <v>3055556</v>
      </c>
      <c r="E156" s="103" t="s">
        <v>1184</v>
      </c>
      <c r="F156" s="103" t="s">
        <v>1185</v>
      </c>
      <c r="G156" s="103" t="s">
        <v>1186</v>
      </c>
      <c r="H156" s="103" t="s">
        <v>271</v>
      </c>
    </row>
    <row r="157" spans="2:8" x14ac:dyDescent="0.25">
      <c r="B157" s="103" t="s">
        <v>977</v>
      </c>
      <c r="C157" s="104">
        <v>4370787</v>
      </c>
      <c r="D157" s="104">
        <v>3833333</v>
      </c>
      <c r="E157" s="103" t="s">
        <v>1187</v>
      </c>
      <c r="F157" s="104">
        <v>2476048</v>
      </c>
      <c r="G157" s="103" t="s">
        <v>1188</v>
      </c>
      <c r="H157" s="103" t="s">
        <v>801</v>
      </c>
    </row>
    <row r="158" spans="2:8" ht="26.4" x14ac:dyDescent="0.25">
      <c r="B158" s="103" t="s">
        <v>980</v>
      </c>
      <c r="C158" s="104">
        <v>2966292</v>
      </c>
      <c r="D158" s="104">
        <v>3222222</v>
      </c>
      <c r="E158" s="103" t="s">
        <v>1189</v>
      </c>
      <c r="F158" s="104">
        <v>-1196780</v>
      </c>
      <c r="G158" s="103" t="s">
        <v>1190</v>
      </c>
      <c r="H158" s="103" t="s">
        <v>271</v>
      </c>
    </row>
    <row r="159" spans="2:8" x14ac:dyDescent="0.25">
      <c r="B159" s="103" t="s">
        <v>984</v>
      </c>
      <c r="C159" s="104">
        <v>2977528</v>
      </c>
      <c r="D159" s="104">
        <v>2666667</v>
      </c>
      <c r="E159" s="103" t="s">
        <v>1191</v>
      </c>
      <c r="F159" s="104">
        <v>1662452</v>
      </c>
      <c r="G159" s="103" t="s">
        <v>1192</v>
      </c>
      <c r="H159" s="103" t="s">
        <v>271</v>
      </c>
    </row>
    <row r="160" spans="2:8" ht="26.4" x14ac:dyDescent="0.25">
      <c r="B160" s="103" t="s">
        <v>988</v>
      </c>
      <c r="C160" s="104">
        <v>3876404</v>
      </c>
      <c r="D160" s="104">
        <v>3388889</v>
      </c>
      <c r="E160" s="103" t="s">
        <v>1193</v>
      </c>
      <c r="F160" s="104">
        <v>2201089</v>
      </c>
      <c r="G160" s="103" t="s">
        <v>1194</v>
      </c>
      <c r="H160" s="103" t="s">
        <v>801</v>
      </c>
    </row>
    <row r="161" spans="2:8" ht="26.4" x14ac:dyDescent="0.25">
      <c r="B161" s="103" t="s">
        <v>816</v>
      </c>
      <c r="C161" s="104">
        <v>2775281</v>
      </c>
      <c r="D161" s="104">
        <v>3444444</v>
      </c>
      <c r="E161" s="103" t="s">
        <v>1195</v>
      </c>
      <c r="F161" s="104">
        <v>-2708348</v>
      </c>
      <c r="G161" s="103" t="s">
        <v>1196</v>
      </c>
      <c r="H161" s="103" t="s">
        <v>801</v>
      </c>
    </row>
    <row r="162" spans="2:8" x14ac:dyDescent="0.25">
      <c r="B162" s="103" t="s">
        <v>992</v>
      </c>
      <c r="C162" s="104">
        <v>2438202</v>
      </c>
      <c r="D162" s="104">
        <v>2833333</v>
      </c>
      <c r="E162" s="103" t="s">
        <v>1197</v>
      </c>
      <c r="F162" s="104">
        <v>-1716483</v>
      </c>
      <c r="G162" s="103" t="s">
        <v>1198</v>
      </c>
      <c r="H162" s="103" t="s">
        <v>271</v>
      </c>
    </row>
    <row r="165" spans="2:8" x14ac:dyDescent="0.25">
      <c r="B165" s="101" t="s">
        <v>1199</v>
      </c>
    </row>
    <row r="167" spans="2:8" ht="26.4" x14ac:dyDescent="0.25">
      <c r="B167" s="102" t="s">
        <v>789</v>
      </c>
      <c r="C167" s="102" t="s">
        <v>790</v>
      </c>
      <c r="D167" s="102" t="s">
        <v>791</v>
      </c>
      <c r="E167" s="102" t="s">
        <v>792</v>
      </c>
      <c r="F167" s="102" t="s">
        <v>793</v>
      </c>
      <c r="G167" s="102" t="s">
        <v>794</v>
      </c>
      <c r="H167" s="102" t="s">
        <v>795</v>
      </c>
    </row>
    <row r="168" spans="2:8" x14ac:dyDescent="0.25">
      <c r="B168" s="103" t="s">
        <v>796</v>
      </c>
      <c r="C168" s="104">
        <v>3565217</v>
      </c>
      <c r="D168" s="104">
        <v>3625000</v>
      </c>
      <c r="E168" s="103" t="s">
        <v>1200</v>
      </c>
      <c r="F168" s="103" t="s">
        <v>1201</v>
      </c>
      <c r="G168" s="103" t="s">
        <v>1202</v>
      </c>
      <c r="H168" s="103" t="s">
        <v>271</v>
      </c>
    </row>
    <row r="169" spans="2:8" ht="26.4" x14ac:dyDescent="0.25">
      <c r="B169" s="103" t="s">
        <v>799</v>
      </c>
      <c r="C169" s="104">
        <v>3652174</v>
      </c>
      <c r="D169" s="104">
        <v>3375000</v>
      </c>
      <c r="E169" s="103" t="s">
        <v>1203</v>
      </c>
      <c r="F169" s="103" t="s">
        <v>1204</v>
      </c>
      <c r="G169" s="103" t="s">
        <v>1205</v>
      </c>
      <c r="H169" s="103" t="s">
        <v>271</v>
      </c>
    </row>
    <row r="170" spans="2:8" x14ac:dyDescent="0.25">
      <c r="B170" s="103" t="s">
        <v>802</v>
      </c>
      <c r="C170" s="104">
        <v>3434783</v>
      </c>
      <c r="D170" s="104">
        <v>3500000</v>
      </c>
      <c r="E170" s="103" t="s">
        <v>1206</v>
      </c>
      <c r="F170" s="103" t="s">
        <v>1207</v>
      </c>
      <c r="G170" s="103" t="s">
        <v>1208</v>
      </c>
      <c r="H170" s="103" t="s">
        <v>271</v>
      </c>
    </row>
    <row r="171" spans="2:8" x14ac:dyDescent="0.25">
      <c r="B171" s="103" t="s">
        <v>804</v>
      </c>
      <c r="C171" s="104">
        <v>3608696</v>
      </c>
      <c r="D171" s="104">
        <v>3625000</v>
      </c>
      <c r="E171" s="103" t="s">
        <v>1209</v>
      </c>
      <c r="F171" s="103" t="s">
        <v>1210</v>
      </c>
      <c r="G171" s="103" t="s">
        <v>1211</v>
      </c>
      <c r="H171" s="103" t="s">
        <v>271</v>
      </c>
    </row>
    <row r="172" spans="2:8" ht="26.4" x14ac:dyDescent="0.25">
      <c r="B172" s="103" t="s">
        <v>891</v>
      </c>
      <c r="C172" s="104">
        <v>2739130</v>
      </c>
      <c r="D172" s="104">
        <v>2750000</v>
      </c>
      <c r="E172" s="103" t="s">
        <v>1212</v>
      </c>
      <c r="F172" s="103" t="s">
        <v>1213</v>
      </c>
      <c r="G172" s="103" t="s">
        <v>1214</v>
      </c>
      <c r="H172" s="103" t="s">
        <v>271</v>
      </c>
    </row>
    <row r="173" spans="2:8" ht="26.4" x14ac:dyDescent="0.25">
      <c r="B173" s="103" t="s">
        <v>895</v>
      </c>
      <c r="C173" s="104">
        <v>2782609</v>
      </c>
      <c r="D173" s="104">
        <v>2875000</v>
      </c>
      <c r="E173" s="103" t="s">
        <v>1215</v>
      </c>
      <c r="F173" s="103" t="s">
        <v>1216</v>
      </c>
      <c r="G173" s="103" t="s">
        <v>1217</v>
      </c>
      <c r="H173" s="103" t="s">
        <v>271</v>
      </c>
    </row>
    <row r="174" spans="2:8" ht="26.4" x14ac:dyDescent="0.25">
      <c r="B174" s="103" t="s">
        <v>898</v>
      </c>
      <c r="C174" s="104">
        <v>2826087</v>
      </c>
      <c r="D174" s="104">
        <v>2750000</v>
      </c>
      <c r="E174" s="103" t="s">
        <v>1218</v>
      </c>
      <c r="F174" s="103" t="s">
        <v>1219</v>
      </c>
      <c r="G174" s="103" t="s">
        <v>1220</v>
      </c>
      <c r="H174" s="103" t="s">
        <v>271</v>
      </c>
    </row>
    <row r="175" spans="2:8" ht="26.4" x14ac:dyDescent="0.25">
      <c r="B175" s="103" t="s">
        <v>902</v>
      </c>
      <c r="C175" s="104">
        <v>3239130</v>
      </c>
      <c r="D175" s="104">
        <v>3375000</v>
      </c>
      <c r="E175" s="103" t="s">
        <v>1221</v>
      </c>
      <c r="F175" s="103" t="s">
        <v>1222</v>
      </c>
      <c r="G175" s="103" t="s">
        <v>1223</v>
      </c>
      <c r="H175" s="103" t="s">
        <v>271</v>
      </c>
    </row>
    <row r="176" spans="2:8" ht="26.4" x14ac:dyDescent="0.25">
      <c r="B176" s="103" t="s">
        <v>906</v>
      </c>
      <c r="C176" s="104">
        <v>3369565</v>
      </c>
      <c r="D176" s="104">
        <v>3625000</v>
      </c>
      <c r="E176" s="103" t="s">
        <v>1224</v>
      </c>
      <c r="F176" s="103" t="s">
        <v>1225</v>
      </c>
      <c r="G176" s="103" t="s">
        <v>1226</v>
      </c>
      <c r="H176" s="103" t="s">
        <v>271</v>
      </c>
    </row>
    <row r="177" spans="2:8" ht="26.4" x14ac:dyDescent="0.25">
      <c r="B177" s="103" t="s">
        <v>910</v>
      </c>
      <c r="C177" s="104">
        <v>3586957</v>
      </c>
      <c r="D177" s="104">
        <v>3625000</v>
      </c>
      <c r="E177" s="103" t="s">
        <v>1227</v>
      </c>
      <c r="F177" s="103" t="s">
        <v>1228</v>
      </c>
      <c r="G177" s="103" t="s">
        <v>1229</v>
      </c>
      <c r="H177" s="103" t="s">
        <v>271</v>
      </c>
    </row>
    <row r="178" spans="2:8" ht="26.4" x14ac:dyDescent="0.25">
      <c r="B178" s="103" t="s">
        <v>914</v>
      </c>
      <c r="C178" s="104">
        <v>3086957</v>
      </c>
      <c r="D178" s="104">
        <v>3375000</v>
      </c>
      <c r="E178" s="103" t="s">
        <v>1230</v>
      </c>
      <c r="F178" s="103" t="s">
        <v>1231</v>
      </c>
      <c r="G178" s="103" t="s">
        <v>1232</v>
      </c>
      <c r="H178" s="103" t="s">
        <v>271</v>
      </c>
    </row>
    <row r="179" spans="2:8" x14ac:dyDescent="0.25">
      <c r="B179" s="103" t="s">
        <v>818</v>
      </c>
      <c r="C179" s="104">
        <v>3347826</v>
      </c>
      <c r="D179" s="104">
        <v>3250000</v>
      </c>
      <c r="E179" s="103" t="s">
        <v>1233</v>
      </c>
      <c r="F179" s="103" t="s">
        <v>1234</v>
      </c>
      <c r="G179" s="103" t="s">
        <v>1235</v>
      </c>
      <c r="H179" s="103" t="s">
        <v>271</v>
      </c>
    </row>
    <row r="180" spans="2:8" x14ac:dyDescent="0.25">
      <c r="B180" s="103" t="s">
        <v>918</v>
      </c>
      <c r="C180" s="104">
        <v>4434783</v>
      </c>
      <c r="D180" s="104">
        <v>4375000</v>
      </c>
      <c r="E180" s="103" t="s">
        <v>1236</v>
      </c>
      <c r="F180" s="103" t="s">
        <v>1237</v>
      </c>
      <c r="G180" s="103" t="s">
        <v>1238</v>
      </c>
      <c r="H180" s="103" t="s">
        <v>271</v>
      </c>
    </row>
    <row r="181" spans="2:8" x14ac:dyDescent="0.25">
      <c r="B181" s="103" t="s">
        <v>922</v>
      </c>
      <c r="C181" s="104">
        <v>3304348</v>
      </c>
      <c r="D181" s="104">
        <v>3125000</v>
      </c>
      <c r="E181" s="103" t="s">
        <v>1239</v>
      </c>
      <c r="F181" s="103" t="s">
        <v>1240</v>
      </c>
      <c r="G181" s="103" t="s">
        <v>1241</v>
      </c>
      <c r="H181" s="103" t="s">
        <v>271</v>
      </c>
    </row>
    <row r="182" spans="2:8" x14ac:dyDescent="0.25">
      <c r="B182" s="103" t="s">
        <v>926</v>
      </c>
      <c r="C182" s="104">
        <v>3521739</v>
      </c>
      <c r="D182" s="104">
        <v>3500000</v>
      </c>
      <c r="E182" s="103" t="s">
        <v>1242</v>
      </c>
      <c r="F182" s="103" t="s">
        <v>1243</v>
      </c>
      <c r="G182" s="103" t="s">
        <v>1244</v>
      </c>
      <c r="H182" s="103" t="s">
        <v>271</v>
      </c>
    </row>
    <row r="183" spans="2:8" x14ac:dyDescent="0.25">
      <c r="B183" s="103" t="s">
        <v>820</v>
      </c>
      <c r="C183" s="104">
        <v>3869565</v>
      </c>
      <c r="D183" s="104">
        <v>3500000</v>
      </c>
      <c r="E183" s="103" t="s">
        <v>1245</v>
      </c>
      <c r="F183" s="103" t="s">
        <v>1246</v>
      </c>
      <c r="G183" s="103" t="s">
        <v>1247</v>
      </c>
      <c r="H183" s="103" t="s">
        <v>271</v>
      </c>
    </row>
    <row r="184" spans="2:8" x14ac:dyDescent="0.25">
      <c r="B184" s="103" t="s">
        <v>823</v>
      </c>
      <c r="C184" s="104">
        <v>3347826</v>
      </c>
      <c r="D184" s="104">
        <v>3000000</v>
      </c>
      <c r="E184" s="103" t="s">
        <v>1248</v>
      </c>
      <c r="F184" s="103" t="s">
        <v>1249</v>
      </c>
      <c r="G184" s="103" t="s">
        <v>1250</v>
      </c>
      <c r="H184" s="103" t="s">
        <v>271</v>
      </c>
    </row>
    <row r="185" spans="2:8" ht="26.4" x14ac:dyDescent="0.25">
      <c r="B185" s="103" t="s">
        <v>930</v>
      </c>
      <c r="C185" s="104">
        <v>3086957</v>
      </c>
      <c r="D185" s="104">
        <v>3125000</v>
      </c>
      <c r="E185" s="103" t="s">
        <v>1227</v>
      </c>
      <c r="F185" s="103" t="s">
        <v>1251</v>
      </c>
      <c r="G185" s="103" t="s">
        <v>1252</v>
      </c>
      <c r="H185" s="103" t="s">
        <v>271</v>
      </c>
    </row>
    <row r="186" spans="2:8" ht="26.4" x14ac:dyDescent="0.25">
      <c r="B186" s="103" t="s">
        <v>829</v>
      </c>
      <c r="C186" s="104">
        <v>4000000</v>
      </c>
      <c r="D186" s="104">
        <v>3625000</v>
      </c>
      <c r="E186" s="103" t="s">
        <v>1253</v>
      </c>
      <c r="F186" s="103" t="s">
        <v>1254</v>
      </c>
      <c r="G186" s="103" t="s">
        <v>1255</v>
      </c>
      <c r="H186" s="103" t="s">
        <v>271</v>
      </c>
    </row>
    <row r="187" spans="2:8" x14ac:dyDescent="0.25">
      <c r="B187" s="103" t="s">
        <v>934</v>
      </c>
      <c r="C187" s="104">
        <v>3000000</v>
      </c>
      <c r="D187" s="104">
        <v>2750000</v>
      </c>
      <c r="E187" s="103" t="s">
        <v>1256</v>
      </c>
      <c r="F187" s="103" t="s">
        <v>1257</v>
      </c>
      <c r="G187" s="103" t="s">
        <v>1258</v>
      </c>
      <c r="H187" s="103" t="s">
        <v>271</v>
      </c>
    </row>
    <row r="188" spans="2:8" x14ac:dyDescent="0.25">
      <c r="B188" s="103" t="s">
        <v>938</v>
      </c>
      <c r="C188" s="104">
        <v>2608696</v>
      </c>
      <c r="D188" s="104">
        <v>2875000</v>
      </c>
      <c r="E188" s="103" t="s">
        <v>1259</v>
      </c>
      <c r="F188" s="103" t="s">
        <v>1260</v>
      </c>
      <c r="G188" s="103" t="s">
        <v>1261</v>
      </c>
      <c r="H188" s="103" t="s">
        <v>271</v>
      </c>
    </row>
    <row r="189" spans="2:8" ht="26.4" x14ac:dyDescent="0.25">
      <c r="B189" s="103" t="s">
        <v>942</v>
      </c>
      <c r="C189" s="104">
        <v>2956522</v>
      </c>
      <c r="D189" s="104">
        <v>3000000</v>
      </c>
      <c r="E189" s="103" t="s">
        <v>1262</v>
      </c>
      <c r="F189" s="103" t="s">
        <v>1263</v>
      </c>
      <c r="G189" s="103" t="s">
        <v>1264</v>
      </c>
      <c r="H189" s="103" t="s">
        <v>271</v>
      </c>
    </row>
    <row r="190" spans="2:8" x14ac:dyDescent="0.25">
      <c r="B190" s="103" t="s">
        <v>946</v>
      </c>
      <c r="C190" s="104">
        <v>2956522</v>
      </c>
      <c r="D190" s="104">
        <v>2875000</v>
      </c>
      <c r="E190" s="103" t="s">
        <v>1265</v>
      </c>
      <c r="F190" s="103" t="s">
        <v>1266</v>
      </c>
      <c r="G190" s="103" t="s">
        <v>1267</v>
      </c>
      <c r="H190" s="103" t="s">
        <v>271</v>
      </c>
    </row>
    <row r="191" spans="2:8" ht="26.4" x14ac:dyDescent="0.25">
      <c r="B191" s="103" t="s">
        <v>950</v>
      </c>
      <c r="C191" s="104">
        <v>3217391</v>
      </c>
      <c r="D191" s="104">
        <v>3000000</v>
      </c>
      <c r="E191" s="103" t="s">
        <v>1268</v>
      </c>
      <c r="F191" s="103" t="s">
        <v>1269</v>
      </c>
      <c r="G191" s="103" t="s">
        <v>1270</v>
      </c>
      <c r="H191" s="103" t="s">
        <v>271</v>
      </c>
    </row>
    <row r="192" spans="2:8" x14ac:dyDescent="0.25">
      <c r="B192" s="103" t="s">
        <v>954</v>
      </c>
      <c r="C192" s="104">
        <v>3043478</v>
      </c>
      <c r="D192" s="104">
        <v>2875000</v>
      </c>
      <c r="E192" s="103" t="s">
        <v>1271</v>
      </c>
      <c r="F192" s="103" t="s">
        <v>1272</v>
      </c>
      <c r="G192" s="103" t="s">
        <v>1273</v>
      </c>
      <c r="H192" s="103" t="s">
        <v>271</v>
      </c>
    </row>
    <row r="193" spans="2:8" ht="26.4" x14ac:dyDescent="0.25">
      <c r="B193" s="103" t="s">
        <v>958</v>
      </c>
      <c r="C193" s="104">
        <v>2304348</v>
      </c>
      <c r="D193" s="104">
        <v>2375000</v>
      </c>
      <c r="E193" s="103" t="s">
        <v>1274</v>
      </c>
      <c r="F193" s="103" t="s">
        <v>1275</v>
      </c>
      <c r="G193" s="103" t="s">
        <v>1276</v>
      </c>
      <c r="H193" s="103" t="s">
        <v>271</v>
      </c>
    </row>
    <row r="194" spans="2:8" x14ac:dyDescent="0.25">
      <c r="B194" s="103" t="s">
        <v>962</v>
      </c>
      <c r="C194" s="104">
        <v>3913043</v>
      </c>
      <c r="D194" s="104">
        <v>3750000</v>
      </c>
      <c r="E194" s="103" t="s">
        <v>1277</v>
      </c>
      <c r="F194" s="103" t="s">
        <v>1278</v>
      </c>
      <c r="G194" s="103" t="s">
        <v>1279</v>
      </c>
      <c r="H194" s="103" t="s">
        <v>271</v>
      </c>
    </row>
    <row r="195" spans="2:8" ht="26.4" x14ac:dyDescent="0.25">
      <c r="B195" s="103" t="s">
        <v>966</v>
      </c>
      <c r="C195" s="104">
        <v>2391304</v>
      </c>
      <c r="D195" s="104">
        <v>2875000</v>
      </c>
      <c r="E195" s="103" t="s">
        <v>1280</v>
      </c>
      <c r="F195" s="104">
        <v>-1211673</v>
      </c>
      <c r="G195" s="103" t="s">
        <v>1281</v>
      </c>
      <c r="H195" s="103" t="s">
        <v>271</v>
      </c>
    </row>
    <row r="196" spans="2:8" x14ac:dyDescent="0.25">
      <c r="B196" s="103" t="s">
        <v>970</v>
      </c>
      <c r="C196" s="104">
        <v>2869565</v>
      </c>
      <c r="D196" s="104">
        <v>3125000</v>
      </c>
      <c r="E196" s="103" t="s">
        <v>1224</v>
      </c>
      <c r="F196" s="103" t="s">
        <v>1282</v>
      </c>
      <c r="G196" s="103" t="s">
        <v>1283</v>
      </c>
      <c r="H196" s="103" t="s">
        <v>271</v>
      </c>
    </row>
    <row r="197" spans="2:8" x14ac:dyDescent="0.25">
      <c r="B197" s="103" t="s">
        <v>826</v>
      </c>
      <c r="C197" s="104">
        <v>3608696</v>
      </c>
      <c r="D197" s="104">
        <v>3375000</v>
      </c>
      <c r="E197" s="103" t="s">
        <v>1284</v>
      </c>
      <c r="F197" s="103" t="s">
        <v>1285</v>
      </c>
      <c r="G197" s="103" t="s">
        <v>1286</v>
      </c>
      <c r="H197" s="103" t="s">
        <v>271</v>
      </c>
    </row>
    <row r="198" spans="2:8" x14ac:dyDescent="0.25">
      <c r="B198" s="103" t="s">
        <v>807</v>
      </c>
      <c r="C198" s="104">
        <v>2434783</v>
      </c>
      <c r="D198" s="104">
        <v>2500000</v>
      </c>
      <c r="E198" s="103" t="s">
        <v>1206</v>
      </c>
      <c r="F198" s="103" t="s">
        <v>1287</v>
      </c>
      <c r="G198" s="103" t="s">
        <v>1288</v>
      </c>
      <c r="H198" s="103" t="s">
        <v>271</v>
      </c>
    </row>
    <row r="199" spans="2:8" x14ac:dyDescent="0.25">
      <c r="B199" s="103" t="s">
        <v>974</v>
      </c>
      <c r="C199" s="104">
        <v>3521739</v>
      </c>
      <c r="D199" s="104">
        <v>3500000</v>
      </c>
      <c r="E199" s="103" t="s">
        <v>1242</v>
      </c>
      <c r="F199" s="103" t="s">
        <v>1289</v>
      </c>
      <c r="G199" s="103" t="s">
        <v>1290</v>
      </c>
      <c r="H199" s="103" t="s">
        <v>271</v>
      </c>
    </row>
    <row r="200" spans="2:8" x14ac:dyDescent="0.25">
      <c r="B200" s="103" t="s">
        <v>810</v>
      </c>
      <c r="C200" s="104">
        <v>2695652</v>
      </c>
      <c r="D200" s="104">
        <v>2750000</v>
      </c>
      <c r="E200" s="103" t="s">
        <v>1291</v>
      </c>
      <c r="F200" s="103" t="s">
        <v>1292</v>
      </c>
      <c r="G200" s="103" t="s">
        <v>1293</v>
      </c>
      <c r="H200" s="103" t="s">
        <v>271</v>
      </c>
    </row>
    <row r="201" spans="2:8" x14ac:dyDescent="0.25">
      <c r="B201" s="103" t="s">
        <v>813</v>
      </c>
      <c r="C201" s="104">
        <v>2913043</v>
      </c>
      <c r="D201" s="104">
        <v>3125000</v>
      </c>
      <c r="E201" s="103" t="s">
        <v>1294</v>
      </c>
      <c r="F201" s="103" t="s">
        <v>1295</v>
      </c>
      <c r="G201" s="103" t="s">
        <v>1296</v>
      </c>
      <c r="H201" s="103" t="s">
        <v>271</v>
      </c>
    </row>
    <row r="202" spans="2:8" x14ac:dyDescent="0.25">
      <c r="B202" s="103" t="s">
        <v>977</v>
      </c>
      <c r="C202" s="104">
        <v>4260870</v>
      </c>
      <c r="D202" s="104">
        <v>4125000</v>
      </c>
      <c r="E202" s="103" t="s">
        <v>1297</v>
      </c>
      <c r="F202" s="103" t="s">
        <v>1298</v>
      </c>
      <c r="G202" s="103" t="s">
        <v>1299</v>
      </c>
      <c r="H202" s="103" t="s">
        <v>271</v>
      </c>
    </row>
    <row r="203" spans="2:8" ht="26.4" x14ac:dyDescent="0.25">
      <c r="B203" s="103" t="s">
        <v>980</v>
      </c>
      <c r="C203" s="104">
        <v>3304348</v>
      </c>
      <c r="D203" s="104">
        <v>3500000</v>
      </c>
      <c r="E203" s="103" t="s">
        <v>1300</v>
      </c>
      <c r="F203" s="103" t="s">
        <v>1301</v>
      </c>
      <c r="G203" s="103" t="s">
        <v>1302</v>
      </c>
      <c r="H203" s="103" t="s">
        <v>271</v>
      </c>
    </row>
    <row r="204" spans="2:8" x14ac:dyDescent="0.25">
      <c r="B204" s="103" t="s">
        <v>984</v>
      </c>
      <c r="C204" s="104">
        <v>2913043</v>
      </c>
      <c r="D204" s="104">
        <v>2750000</v>
      </c>
      <c r="E204" s="103" t="s">
        <v>1277</v>
      </c>
      <c r="F204" s="103" t="s">
        <v>1303</v>
      </c>
      <c r="G204" s="103" t="s">
        <v>1304</v>
      </c>
      <c r="H204" s="103" t="s">
        <v>271</v>
      </c>
    </row>
    <row r="205" spans="2:8" ht="26.4" x14ac:dyDescent="0.25">
      <c r="B205" s="103" t="s">
        <v>988</v>
      </c>
      <c r="C205" s="104">
        <v>3739130</v>
      </c>
      <c r="D205" s="104">
        <v>3625000</v>
      </c>
      <c r="E205" s="103" t="s">
        <v>1305</v>
      </c>
      <c r="F205" s="103" t="s">
        <v>1306</v>
      </c>
      <c r="G205" s="103" t="s">
        <v>1307</v>
      </c>
      <c r="H205" s="103" t="s">
        <v>271</v>
      </c>
    </row>
    <row r="206" spans="2:8" ht="26.4" x14ac:dyDescent="0.25">
      <c r="B206" s="103" t="s">
        <v>816</v>
      </c>
      <c r="C206" s="104">
        <v>3086957</v>
      </c>
      <c r="D206" s="104">
        <v>3125000</v>
      </c>
      <c r="E206" s="103" t="s">
        <v>1227</v>
      </c>
      <c r="F206" s="103" t="s">
        <v>1308</v>
      </c>
      <c r="G206" s="103" t="s">
        <v>1309</v>
      </c>
      <c r="H206" s="103" t="s">
        <v>271</v>
      </c>
    </row>
    <row r="207" spans="2:8" x14ac:dyDescent="0.25">
      <c r="B207" s="103" t="s">
        <v>992</v>
      </c>
      <c r="C207" s="104">
        <v>2608696</v>
      </c>
      <c r="D207" s="104">
        <v>2750000</v>
      </c>
      <c r="E207" s="103" t="s">
        <v>1310</v>
      </c>
      <c r="F207" s="103" t="s">
        <v>1311</v>
      </c>
      <c r="G207" s="103" t="s">
        <v>1312</v>
      </c>
      <c r="H207" s="103" t="s">
        <v>271</v>
      </c>
    </row>
    <row r="210" spans="2:8" x14ac:dyDescent="0.25">
      <c r="B210" s="101" t="s">
        <v>1313</v>
      </c>
    </row>
    <row r="212" spans="2:8" ht="26.4" x14ac:dyDescent="0.25">
      <c r="B212" s="102" t="s">
        <v>789</v>
      </c>
      <c r="C212" s="102" t="s">
        <v>790</v>
      </c>
      <c r="D212" s="102" t="s">
        <v>791</v>
      </c>
      <c r="E212" s="102" t="s">
        <v>792</v>
      </c>
      <c r="F212" s="102" t="s">
        <v>793</v>
      </c>
      <c r="G212" s="102" t="s">
        <v>794</v>
      </c>
      <c r="H212" s="102" t="s">
        <v>795</v>
      </c>
    </row>
    <row r="213" spans="2:8" x14ac:dyDescent="0.25">
      <c r="B213" s="103" t="s">
        <v>796</v>
      </c>
      <c r="C213" s="104">
        <v>3905660</v>
      </c>
      <c r="D213" s="104">
        <v>3750000</v>
      </c>
      <c r="E213" s="103" t="s">
        <v>1314</v>
      </c>
      <c r="F213" s="103" t="s">
        <v>1315</v>
      </c>
      <c r="G213" s="103" t="s">
        <v>1316</v>
      </c>
      <c r="H213" s="103" t="s">
        <v>271</v>
      </c>
    </row>
    <row r="214" spans="2:8" ht="26.4" x14ac:dyDescent="0.25">
      <c r="B214" s="103" t="s">
        <v>799</v>
      </c>
      <c r="C214" s="104">
        <v>3641509</v>
      </c>
      <c r="D214" s="104">
        <v>3750000</v>
      </c>
      <c r="E214" s="103" t="s">
        <v>1317</v>
      </c>
      <c r="F214" s="103" t="s">
        <v>1318</v>
      </c>
      <c r="G214" s="103" t="s">
        <v>1319</v>
      </c>
      <c r="H214" s="103" t="s">
        <v>271</v>
      </c>
    </row>
    <row r="215" spans="2:8" x14ac:dyDescent="0.25">
      <c r="B215" s="103" t="s">
        <v>802</v>
      </c>
      <c r="C215" s="104">
        <v>3547170</v>
      </c>
      <c r="D215" s="104">
        <v>3625000</v>
      </c>
      <c r="E215" s="103" t="s">
        <v>1320</v>
      </c>
      <c r="F215" s="103" t="s">
        <v>1321</v>
      </c>
      <c r="G215" s="103" t="s">
        <v>1322</v>
      </c>
      <c r="H215" s="103" t="s">
        <v>271</v>
      </c>
    </row>
    <row r="216" spans="2:8" x14ac:dyDescent="0.25">
      <c r="B216" s="103" t="s">
        <v>804</v>
      </c>
      <c r="C216" s="104">
        <v>3679245</v>
      </c>
      <c r="D216" s="104">
        <v>3625000</v>
      </c>
      <c r="E216" s="103" t="s">
        <v>1323</v>
      </c>
      <c r="F216" s="103" t="s">
        <v>1324</v>
      </c>
      <c r="G216" s="103" t="s">
        <v>1325</v>
      </c>
      <c r="H216" s="103" t="s">
        <v>271</v>
      </c>
    </row>
    <row r="217" spans="2:8" ht="26.4" x14ac:dyDescent="0.25">
      <c r="B217" s="103" t="s">
        <v>891</v>
      </c>
      <c r="C217" s="104">
        <v>2962264</v>
      </c>
      <c r="D217" s="104">
        <v>3000000</v>
      </c>
      <c r="E217" s="103" t="s">
        <v>1326</v>
      </c>
      <c r="F217" s="103" t="s">
        <v>1327</v>
      </c>
      <c r="G217" s="103" t="s">
        <v>1328</v>
      </c>
      <c r="H217" s="103" t="s">
        <v>271</v>
      </c>
    </row>
    <row r="218" spans="2:8" ht="26.4" x14ac:dyDescent="0.25">
      <c r="B218" s="103" t="s">
        <v>895</v>
      </c>
      <c r="C218" s="104">
        <v>2830189</v>
      </c>
      <c r="D218" s="104">
        <v>2875000</v>
      </c>
      <c r="E218" s="103" t="s">
        <v>1329</v>
      </c>
      <c r="F218" s="103" t="s">
        <v>1330</v>
      </c>
      <c r="G218" s="103" t="s">
        <v>1331</v>
      </c>
      <c r="H218" s="103" t="s">
        <v>271</v>
      </c>
    </row>
    <row r="219" spans="2:8" ht="26.4" x14ac:dyDescent="0.25">
      <c r="B219" s="103" t="s">
        <v>898</v>
      </c>
      <c r="C219" s="104">
        <v>2905660</v>
      </c>
      <c r="D219" s="104">
        <v>2875000</v>
      </c>
      <c r="E219" s="103" t="s">
        <v>1332</v>
      </c>
      <c r="F219" s="103" t="s">
        <v>1333</v>
      </c>
      <c r="G219" s="103" t="s">
        <v>1334</v>
      </c>
      <c r="H219" s="103" t="s">
        <v>271</v>
      </c>
    </row>
    <row r="220" spans="2:8" ht="26.4" x14ac:dyDescent="0.25">
      <c r="B220" s="103" t="s">
        <v>902</v>
      </c>
      <c r="C220" s="104">
        <v>3169811</v>
      </c>
      <c r="D220" s="104">
        <v>3125000</v>
      </c>
      <c r="E220" s="103" t="s">
        <v>1335</v>
      </c>
      <c r="F220" s="103" t="s">
        <v>1336</v>
      </c>
      <c r="G220" s="103" t="s">
        <v>1337</v>
      </c>
      <c r="H220" s="103" t="s">
        <v>271</v>
      </c>
    </row>
    <row r="221" spans="2:8" ht="26.4" x14ac:dyDescent="0.25">
      <c r="B221" s="103" t="s">
        <v>906</v>
      </c>
      <c r="C221" s="104">
        <v>3169811</v>
      </c>
      <c r="D221" s="104">
        <v>3000000</v>
      </c>
      <c r="E221" s="103" t="s">
        <v>1338</v>
      </c>
      <c r="F221" s="103" t="s">
        <v>1339</v>
      </c>
      <c r="G221" s="103" t="s">
        <v>1340</v>
      </c>
      <c r="H221" s="103" t="s">
        <v>271</v>
      </c>
    </row>
    <row r="222" spans="2:8" ht="26.4" x14ac:dyDescent="0.25">
      <c r="B222" s="103" t="s">
        <v>910</v>
      </c>
      <c r="C222" s="104">
        <v>3509434</v>
      </c>
      <c r="D222" s="104">
        <v>3500000</v>
      </c>
      <c r="E222" s="103" t="s">
        <v>1341</v>
      </c>
      <c r="F222" s="103" t="s">
        <v>1342</v>
      </c>
      <c r="G222" s="103" t="s">
        <v>1343</v>
      </c>
      <c r="H222" s="103" t="s">
        <v>271</v>
      </c>
    </row>
    <row r="223" spans="2:8" ht="26.4" x14ac:dyDescent="0.25">
      <c r="B223" s="103" t="s">
        <v>914</v>
      </c>
      <c r="C223" s="104">
        <v>3169811</v>
      </c>
      <c r="D223" s="104">
        <v>3250000</v>
      </c>
      <c r="E223" s="103" t="s">
        <v>1344</v>
      </c>
      <c r="F223" s="103" t="s">
        <v>1345</v>
      </c>
      <c r="G223" s="103" t="s">
        <v>1346</v>
      </c>
      <c r="H223" s="103" t="s">
        <v>271</v>
      </c>
    </row>
    <row r="224" spans="2:8" x14ac:dyDescent="0.25">
      <c r="B224" s="103" t="s">
        <v>818</v>
      </c>
      <c r="C224" s="104">
        <v>3735849</v>
      </c>
      <c r="D224" s="104">
        <v>3375000</v>
      </c>
      <c r="E224" s="103" t="s">
        <v>1347</v>
      </c>
      <c r="F224" s="103" t="s">
        <v>1348</v>
      </c>
      <c r="G224" s="103" t="s">
        <v>1349</v>
      </c>
      <c r="H224" s="103" t="s">
        <v>271</v>
      </c>
    </row>
    <row r="225" spans="2:8" x14ac:dyDescent="0.25">
      <c r="B225" s="103" t="s">
        <v>918</v>
      </c>
      <c r="C225" s="104">
        <v>4471698</v>
      </c>
      <c r="D225" s="104">
        <v>4500000</v>
      </c>
      <c r="E225" s="103" t="s">
        <v>1350</v>
      </c>
      <c r="F225" s="103" t="s">
        <v>1351</v>
      </c>
      <c r="G225" s="103" t="s">
        <v>1352</v>
      </c>
      <c r="H225" s="103" t="s">
        <v>271</v>
      </c>
    </row>
    <row r="226" spans="2:8" x14ac:dyDescent="0.25">
      <c r="B226" s="103" t="s">
        <v>922</v>
      </c>
      <c r="C226" s="104">
        <v>3622642</v>
      </c>
      <c r="D226" s="104">
        <v>3500000</v>
      </c>
      <c r="E226" s="103" t="s">
        <v>1353</v>
      </c>
      <c r="F226" s="103" t="s">
        <v>1354</v>
      </c>
      <c r="G226" s="103" t="s">
        <v>1355</v>
      </c>
      <c r="H226" s="103" t="s">
        <v>271</v>
      </c>
    </row>
    <row r="227" spans="2:8" x14ac:dyDescent="0.25">
      <c r="B227" s="103" t="s">
        <v>926</v>
      </c>
      <c r="C227" s="104">
        <v>3679245</v>
      </c>
      <c r="D227" s="104">
        <v>3625000</v>
      </c>
      <c r="E227" s="103" t="s">
        <v>1323</v>
      </c>
      <c r="F227" s="103" t="s">
        <v>1356</v>
      </c>
      <c r="G227" s="103" t="s">
        <v>1357</v>
      </c>
      <c r="H227" s="103" t="s">
        <v>271</v>
      </c>
    </row>
    <row r="228" spans="2:8" x14ac:dyDescent="0.25">
      <c r="B228" s="103" t="s">
        <v>820</v>
      </c>
      <c r="C228" s="104">
        <v>4075472</v>
      </c>
      <c r="D228" s="104">
        <v>3875000</v>
      </c>
      <c r="E228" s="103" t="s">
        <v>1358</v>
      </c>
      <c r="F228" s="103" t="s">
        <v>1359</v>
      </c>
      <c r="G228" s="103" t="s">
        <v>1360</v>
      </c>
      <c r="H228" s="103" t="s">
        <v>271</v>
      </c>
    </row>
    <row r="229" spans="2:8" x14ac:dyDescent="0.25">
      <c r="B229" s="103" t="s">
        <v>823</v>
      </c>
      <c r="C229" s="104">
        <v>3396226</v>
      </c>
      <c r="D229" s="104">
        <v>3375000</v>
      </c>
      <c r="E229" s="103" t="s">
        <v>1361</v>
      </c>
      <c r="F229" s="103" t="s">
        <v>1362</v>
      </c>
      <c r="G229" s="103" t="s">
        <v>1363</v>
      </c>
      <c r="H229" s="103" t="s">
        <v>271</v>
      </c>
    </row>
    <row r="230" spans="2:8" ht="26.4" x14ac:dyDescent="0.25">
      <c r="B230" s="103" t="s">
        <v>930</v>
      </c>
      <c r="C230" s="104">
        <v>3056604</v>
      </c>
      <c r="D230" s="104">
        <v>3125000</v>
      </c>
      <c r="E230" s="103" t="s">
        <v>1364</v>
      </c>
      <c r="F230" s="103" t="s">
        <v>1365</v>
      </c>
      <c r="G230" s="103" t="s">
        <v>1366</v>
      </c>
      <c r="H230" s="103" t="s">
        <v>271</v>
      </c>
    </row>
    <row r="231" spans="2:8" ht="26.4" x14ac:dyDescent="0.25">
      <c r="B231" s="103" t="s">
        <v>829</v>
      </c>
      <c r="C231" s="104">
        <v>4226415</v>
      </c>
      <c r="D231" s="104">
        <v>3750000</v>
      </c>
      <c r="E231" s="103" t="s">
        <v>1367</v>
      </c>
      <c r="F231" s="104">
        <v>1102456</v>
      </c>
      <c r="G231" s="103" t="s">
        <v>1368</v>
      </c>
      <c r="H231" s="103" t="s">
        <v>271</v>
      </c>
    </row>
    <row r="232" spans="2:8" x14ac:dyDescent="0.25">
      <c r="B232" s="103" t="s">
        <v>934</v>
      </c>
      <c r="C232" s="104">
        <v>3169811</v>
      </c>
      <c r="D232" s="104">
        <v>2875000</v>
      </c>
      <c r="E232" s="103" t="s">
        <v>1369</v>
      </c>
      <c r="F232" s="103" t="s">
        <v>1370</v>
      </c>
      <c r="G232" s="103" t="s">
        <v>1371</v>
      </c>
      <c r="H232" s="103" t="s">
        <v>271</v>
      </c>
    </row>
    <row r="233" spans="2:8" x14ac:dyDescent="0.25">
      <c r="B233" s="103" t="s">
        <v>938</v>
      </c>
      <c r="C233" s="104">
        <v>2471698</v>
      </c>
      <c r="D233" s="104">
        <v>2250000</v>
      </c>
      <c r="E233" s="103" t="s">
        <v>1372</v>
      </c>
      <c r="F233" s="103" t="s">
        <v>1373</v>
      </c>
      <c r="G233" s="103" t="s">
        <v>1374</v>
      </c>
      <c r="H233" s="103" t="s">
        <v>271</v>
      </c>
    </row>
    <row r="234" spans="2:8" ht="26.4" x14ac:dyDescent="0.25">
      <c r="B234" s="103" t="s">
        <v>942</v>
      </c>
      <c r="C234" s="104">
        <v>2981132</v>
      </c>
      <c r="D234" s="104">
        <v>3000000</v>
      </c>
      <c r="E234" s="103" t="s">
        <v>1375</v>
      </c>
      <c r="F234" s="103" t="s">
        <v>1376</v>
      </c>
      <c r="G234" s="103" t="s">
        <v>1377</v>
      </c>
      <c r="H234" s="103" t="s">
        <v>271</v>
      </c>
    </row>
    <row r="235" spans="2:8" x14ac:dyDescent="0.25">
      <c r="B235" s="103" t="s">
        <v>946</v>
      </c>
      <c r="C235" s="104">
        <v>2924528</v>
      </c>
      <c r="D235" s="104">
        <v>2750000</v>
      </c>
      <c r="E235" s="103" t="s">
        <v>1378</v>
      </c>
      <c r="F235" s="103" t="s">
        <v>1379</v>
      </c>
      <c r="G235" s="103" t="s">
        <v>1380</v>
      </c>
      <c r="H235" s="103" t="s">
        <v>271</v>
      </c>
    </row>
    <row r="236" spans="2:8" ht="26.4" x14ac:dyDescent="0.25">
      <c r="B236" s="103" t="s">
        <v>950</v>
      </c>
      <c r="C236" s="104">
        <v>3471698</v>
      </c>
      <c r="D236" s="104">
        <v>3125000</v>
      </c>
      <c r="E236" s="103" t="s">
        <v>1381</v>
      </c>
      <c r="F236" s="103" t="s">
        <v>1382</v>
      </c>
      <c r="G236" s="103" t="s">
        <v>1383</v>
      </c>
      <c r="H236" s="103" t="s">
        <v>271</v>
      </c>
    </row>
    <row r="237" spans="2:8" x14ac:dyDescent="0.25">
      <c r="B237" s="103" t="s">
        <v>954</v>
      </c>
      <c r="C237" s="104">
        <v>3283019</v>
      </c>
      <c r="D237" s="104">
        <v>3125000</v>
      </c>
      <c r="E237" s="103" t="s">
        <v>1384</v>
      </c>
      <c r="F237" s="103" t="s">
        <v>1385</v>
      </c>
      <c r="G237" s="103" t="s">
        <v>1386</v>
      </c>
      <c r="H237" s="103" t="s">
        <v>271</v>
      </c>
    </row>
    <row r="238" spans="2:8" ht="26.4" x14ac:dyDescent="0.25">
      <c r="B238" s="103" t="s">
        <v>958</v>
      </c>
      <c r="C238" s="104">
        <v>2226415</v>
      </c>
      <c r="D238" s="104">
        <v>2125000</v>
      </c>
      <c r="E238" s="103" t="s">
        <v>1387</v>
      </c>
      <c r="F238" s="103" t="s">
        <v>1388</v>
      </c>
      <c r="G238" s="103" t="s">
        <v>1389</v>
      </c>
      <c r="H238" s="103" t="s">
        <v>271</v>
      </c>
    </row>
    <row r="239" spans="2:8" x14ac:dyDescent="0.25">
      <c r="B239" s="103" t="s">
        <v>962</v>
      </c>
      <c r="C239" s="104">
        <v>3867925</v>
      </c>
      <c r="D239" s="104">
        <v>3750000</v>
      </c>
      <c r="E239" s="103" t="s">
        <v>1390</v>
      </c>
      <c r="F239" s="103" t="s">
        <v>1391</v>
      </c>
      <c r="G239" s="103" t="s">
        <v>1392</v>
      </c>
      <c r="H239" s="103" t="s">
        <v>271</v>
      </c>
    </row>
    <row r="240" spans="2:8" ht="26.4" x14ac:dyDescent="0.25">
      <c r="B240" s="103" t="s">
        <v>966</v>
      </c>
      <c r="C240" s="104">
        <v>2339623</v>
      </c>
      <c r="D240" s="104">
        <v>2500000</v>
      </c>
      <c r="E240" s="103" t="s">
        <v>1393</v>
      </c>
      <c r="F240" s="103" t="s">
        <v>1394</v>
      </c>
      <c r="G240" s="103" t="s">
        <v>1395</v>
      </c>
      <c r="H240" s="103" t="s">
        <v>271</v>
      </c>
    </row>
    <row r="241" spans="2:8" x14ac:dyDescent="0.25">
      <c r="B241" s="103" t="s">
        <v>970</v>
      </c>
      <c r="C241" s="104">
        <v>3018868</v>
      </c>
      <c r="D241" s="104">
        <v>3000000</v>
      </c>
      <c r="E241" s="103" t="s">
        <v>1396</v>
      </c>
      <c r="F241" s="103" t="s">
        <v>1397</v>
      </c>
      <c r="G241" s="103" t="s">
        <v>1398</v>
      </c>
      <c r="H241" s="103" t="s">
        <v>271</v>
      </c>
    </row>
    <row r="242" spans="2:8" x14ac:dyDescent="0.25">
      <c r="B242" s="103" t="s">
        <v>826</v>
      </c>
      <c r="C242" s="104">
        <v>3735849</v>
      </c>
      <c r="D242" s="104">
        <v>3375000</v>
      </c>
      <c r="E242" s="103" t="s">
        <v>1347</v>
      </c>
      <c r="F242" s="104">
        <v>1099000</v>
      </c>
      <c r="G242" s="103" t="s">
        <v>1399</v>
      </c>
      <c r="H242" s="103" t="s">
        <v>271</v>
      </c>
    </row>
    <row r="243" spans="2:8" x14ac:dyDescent="0.25">
      <c r="B243" s="103" t="s">
        <v>807</v>
      </c>
      <c r="C243" s="104">
        <v>2113208</v>
      </c>
      <c r="D243" s="104">
        <v>2000000</v>
      </c>
      <c r="E243" s="103" t="s">
        <v>1400</v>
      </c>
      <c r="F243" s="103" t="s">
        <v>1401</v>
      </c>
      <c r="G243" s="103" t="s">
        <v>1402</v>
      </c>
      <c r="H243" s="103" t="s">
        <v>271</v>
      </c>
    </row>
    <row r="244" spans="2:8" x14ac:dyDescent="0.25">
      <c r="B244" s="103" t="s">
        <v>974</v>
      </c>
      <c r="C244" s="104">
        <v>3509434</v>
      </c>
      <c r="D244" s="104">
        <v>3375000</v>
      </c>
      <c r="E244" s="103" t="s">
        <v>1403</v>
      </c>
      <c r="F244" s="103" t="s">
        <v>1404</v>
      </c>
      <c r="G244" s="103" t="s">
        <v>1405</v>
      </c>
      <c r="H244" s="103" t="s">
        <v>271</v>
      </c>
    </row>
    <row r="245" spans="2:8" x14ac:dyDescent="0.25">
      <c r="B245" s="103" t="s">
        <v>810</v>
      </c>
      <c r="C245" s="104">
        <v>2528302</v>
      </c>
      <c r="D245" s="104">
        <v>2500000</v>
      </c>
      <c r="E245" s="103" t="s">
        <v>1406</v>
      </c>
      <c r="F245" s="103" t="s">
        <v>1407</v>
      </c>
      <c r="G245" s="103" t="s">
        <v>1408</v>
      </c>
      <c r="H245" s="103" t="s">
        <v>271</v>
      </c>
    </row>
    <row r="246" spans="2:8" x14ac:dyDescent="0.25">
      <c r="B246" s="103" t="s">
        <v>813</v>
      </c>
      <c r="C246" s="104">
        <v>2905660</v>
      </c>
      <c r="D246" s="104">
        <v>3000000</v>
      </c>
      <c r="E246" s="103" t="s">
        <v>1409</v>
      </c>
      <c r="F246" s="103" t="s">
        <v>1410</v>
      </c>
      <c r="G246" s="103" t="s">
        <v>1411</v>
      </c>
      <c r="H246" s="103" t="s">
        <v>271</v>
      </c>
    </row>
    <row r="247" spans="2:8" x14ac:dyDescent="0.25">
      <c r="B247" s="103" t="s">
        <v>977</v>
      </c>
      <c r="C247" s="104">
        <v>4301887</v>
      </c>
      <c r="D247" s="104">
        <v>4000000</v>
      </c>
      <c r="E247" s="103" t="s">
        <v>1412</v>
      </c>
      <c r="F247" s="103" t="s">
        <v>1413</v>
      </c>
      <c r="G247" s="103" t="s">
        <v>1414</v>
      </c>
      <c r="H247" s="103" t="s">
        <v>271</v>
      </c>
    </row>
    <row r="248" spans="2:8" ht="26.4" x14ac:dyDescent="0.25">
      <c r="B248" s="103" t="s">
        <v>980</v>
      </c>
      <c r="C248" s="104">
        <v>3056604</v>
      </c>
      <c r="D248" s="104">
        <v>3375000</v>
      </c>
      <c r="E248" s="103" t="s">
        <v>1415</v>
      </c>
      <c r="F248" s="103" t="s">
        <v>1416</v>
      </c>
      <c r="G248" s="103" t="s">
        <v>1417</v>
      </c>
      <c r="H248" s="103" t="s">
        <v>271</v>
      </c>
    </row>
    <row r="249" spans="2:8" x14ac:dyDescent="0.25">
      <c r="B249" s="103" t="s">
        <v>984</v>
      </c>
      <c r="C249" s="104">
        <v>2943396</v>
      </c>
      <c r="D249" s="104">
        <v>2750000</v>
      </c>
      <c r="E249" s="103" t="s">
        <v>1418</v>
      </c>
      <c r="F249" s="103" t="s">
        <v>1419</v>
      </c>
      <c r="G249" s="103" t="s">
        <v>1420</v>
      </c>
      <c r="H249" s="103" t="s">
        <v>271</v>
      </c>
    </row>
    <row r="250" spans="2:8" ht="26.4" x14ac:dyDescent="0.25">
      <c r="B250" s="103" t="s">
        <v>988</v>
      </c>
      <c r="C250" s="104">
        <v>3792453</v>
      </c>
      <c r="D250" s="104">
        <v>3625000</v>
      </c>
      <c r="E250" s="103" t="s">
        <v>1421</v>
      </c>
      <c r="F250" s="103" t="s">
        <v>1422</v>
      </c>
      <c r="G250" s="103" t="s">
        <v>1423</v>
      </c>
      <c r="H250" s="103" t="s">
        <v>271</v>
      </c>
    </row>
    <row r="251" spans="2:8" ht="26.4" x14ac:dyDescent="0.25">
      <c r="B251" s="103" t="s">
        <v>816</v>
      </c>
      <c r="C251" s="104">
        <v>3075472</v>
      </c>
      <c r="D251" s="104">
        <v>3125000</v>
      </c>
      <c r="E251" s="103" t="s">
        <v>1424</v>
      </c>
      <c r="F251" s="103" t="s">
        <v>1425</v>
      </c>
      <c r="G251" s="103" t="s">
        <v>1426</v>
      </c>
      <c r="H251" s="103" t="s">
        <v>271</v>
      </c>
    </row>
    <row r="252" spans="2:8" x14ac:dyDescent="0.25">
      <c r="B252" s="103" t="s">
        <v>992</v>
      </c>
      <c r="C252" s="104">
        <v>2566038</v>
      </c>
      <c r="D252" s="104">
        <v>2500000</v>
      </c>
      <c r="E252" s="103" t="s">
        <v>1427</v>
      </c>
      <c r="F252" s="103" t="s">
        <v>1428</v>
      </c>
      <c r="G252" s="103" t="s">
        <v>1429</v>
      </c>
      <c r="H252" s="103" t="s">
        <v>271</v>
      </c>
    </row>
    <row r="255" spans="2:8" x14ac:dyDescent="0.25">
      <c r="B255" s="101" t="s">
        <v>1430</v>
      </c>
    </row>
    <row r="257" spans="2:6" ht="26.4" x14ac:dyDescent="0.25">
      <c r="B257" s="102" t="s">
        <v>789</v>
      </c>
      <c r="C257" s="102" t="s">
        <v>1431</v>
      </c>
      <c r="D257" s="102" t="s">
        <v>1432</v>
      </c>
      <c r="E257" s="102" t="s">
        <v>1433</v>
      </c>
      <c r="F257" s="102" t="s">
        <v>866</v>
      </c>
    </row>
    <row r="258" spans="2:6" ht="26.4" x14ac:dyDescent="0.25">
      <c r="B258" s="103" t="s">
        <v>796</v>
      </c>
      <c r="C258" s="103" t="s">
        <v>1434</v>
      </c>
      <c r="D258" s="103" t="s">
        <v>1435</v>
      </c>
      <c r="E258" s="103" t="s">
        <v>1076</v>
      </c>
      <c r="F258" s="103" t="s">
        <v>1436</v>
      </c>
    </row>
    <row r="259" spans="2:6" ht="52.8" x14ac:dyDescent="0.25">
      <c r="B259" s="103" t="s">
        <v>799</v>
      </c>
      <c r="C259" s="103" t="s">
        <v>1437</v>
      </c>
      <c r="D259" s="103" t="s">
        <v>1438</v>
      </c>
      <c r="E259" s="103" t="s">
        <v>1439</v>
      </c>
      <c r="F259" s="103" t="s">
        <v>1440</v>
      </c>
    </row>
    <row r="260" spans="2:6" ht="52.8" x14ac:dyDescent="0.25">
      <c r="B260" s="103" t="s">
        <v>802</v>
      </c>
      <c r="C260" s="103" t="s">
        <v>1441</v>
      </c>
      <c r="D260" s="103" t="s">
        <v>874</v>
      </c>
      <c r="E260" s="103" t="s">
        <v>1078</v>
      </c>
      <c r="F260" s="103" t="s">
        <v>1440</v>
      </c>
    </row>
    <row r="261" spans="2:6" ht="52.8" x14ac:dyDescent="0.25">
      <c r="B261" s="103" t="s">
        <v>891</v>
      </c>
      <c r="C261" s="103" t="s">
        <v>1442</v>
      </c>
      <c r="D261" s="103" t="s">
        <v>1443</v>
      </c>
      <c r="E261" s="103" t="s">
        <v>876</v>
      </c>
      <c r="F261" s="103" t="s">
        <v>1440</v>
      </c>
    </row>
    <row r="262" spans="2:6" ht="52.8" x14ac:dyDescent="0.25">
      <c r="B262" s="103" t="s">
        <v>895</v>
      </c>
      <c r="C262" s="103" t="s">
        <v>1444</v>
      </c>
      <c r="D262" s="103" t="s">
        <v>1445</v>
      </c>
      <c r="E262" s="103" t="s">
        <v>876</v>
      </c>
      <c r="F262" s="103" t="s">
        <v>1440</v>
      </c>
    </row>
    <row r="263" spans="2:6" ht="26.4" x14ac:dyDescent="0.25">
      <c r="B263" s="103" t="s">
        <v>818</v>
      </c>
      <c r="C263" s="103" t="s">
        <v>1446</v>
      </c>
      <c r="D263" s="103" t="s">
        <v>1447</v>
      </c>
      <c r="E263" s="103" t="s">
        <v>1083</v>
      </c>
      <c r="F263" s="103" t="s">
        <v>1436</v>
      </c>
    </row>
    <row r="264" spans="2:6" ht="52.8" x14ac:dyDescent="0.25">
      <c r="B264" s="103" t="s">
        <v>918</v>
      </c>
      <c r="C264" s="103" t="s">
        <v>1448</v>
      </c>
      <c r="D264" s="103" t="s">
        <v>1071</v>
      </c>
      <c r="E264" s="103" t="s">
        <v>1449</v>
      </c>
      <c r="F264" s="103" t="s">
        <v>1440</v>
      </c>
    </row>
    <row r="265" spans="2:6" ht="26.4" x14ac:dyDescent="0.25">
      <c r="B265" s="103" t="s">
        <v>926</v>
      </c>
      <c r="C265" s="103" t="s">
        <v>1450</v>
      </c>
      <c r="D265" s="103" t="s">
        <v>1451</v>
      </c>
      <c r="E265" s="103" t="s">
        <v>1452</v>
      </c>
      <c r="F265" s="103" t="s">
        <v>1436</v>
      </c>
    </row>
    <row r="266" spans="2:6" ht="26.4" x14ac:dyDescent="0.25">
      <c r="B266" s="103" t="s">
        <v>820</v>
      </c>
      <c r="C266" s="103" t="s">
        <v>1453</v>
      </c>
      <c r="D266" s="103" t="s">
        <v>1454</v>
      </c>
      <c r="E266" s="103" t="s">
        <v>1455</v>
      </c>
      <c r="F266" s="103" t="s">
        <v>1436</v>
      </c>
    </row>
    <row r="267" spans="2:6" ht="26.4" x14ac:dyDescent="0.25">
      <c r="B267" s="103" t="s">
        <v>962</v>
      </c>
      <c r="C267" s="103" t="s">
        <v>1456</v>
      </c>
      <c r="D267" s="103" t="s">
        <v>1076</v>
      </c>
      <c r="E267" s="103" t="s">
        <v>1457</v>
      </c>
      <c r="F267" s="103" t="s">
        <v>1436</v>
      </c>
    </row>
    <row r="268" spans="2:6" ht="26.4" x14ac:dyDescent="0.25">
      <c r="B268" s="103" t="s">
        <v>826</v>
      </c>
      <c r="C268" s="103" t="s">
        <v>1458</v>
      </c>
      <c r="D268" s="103" t="s">
        <v>1459</v>
      </c>
      <c r="E268" s="103" t="s">
        <v>1083</v>
      </c>
      <c r="F268" s="103" t="s">
        <v>1436</v>
      </c>
    </row>
    <row r="269" spans="2:6" ht="26.4" x14ac:dyDescent="0.25">
      <c r="B269" s="103" t="s">
        <v>974</v>
      </c>
      <c r="C269" s="103" t="s">
        <v>1460</v>
      </c>
      <c r="D269" s="103" t="s">
        <v>1451</v>
      </c>
      <c r="E269" s="103" t="s">
        <v>1080</v>
      </c>
      <c r="F269" s="103" t="s">
        <v>1436</v>
      </c>
    </row>
    <row r="270" spans="2:6" ht="26.4" x14ac:dyDescent="0.25">
      <c r="B270" s="103" t="s">
        <v>977</v>
      </c>
      <c r="C270" s="103" t="s">
        <v>1461</v>
      </c>
      <c r="D270" s="103" t="s">
        <v>1462</v>
      </c>
      <c r="E270" s="103" t="s">
        <v>883</v>
      </c>
      <c r="F270" s="103" t="s">
        <v>1436</v>
      </c>
    </row>
    <row r="271" spans="2:6" ht="26.4" x14ac:dyDescent="0.25">
      <c r="B271" s="103" t="s">
        <v>988</v>
      </c>
      <c r="C271" s="103" t="s">
        <v>1463</v>
      </c>
      <c r="D271" s="103" t="s">
        <v>1464</v>
      </c>
      <c r="E271" s="103" t="s">
        <v>1085</v>
      </c>
      <c r="F271" s="103" t="s">
        <v>1436</v>
      </c>
    </row>
    <row r="272" spans="2:6" ht="26.4" x14ac:dyDescent="0.25">
      <c r="B272" s="103" t="s">
        <v>816</v>
      </c>
      <c r="C272" s="103" t="s">
        <v>1465</v>
      </c>
      <c r="D272" s="103" t="s">
        <v>876</v>
      </c>
      <c r="E272" s="103" t="s">
        <v>871</v>
      </c>
      <c r="F272" s="103" t="s">
        <v>1436</v>
      </c>
    </row>
    <row r="273" spans="2:8" ht="26.4" x14ac:dyDescent="0.25">
      <c r="B273" s="103" t="s">
        <v>966</v>
      </c>
      <c r="C273" s="103" t="s">
        <v>878</v>
      </c>
      <c r="D273" s="103" t="s">
        <v>1466</v>
      </c>
      <c r="E273" s="103" t="s">
        <v>878</v>
      </c>
      <c r="F273" s="103" t="s">
        <v>1467</v>
      </c>
    </row>
    <row r="274" spans="2:8" ht="39.6" x14ac:dyDescent="0.25">
      <c r="B274" s="103" t="s">
        <v>807</v>
      </c>
      <c r="C274" s="103" t="s">
        <v>1468</v>
      </c>
      <c r="D274" s="103" t="s">
        <v>874</v>
      </c>
      <c r="E274" s="103" t="s">
        <v>1464</v>
      </c>
      <c r="F274" s="103" t="s">
        <v>1469</v>
      </c>
    </row>
    <row r="275" spans="2:8" ht="26.4" x14ac:dyDescent="0.25">
      <c r="B275" s="103" t="s">
        <v>813</v>
      </c>
      <c r="C275" s="103" t="s">
        <v>1449</v>
      </c>
      <c r="D275" s="103" t="s">
        <v>1470</v>
      </c>
      <c r="E275" s="103" t="s">
        <v>1445</v>
      </c>
      <c r="F275" s="103" t="s">
        <v>1467</v>
      </c>
    </row>
    <row r="276" spans="2:8" ht="26.4" x14ac:dyDescent="0.25">
      <c r="B276" s="103" t="s">
        <v>980</v>
      </c>
      <c r="C276" s="103" t="s">
        <v>1471</v>
      </c>
      <c r="D276" s="103" t="s">
        <v>1472</v>
      </c>
      <c r="E276" s="103" t="s">
        <v>1087</v>
      </c>
      <c r="F276" s="103" t="s">
        <v>1467</v>
      </c>
    </row>
    <row r="279" spans="2:8" x14ac:dyDescent="0.25">
      <c r="B279" s="101" t="s">
        <v>1473</v>
      </c>
    </row>
    <row r="281" spans="2:8" x14ac:dyDescent="0.25">
      <c r="B281" s="101" t="s">
        <v>1474</v>
      </c>
    </row>
    <row r="283" spans="2:8" ht="26.4" x14ac:dyDescent="0.25">
      <c r="B283" s="102" t="s">
        <v>789</v>
      </c>
      <c r="C283" s="102" t="s">
        <v>790</v>
      </c>
      <c r="D283" s="102" t="s">
        <v>791</v>
      </c>
      <c r="E283" s="102" t="s">
        <v>792</v>
      </c>
      <c r="F283" s="102" t="s">
        <v>793</v>
      </c>
      <c r="G283" s="102" t="s">
        <v>794</v>
      </c>
      <c r="H283" s="102" t="s">
        <v>795</v>
      </c>
    </row>
    <row r="284" spans="2:8" x14ac:dyDescent="0.25">
      <c r="B284" s="103" t="s">
        <v>796</v>
      </c>
      <c r="C284" s="104">
        <v>3944444</v>
      </c>
      <c r="D284" s="104">
        <v>3833333</v>
      </c>
      <c r="E284" s="103" t="s">
        <v>1154</v>
      </c>
      <c r="F284" s="103" t="s">
        <v>1475</v>
      </c>
      <c r="G284" s="103" t="s">
        <v>1476</v>
      </c>
      <c r="H284" s="103" t="s">
        <v>271</v>
      </c>
    </row>
    <row r="285" spans="2:8" ht="26.4" x14ac:dyDescent="0.25">
      <c r="B285" s="103" t="s">
        <v>799</v>
      </c>
      <c r="C285" s="104">
        <v>3833333</v>
      </c>
      <c r="D285" s="104">
        <v>4000000</v>
      </c>
      <c r="E285" s="103" t="s">
        <v>1477</v>
      </c>
      <c r="F285" s="103" t="s">
        <v>1478</v>
      </c>
      <c r="G285" s="103" t="s">
        <v>1479</v>
      </c>
      <c r="H285" s="103" t="s">
        <v>271</v>
      </c>
    </row>
    <row r="286" spans="2:8" x14ac:dyDescent="0.25">
      <c r="B286" s="103" t="s">
        <v>802</v>
      </c>
      <c r="C286" s="104">
        <v>3666667</v>
      </c>
      <c r="D286" s="104">
        <v>3666667</v>
      </c>
      <c r="E286" s="103" t="s">
        <v>1480</v>
      </c>
      <c r="F286" s="103" t="s">
        <v>1480</v>
      </c>
      <c r="G286" s="104">
        <v>1000000</v>
      </c>
      <c r="H286" s="103" t="s">
        <v>271</v>
      </c>
    </row>
    <row r="287" spans="2:8" x14ac:dyDescent="0.25">
      <c r="B287" s="103" t="s">
        <v>804</v>
      </c>
      <c r="C287" s="104">
        <v>3777778</v>
      </c>
      <c r="D287" s="104">
        <v>3500000</v>
      </c>
      <c r="E287" s="103" t="s">
        <v>1481</v>
      </c>
      <c r="F287" s="103" t="s">
        <v>1482</v>
      </c>
      <c r="G287" s="103" t="s">
        <v>1483</v>
      </c>
      <c r="H287" s="103" t="s">
        <v>271</v>
      </c>
    </row>
    <row r="288" spans="2:8" ht="26.4" x14ac:dyDescent="0.25">
      <c r="B288" s="103" t="s">
        <v>891</v>
      </c>
      <c r="C288" s="104">
        <v>2833333</v>
      </c>
      <c r="D288" s="104">
        <v>2833333</v>
      </c>
      <c r="E288" s="103" t="s">
        <v>1480</v>
      </c>
      <c r="F288" s="103" t="s">
        <v>1480</v>
      </c>
      <c r="G288" s="104">
        <v>1000000</v>
      </c>
      <c r="H288" s="103" t="s">
        <v>271</v>
      </c>
    </row>
    <row r="289" spans="2:8" ht="26.4" x14ac:dyDescent="0.25">
      <c r="B289" s="103" t="s">
        <v>895</v>
      </c>
      <c r="C289" s="104">
        <v>2555556</v>
      </c>
      <c r="D289" s="104">
        <v>2500000</v>
      </c>
      <c r="E289" s="103" t="s">
        <v>1484</v>
      </c>
      <c r="F289" s="103" t="s">
        <v>1485</v>
      </c>
      <c r="G289" s="103" t="s">
        <v>1486</v>
      </c>
      <c r="H289" s="103" t="s">
        <v>271</v>
      </c>
    </row>
    <row r="290" spans="2:8" ht="26.4" x14ac:dyDescent="0.25">
      <c r="B290" s="103" t="s">
        <v>898</v>
      </c>
      <c r="C290" s="104">
        <v>2722222</v>
      </c>
      <c r="D290" s="104">
        <v>3000000</v>
      </c>
      <c r="E290" s="103" t="s">
        <v>1487</v>
      </c>
      <c r="F290" s="103" t="s">
        <v>1488</v>
      </c>
      <c r="G290" s="103" t="s">
        <v>1489</v>
      </c>
      <c r="H290" s="103" t="s">
        <v>271</v>
      </c>
    </row>
    <row r="291" spans="2:8" ht="26.4" x14ac:dyDescent="0.25">
      <c r="B291" s="103" t="s">
        <v>902</v>
      </c>
      <c r="C291" s="104">
        <v>3166667</v>
      </c>
      <c r="D291" s="104">
        <v>3166667</v>
      </c>
      <c r="E291" s="103" t="s">
        <v>1480</v>
      </c>
      <c r="F291" s="103" t="s">
        <v>1480</v>
      </c>
      <c r="G291" s="104">
        <v>1000000</v>
      </c>
      <c r="H291" s="103" t="s">
        <v>271</v>
      </c>
    </row>
    <row r="292" spans="2:8" ht="26.4" x14ac:dyDescent="0.25">
      <c r="B292" s="103" t="s">
        <v>906</v>
      </c>
      <c r="C292" s="104">
        <v>3222222</v>
      </c>
      <c r="D292" s="104">
        <v>3333333</v>
      </c>
      <c r="E292" s="103" t="s">
        <v>1490</v>
      </c>
      <c r="F292" s="103" t="s">
        <v>1491</v>
      </c>
      <c r="G292" s="103" t="s">
        <v>1492</v>
      </c>
      <c r="H292" s="103" t="s">
        <v>271</v>
      </c>
    </row>
    <row r="293" spans="2:8" ht="26.4" x14ac:dyDescent="0.25">
      <c r="B293" s="103" t="s">
        <v>910</v>
      </c>
      <c r="C293" s="104">
        <v>3555556</v>
      </c>
      <c r="D293" s="104">
        <v>3833333</v>
      </c>
      <c r="E293" s="103" t="s">
        <v>1487</v>
      </c>
      <c r="F293" s="103" t="s">
        <v>1493</v>
      </c>
      <c r="G293" s="103" t="s">
        <v>1494</v>
      </c>
      <c r="H293" s="103" t="s">
        <v>271</v>
      </c>
    </row>
    <row r="294" spans="2:8" ht="26.4" x14ac:dyDescent="0.25">
      <c r="B294" s="103" t="s">
        <v>914</v>
      </c>
      <c r="C294" s="104">
        <v>3222222</v>
      </c>
      <c r="D294" s="104">
        <v>3000000</v>
      </c>
      <c r="E294" s="103" t="s">
        <v>1495</v>
      </c>
      <c r="F294" s="103" t="s">
        <v>1496</v>
      </c>
      <c r="G294" s="103" t="s">
        <v>1497</v>
      </c>
      <c r="H294" s="103" t="s">
        <v>271</v>
      </c>
    </row>
    <row r="295" spans="2:8" x14ac:dyDescent="0.25">
      <c r="B295" s="103" t="s">
        <v>818</v>
      </c>
      <c r="C295" s="104">
        <v>3555556</v>
      </c>
      <c r="D295" s="104">
        <v>3666667</v>
      </c>
      <c r="E295" s="103" t="s">
        <v>1490</v>
      </c>
      <c r="F295" s="103" t="s">
        <v>1498</v>
      </c>
      <c r="G295" s="103" t="s">
        <v>1499</v>
      </c>
      <c r="H295" s="103" t="s">
        <v>271</v>
      </c>
    </row>
    <row r="296" spans="2:8" x14ac:dyDescent="0.25">
      <c r="B296" s="103" t="s">
        <v>918</v>
      </c>
      <c r="C296" s="104">
        <v>4444444</v>
      </c>
      <c r="D296" s="104">
        <v>4333333</v>
      </c>
      <c r="E296" s="103" t="s">
        <v>1154</v>
      </c>
      <c r="F296" s="103" t="s">
        <v>1500</v>
      </c>
      <c r="G296" s="103" t="s">
        <v>1501</v>
      </c>
      <c r="H296" s="103" t="s">
        <v>271</v>
      </c>
    </row>
    <row r="297" spans="2:8" x14ac:dyDescent="0.25">
      <c r="B297" s="103" t="s">
        <v>922</v>
      </c>
      <c r="C297" s="104">
        <v>3611111</v>
      </c>
      <c r="D297" s="104">
        <v>3500000</v>
      </c>
      <c r="E297" s="103" t="s">
        <v>1154</v>
      </c>
      <c r="F297" s="103" t="s">
        <v>1502</v>
      </c>
      <c r="G297" s="103" t="s">
        <v>1503</v>
      </c>
      <c r="H297" s="103" t="s">
        <v>271</v>
      </c>
    </row>
    <row r="298" spans="2:8" x14ac:dyDescent="0.25">
      <c r="B298" s="103" t="s">
        <v>926</v>
      </c>
      <c r="C298" s="104">
        <v>3722222</v>
      </c>
      <c r="D298" s="104">
        <v>3500000</v>
      </c>
      <c r="E298" s="103" t="s">
        <v>1495</v>
      </c>
      <c r="F298" s="103" t="s">
        <v>1504</v>
      </c>
      <c r="G298" s="103" t="s">
        <v>1505</v>
      </c>
      <c r="H298" s="103" t="s">
        <v>271</v>
      </c>
    </row>
    <row r="299" spans="2:8" x14ac:dyDescent="0.25">
      <c r="B299" s="103" t="s">
        <v>820</v>
      </c>
      <c r="C299" s="104">
        <v>4055556</v>
      </c>
      <c r="D299" s="104">
        <v>3833333</v>
      </c>
      <c r="E299" s="103" t="s">
        <v>1495</v>
      </c>
      <c r="F299" s="103" t="s">
        <v>1506</v>
      </c>
      <c r="G299" s="103" t="s">
        <v>1507</v>
      </c>
      <c r="H299" s="103" t="s">
        <v>271</v>
      </c>
    </row>
    <row r="300" spans="2:8" x14ac:dyDescent="0.25">
      <c r="B300" s="103" t="s">
        <v>823</v>
      </c>
      <c r="C300" s="104">
        <v>3444444</v>
      </c>
      <c r="D300" s="104">
        <v>3500000</v>
      </c>
      <c r="E300" s="103" t="s">
        <v>1508</v>
      </c>
      <c r="F300" s="103" t="s">
        <v>1509</v>
      </c>
      <c r="G300" s="103" t="s">
        <v>1510</v>
      </c>
      <c r="H300" s="103" t="s">
        <v>271</v>
      </c>
    </row>
    <row r="301" spans="2:8" ht="26.4" x14ac:dyDescent="0.25">
      <c r="B301" s="103" t="s">
        <v>930</v>
      </c>
      <c r="C301" s="104">
        <v>3055556</v>
      </c>
      <c r="D301" s="104">
        <v>2833333</v>
      </c>
      <c r="E301" s="103" t="s">
        <v>1495</v>
      </c>
      <c r="F301" s="103" t="s">
        <v>1511</v>
      </c>
      <c r="G301" s="103" t="s">
        <v>1512</v>
      </c>
      <c r="H301" s="103" t="s">
        <v>271</v>
      </c>
    </row>
    <row r="302" spans="2:8" ht="26.4" x14ac:dyDescent="0.25">
      <c r="B302" s="103" t="s">
        <v>829</v>
      </c>
      <c r="C302" s="104">
        <v>4055556</v>
      </c>
      <c r="D302" s="104">
        <v>4000000</v>
      </c>
      <c r="E302" s="103" t="s">
        <v>1484</v>
      </c>
      <c r="F302" s="103" t="s">
        <v>1513</v>
      </c>
      <c r="G302" s="103" t="s">
        <v>1514</v>
      </c>
      <c r="H302" s="103" t="s">
        <v>271</v>
      </c>
    </row>
    <row r="303" spans="2:8" x14ac:dyDescent="0.25">
      <c r="B303" s="103" t="s">
        <v>934</v>
      </c>
      <c r="C303" s="104">
        <v>3333333</v>
      </c>
      <c r="D303" s="104">
        <v>3166667</v>
      </c>
      <c r="E303" s="103" t="s">
        <v>1515</v>
      </c>
      <c r="F303" s="103" t="s">
        <v>1516</v>
      </c>
      <c r="G303" s="103" t="s">
        <v>1517</v>
      </c>
      <c r="H303" s="103" t="s">
        <v>271</v>
      </c>
    </row>
    <row r="304" spans="2:8" x14ac:dyDescent="0.25">
      <c r="B304" s="103" t="s">
        <v>938</v>
      </c>
      <c r="C304" s="104">
        <v>2222222</v>
      </c>
      <c r="D304" s="104">
        <v>2166667</v>
      </c>
      <c r="E304" s="103" t="s">
        <v>1484</v>
      </c>
      <c r="F304" s="103" t="s">
        <v>1518</v>
      </c>
      <c r="G304" s="103" t="s">
        <v>1519</v>
      </c>
      <c r="H304" s="103" t="s">
        <v>271</v>
      </c>
    </row>
    <row r="305" spans="2:8" ht="26.4" x14ac:dyDescent="0.25">
      <c r="B305" s="103" t="s">
        <v>942</v>
      </c>
      <c r="C305" s="104">
        <v>2833333</v>
      </c>
      <c r="D305" s="104">
        <v>2833333</v>
      </c>
      <c r="E305" s="103" t="s">
        <v>1480</v>
      </c>
      <c r="F305" s="103" t="s">
        <v>1480</v>
      </c>
      <c r="G305" s="104">
        <v>1000000</v>
      </c>
      <c r="H305" s="103" t="s">
        <v>271</v>
      </c>
    </row>
    <row r="306" spans="2:8" x14ac:dyDescent="0.25">
      <c r="B306" s="103" t="s">
        <v>946</v>
      </c>
      <c r="C306" s="104">
        <v>2944444</v>
      </c>
      <c r="D306" s="104">
        <v>3000000</v>
      </c>
      <c r="E306" s="103" t="s">
        <v>1508</v>
      </c>
      <c r="F306" s="103" t="s">
        <v>1520</v>
      </c>
      <c r="G306" s="103" t="s">
        <v>1521</v>
      </c>
      <c r="H306" s="103" t="s">
        <v>271</v>
      </c>
    </row>
    <row r="307" spans="2:8" ht="26.4" x14ac:dyDescent="0.25">
      <c r="B307" s="103" t="s">
        <v>950</v>
      </c>
      <c r="C307" s="104">
        <v>3555556</v>
      </c>
      <c r="D307" s="104">
        <v>3166667</v>
      </c>
      <c r="E307" s="103" t="s">
        <v>1522</v>
      </c>
      <c r="F307" s="104">
        <v>1011558</v>
      </c>
      <c r="G307" s="103" t="s">
        <v>1523</v>
      </c>
      <c r="H307" s="103" t="s">
        <v>271</v>
      </c>
    </row>
    <row r="308" spans="2:8" x14ac:dyDescent="0.25">
      <c r="B308" s="103" t="s">
        <v>954</v>
      </c>
      <c r="C308" s="104">
        <v>3222222</v>
      </c>
      <c r="D308" s="104">
        <v>3000000</v>
      </c>
      <c r="E308" s="103" t="s">
        <v>1495</v>
      </c>
      <c r="F308" s="103" t="s">
        <v>1524</v>
      </c>
      <c r="G308" s="103" t="s">
        <v>1525</v>
      </c>
      <c r="H308" s="103" t="s">
        <v>271</v>
      </c>
    </row>
    <row r="309" spans="2:8" ht="26.4" x14ac:dyDescent="0.25">
      <c r="B309" s="103" t="s">
        <v>958</v>
      </c>
      <c r="C309" s="104">
        <v>2166667</v>
      </c>
      <c r="D309" s="104">
        <v>2166667</v>
      </c>
      <c r="E309" s="103" t="s">
        <v>1480</v>
      </c>
      <c r="F309" s="103" t="s">
        <v>1480</v>
      </c>
      <c r="G309" s="104">
        <v>1000000</v>
      </c>
      <c r="H309" s="103" t="s">
        <v>271</v>
      </c>
    </row>
    <row r="310" spans="2:8" x14ac:dyDescent="0.25">
      <c r="B310" s="103" t="s">
        <v>962</v>
      </c>
      <c r="C310" s="104">
        <v>3944444</v>
      </c>
      <c r="D310" s="104">
        <v>3666667</v>
      </c>
      <c r="E310" s="103" t="s">
        <v>1481</v>
      </c>
      <c r="F310" s="103" t="s">
        <v>1526</v>
      </c>
      <c r="G310" s="103" t="s">
        <v>1527</v>
      </c>
      <c r="H310" s="103" t="s">
        <v>271</v>
      </c>
    </row>
    <row r="311" spans="2:8" ht="26.4" x14ac:dyDescent="0.25">
      <c r="B311" s="103" t="s">
        <v>966</v>
      </c>
      <c r="C311" s="104">
        <v>2166667</v>
      </c>
      <c r="D311" s="104">
        <v>2166667</v>
      </c>
      <c r="E311" s="103" t="s">
        <v>1480</v>
      </c>
      <c r="F311" s="103" t="s">
        <v>1480</v>
      </c>
      <c r="G311" s="104">
        <v>1000000</v>
      </c>
      <c r="H311" s="103" t="s">
        <v>271</v>
      </c>
    </row>
    <row r="312" spans="2:8" x14ac:dyDescent="0.25">
      <c r="B312" s="103" t="s">
        <v>970</v>
      </c>
      <c r="C312" s="104">
        <v>2944444</v>
      </c>
      <c r="D312" s="104">
        <v>3000000</v>
      </c>
      <c r="E312" s="103" t="s">
        <v>1508</v>
      </c>
      <c r="F312" s="103" t="s">
        <v>1528</v>
      </c>
      <c r="G312" s="103" t="s">
        <v>1529</v>
      </c>
      <c r="H312" s="103" t="s">
        <v>271</v>
      </c>
    </row>
    <row r="313" spans="2:8" x14ac:dyDescent="0.25">
      <c r="B313" s="103" t="s">
        <v>826</v>
      </c>
      <c r="C313" s="104">
        <v>3888889</v>
      </c>
      <c r="D313" s="104">
        <v>3500000</v>
      </c>
      <c r="E313" s="103" t="s">
        <v>1522</v>
      </c>
      <c r="F313" s="104">
        <v>1153953</v>
      </c>
      <c r="G313" s="103" t="s">
        <v>1530</v>
      </c>
      <c r="H313" s="103" t="s">
        <v>271</v>
      </c>
    </row>
    <row r="314" spans="2:8" x14ac:dyDescent="0.25">
      <c r="B314" s="103" t="s">
        <v>807</v>
      </c>
      <c r="C314" s="104">
        <v>1777778</v>
      </c>
      <c r="D314" s="104">
        <v>2166667</v>
      </c>
      <c r="E314" s="103" t="s">
        <v>1531</v>
      </c>
      <c r="F314" s="104">
        <v>-1463348</v>
      </c>
      <c r="G314" s="103" t="s">
        <v>1532</v>
      </c>
      <c r="H314" s="103" t="s">
        <v>271</v>
      </c>
    </row>
    <row r="315" spans="2:8" x14ac:dyDescent="0.25">
      <c r="B315" s="103" t="s">
        <v>974</v>
      </c>
      <c r="C315" s="104">
        <v>3722222</v>
      </c>
      <c r="D315" s="104">
        <v>3500000</v>
      </c>
      <c r="E315" s="103" t="s">
        <v>1495</v>
      </c>
      <c r="F315" s="103" t="s">
        <v>1533</v>
      </c>
      <c r="G315" s="103" t="s">
        <v>1534</v>
      </c>
      <c r="H315" s="103" t="s">
        <v>271</v>
      </c>
    </row>
    <row r="316" spans="2:8" x14ac:dyDescent="0.25">
      <c r="B316" s="103" t="s">
        <v>810</v>
      </c>
      <c r="C316" s="104">
        <v>2222222</v>
      </c>
      <c r="D316" s="104">
        <v>2166667</v>
      </c>
      <c r="E316" s="103" t="s">
        <v>1484</v>
      </c>
      <c r="F316" s="103" t="s">
        <v>1535</v>
      </c>
      <c r="G316" s="103" t="s">
        <v>1536</v>
      </c>
      <c r="H316" s="103" t="s">
        <v>271</v>
      </c>
    </row>
    <row r="317" spans="2:8" x14ac:dyDescent="0.25">
      <c r="B317" s="103" t="s">
        <v>813</v>
      </c>
      <c r="C317" s="104">
        <v>2833333</v>
      </c>
      <c r="D317" s="104">
        <v>2833333</v>
      </c>
      <c r="E317" s="103" t="s">
        <v>1480</v>
      </c>
      <c r="F317" s="103" t="s">
        <v>1480</v>
      </c>
      <c r="G317" s="104">
        <v>1000000</v>
      </c>
      <c r="H317" s="103" t="s">
        <v>271</v>
      </c>
    </row>
    <row r="318" spans="2:8" x14ac:dyDescent="0.25">
      <c r="B318" s="103" t="s">
        <v>977</v>
      </c>
      <c r="C318" s="104">
        <v>4388889</v>
      </c>
      <c r="D318" s="104">
        <v>4166667</v>
      </c>
      <c r="E318" s="103" t="s">
        <v>1495</v>
      </c>
      <c r="F318" s="103" t="s">
        <v>1537</v>
      </c>
      <c r="G318" s="103" t="s">
        <v>1538</v>
      </c>
      <c r="H318" s="103" t="s">
        <v>271</v>
      </c>
    </row>
    <row r="319" spans="2:8" ht="26.4" x14ac:dyDescent="0.25">
      <c r="B319" s="103" t="s">
        <v>980</v>
      </c>
      <c r="C319" s="104">
        <v>2888889</v>
      </c>
      <c r="D319" s="104">
        <v>3166667</v>
      </c>
      <c r="E319" s="103" t="s">
        <v>1487</v>
      </c>
      <c r="F319" s="103" t="s">
        <v>1539</v>
      </c>
      <c r="G319" s="103" t="s">
        <v>1540</v>
      </c>
      <c r="H319" s="103" t="s">
        <v>271</v>
      </c>
    </row>
    <row r="320" spans="2:8" x14ac:dyDescent="0.25">
      <c r="B320" s="103" t="s">
        <v>984</v>
      </c>
      <c r="C320" s="104">
        <v>2833333</v>
      </c>
      <c r="D320" s="104">
        <v>2833333</v>
      </c>
      <c r="E320" s="103" t="s">
        <v>1480</v>
      </c>
      <c r="F320" s="103" t="s">
        <v>1480</v>
      </c>
      <c r="G320" s="104">
        <v>1000000</v>
      </c>
      <c r="H320" s="103" t="s">
        <v>271</v>
      </c>
    </row>
    <row r="321" spans="2:8" ht="26.4" x14ac:dyDescent="0.25">
      <c r="B321" s="103" t="s">
        <v>988</v>
      </c>
      <c r="C321" s="104">
        <v>3500000</v>
      </c>
      <c r="D321" s="104">
        <v>3333333</v>
      </c>
      <c r="E321" s="103" t="s">
        <v>1515</v>
      </c>
      <c r="F321" s="103" t="s">
        <v>1541</v>
      </c>
      <c r="G321" s="103" t="s">
        <v>1542</v>
      </c>
      <c r="H321" s="103" t="s">
        <v>271</v>
      </c>
    </row>
    <row r="322" spans="2:8" ht="26.4" x14ac:dyDescent="0.25">
      <c r="B322" s="103" t="s">
        <v>816</v>
      </c>
      <c r="C322" s="104">
        <v>2611111</v>
      </c>
      <c r="D322" s="104">
        <v>2666667</v>
      </c>
      <c r="E322" s="103" t="s">
        <v>1508</v>
      </c>
      <c r="F322" s="103" t="s">
        <v>1543</v>
      </c>
      <c r="G322" s="103" t="s">
        <v>1544</v>
      </c>
      <c r="H322" s="103" t="s">
        <v>271</v>
      </c>
    </row>
    <row r="323" spans="2:8" x14ac:dyDescent="0.25">
      <c r="B323" s="103" t="s">
        <v>992</v>
      </c>
      <c r="C323" s="104">
        <v>2111111</v>
      </c>
      <c r="D323" s="104">
        <v>2333333</v>
      </c>
      <c r="E323" s="103" t="s">
        <v>1545</v>
      </c>
      <c r="F323" s="103" t="s">
        <v>1546</v>
      </c>
      <c r="G323" s="103" t="s">
        <v>1547</v>
      </c>
      <c r="H323" s="103" t="s">
        <v>271</v>
      </c>
    </row>
    <row r="326" spans="2:8" x14ac:dyDescent="0.25">
      <c r="B326" s="101" t="s">
        <v>1548</v>
      </c>
    </row>
    <row r="328" spans="2:8" ht="26.4" x14ac:dyDescent="0.25">
      <c r="B328" s="102" t="s">
        <v>789</v>
      </c>
      <c r="C328" s="102" t="s">
        <v>790</v>
      </c>
      <c r="D328" s="102" t="s">
        <v>791</v>
      </c>
      <c r="E328" s="102" t="s">
        <v>792</v>
      </c>
      <c r="F328" s="102" t="s">
        <v>793</v>
      </c>
      <c r="G328" s="102" t="s">
        <v>794</v>
      </c>
      <c r="H328" s="102" t="s">
        <v>795</v>
      </c>
    </row>
    <row r="329" spans="2:8" x14ac:dyDescent="0.25">
      <c r="B329" s="103" t="s">
        <v>796</v>
      </c>
      <c r="C329" s="104">
        <v>3794872</v>
      </c>
      <c r="D329" s="104">
        <v>3294118</v>
      </c>
      <c r="E329" s="103" t="s">
        <v>1549</v>
      </c>
      <c r="F329" s="104">
        <v>2332927</v>
      </c>
      <c r="G329" s="103" t="s">
        <v>1550</v>
      </c>
      <c r="H329" s="103" t="s">
        <v>801</v>
      </c>
    </row>
    <row r="330" spans="2:8" ht="26.4" x14ac:dyDescent="0.25">
      <c r="B330" s="103" t="s">
        <v>799</v>
      </c>
      <c r="C330" s="104">
        <v>3615385</v>
      </c>
      <c r="D330" s="104">
        <v>3176471</v>
      </c>
      <c r="E330" s="103" t="s">
        <v>1551</v>
      </c>
      <c r="F330" s="104">
        <v>1896443</v>
      </c>
      <c r="G330" s="103" t="s">
        <v>1552</v>
      </c>
      <c r="H330" s="103" t="s">
        <v>271</v>
      </c>
    </row>
    <row r="331" spans="2:8" x14ac:dyDescent="0.25">
      <c r="B331" s="103" t="s">
        <v>802</v>
      </c>
      <c r="C331" s="104">
        <v>3487179</v>
      </c>
      <c r="D331" s="104">
        <v>3411765</v>
      </c>
      <c r="E331" s="103" t="s">
        <v>1553</v>
      </c>
      <c r="F331" s="103" t="s">
        <v>1554</v>
      </c>
      <c r="G331" s="103" t="s">
        <v>1555</v>
      </c>
      <c r="H331" s="103" t="s">
        <v>271</v>
      </c>
    </row>
    <row r="332" spans="2:8" x14ac:dyDescent="0.25">
      <c r="B332" s="103" t="s">
        <v>804</v>
      </c>
      <c r="C332" s="104">
        <v>3589744</v>
      </c>
      <c r="D332" s="104">
        <v>3529412</v>
      </c>
      <c r="E332" s="103" t="s">
        <v>1556</v>
      </c>
      <c r="F332" s="103" t="s">
        <v>1557</v>
      </c>
      <c r="G332" s="103" t="s">
        <v>1558</v>
      </c>
      <c r="H332" s="103" t="s">
        <v>271</v>
      </c>
    </row>
    <row r="333" spans="2:8" ht="26.4" x14ac:dyDescent="0.25">
      <c r="B333" s="103" t="s">
        <v>891</v>
      </c>
      <c r="C333" s="104">
        <v>2871795</v>
      </c>
      <c r="D333" s="104">
        <v>2882353</v>
      </c>
      <c r="E333" s="103" t="s">
        <v>1559</v>
      </c>
      <c r="F333" s="103" t="s">
        <v>1560</v>
      </c>
      <c r="G333" s="103" t="s">
        <v>1561</v>
      </c>
      <c r="H333" s="103" t="s">
        <v>271</v>
      </c>
    </row>
    <row r="334" spans="2:8" ht="26.4" x14ac:dyDescent="0.25">
      <c r="B334" s="103" t="s">
        <v>895</v>
      </c>
      <c r="C334" s="104">
        <v>2897436</v>
      </c>
      <c r="D334" s="104">
        <v>2941176</v>
      </c>
      <c r="E334" s="103" t="s">
        <v>1562</v>
      </c>
      <c r="F334" s="103" t="s">
        <v>1563</v>
      </c>
      <c r="G334" s="103" t="s">
        <v>1564</v>
      </c>
      <c r="H334" s="103" t="s">
        <v>271</v>
      </c>
    </row>
    <row r="335" spans="2:8" ht="26.4" x14ac:dyDescent="0.25">
      <c r="B335" s="103" t="s">
        <v>898</v>
      </c>
      <c r="C335" s="104">
        <v>2871795</v>
      </c>
      <c r="D335" s="104">
        <v>2823529</v>
      </c>
      <c r="E335" s="103" t="s">
        <v>1565</v>
      </c>
      <c r="F335" s="103" t="s">
        <v>1566</v>
      </c>
      <c r="G335" s="103" t="s">
        <v>1567</v>
      </c>
      <c r="H335" s="103" t="s">
        <v>271</v>
      </c>
    </row>
    <row r="336" spans="2:8" ht="26.4" x14ac:dyDescent="0.25">
      <c r="B336" s="103" t="s">
        <v>902</v>
      </c>
      <c r="C336" s="104">
        <v>3230769</v>
      </c>
      <c r="D336" s="104">
        <v>3294118</v>
      </c>
      <c r="E336" s="103" t="s">
        <v>1568</v>
      </c>
      <c r="F336" s="103" t="s">
        <v>1569</v>
      </c>
      <c r="G336" s="103" t="s">
        <v>1570</v>
      </c>
      <c r="H336" s="103" t="s">
        <v>271</v>
      </c>
    </row>
    <row r="337" spans="2:8" ht="26.4" x14ac:dyDescent="0.25">
      <c r="B337" s="103" t="s">
        <v>906</v>
      </c>
      <c r="C337" s="104">
        <v>3307692</v>
      </c>
      <c r="D337" s="104">
        <v>3117647</v>
      </c>
      <c r="E337" s="103" t="s">
        <v>1571</v>
      </c>
      <c r="F337" s="103" t="s">
        <v>1572</v>
      </c>
      <c r="G337" s="103" t="s">
        <v>1573</v>
      </c>
      <c r="H337" s="103" t="s">
        <v>271</v>
      </c>
    </row>
    <row r="338" spans="2:8" ht="26.4" x14ac:dyDescent="0.25">
      <c r="B338" s="103" t="s">
        <v>910</v>
      </c>
      <c r="C338" s="104">
        <v>3512821</v>
      </c>
      <c r="D338" s="104">
        <v>3352941</v>
      </c>
      <c r="E338" s="103" t="s">
        <v>1574</v>
      </c>
      <c r="F338" s="103" t="s">
        <v>1575</v>
      </c>
      <c r="G338" s="103" t="s">
        <v>1576</v>
      </c>
      <c r="H338" s="103" t="s">
        <v>271</v>
      </c>
    </row>
    <row r="339" spans="2:8" ht="26.4" x14ac:dyDescent="0.25">
      <c r="B339" s="103" t="s">
        <v>914</v>
      </c>
      <c r="C339" s="104">
        <v>3153846</v>
      </c>
      <c r="D339" s="104">
        <v>3117647</v>
      </c>
      <c r="E339" s="103" t="s">
        <v>1577</v>
      </c>
      <c r="F339" s="103" t="s">
        <v>1578</v>
      </c>
      <c r="G339" s="103" t="s">
        <v>1579</v>
      </c>
      <c r="H339" s="103" t="s">
        <v>271</v>
      </c>
    </row>
    <row r="340" spans="2:8" x14ac:dyDescent="0.25">
      <c r="B340" s="103" t="s">
        <v>818</v>
      </c>
      <c r="C340" s="104">
        <v>3282051</v>
      </c>
      <c r="D340" s="104">
        <v>3176471</v>
      </c>
      <c r="E340" s="103" t="s">
        <v>1580</v>
      </c>
      <c r="F340" s="103" t="s">
        <v>1581</v>
      </c>
      <c r="G340" s="103" t="s">
        <v>1582</v>
      </c>
      <c r="H340" s="103" t="s">
        <v>271</v>
      </c>
    </row>
    <row r="341" spans="2:8" x14ac:dyDescent="0.25">
      <c r="B341" s="103" t="s">
        <v>918</v>
      </c>
      <c r="C341" s="104">
        <v>4435897</v>
      </c>
      <c r="D341" s="104">
        <v>4352941</v>
      </c>
      <c r="E341" s="103" t="s">
        <v>1583</v>
      </c>
      <c r="F341" s="103" t="s">
        <v>1584</v>
      </c>
      <c r="G341" s="103" t="s">
        <v>1585</v>
      </c>
      <c r="H341" s="103" t="s">
        <v>271</v>
      </c>
    </row>
    <row r="342" spans="2:8" x14ac:dyDescent="0.25">
      <c r="B342" s="103" t="s">
        <v>922</v>
      </c>
      <c r="C342" s="104">
        <v>3358974</v>
      </c>
      <c r="D342" s="104">
        <v>3352941</v>
      </c>
      <c r="E342" s="103" t="s">
        <v>1586</v>
      </c>
      <c r="F342" s="103" t="s">
        <v>1587</v>
      </c>
      <c r="G342" s="103" t="s">
        <v>1588</v>
      </c>
      <c r="H342" s="103" t="s">
        <v>271</v>
      </c>
    </row>
    <row r="343" spans="2:8" x14ac:dyDescent="0.25">
      <c r="B343" s="103" t="s">
        <v>926</v>
      </c>
      <c r="C343" s="104">
        <v>3512821</v>
      </c>
      <c r="D343" s="104">
        <v>3352941</v>
      </c>
      <c r="E343" s="103" t="s">
        <v>1574</v>
      </c>
      <c r="F343" s="103" t="s">
        <v>1589</v>
      </c>
      <c r="G343" s="103" t="s">
        <v>1590</v>
      </c>
      <c r="H343" s="103" t="s">
        <v>271</v>
      </c>
    </row>
    <row r="344" spans="2:8" x14ac:dyDescent="0.25">
      <c r="B344" s="103" t="s">
        <v>820</v>
      </c>
      <c r="C344" s="104">
        <v>3717949</v>
      </c>
      <c r="D344" s="104">
        <v>3647059</v>
      </c>
      <c r="E344" s="103" t="s">
        <v>1591</v>
      </c>
      <c r="F344" s="103" t="s">
        <v>1592</v>
      </c>
      <c r="G344" s="103" t="s">
        <v>1593</v>
      </c>
      <c r="H344" s="103" t="s">
        <v>271</v>
      </c>
    </row>
    <row r="345" spans="2:8" x14ac:dyDescent="0.25">
      <c r="B345" s="103" t="s">
        <v>823</v>
      </c>
      <c r="C345" s="104">
        <v>3230769</v>
      </c>
      <c r="D345" s="104">
        <v>3235294</v>
      </c>
      <c r="E345" s="103" t="s">
        <v>1594</v>
      </c>
      <c r="F345" s="103" t="s">
        <v>1595</v>
      </c>
      <c r="G345" s="103" t="s">
        <v>1596</v>
      </c>
      <c r="H345" s="103" t="s">
        <v>271</v>
      </c>
    </row>
    <row r="346" spans="2:8" ht="26.4" x14ac:dyDescent="0.25">
      <c r="B346" s="103" t="s">
        <v>930</v>
      </c>
      <c r="C346" s="104">
        <v>3102564</v>
      </c>
      <c r="D346" s="104">
        <v>3117647</v>
      </c>
      <c r="E346" s="103" t="s">
        <v>1597</v>
      </c>
      <c r="F346" s="103" t="s">
        <v>1598</v>
      </c>
      <c r="G346" s="103" t="s">
        <v>1599</v>
      </c>
      <c r="H346" s="103" t="s">
        <v>271</v>
      </c>
    </row>
    <row r="347" spans="2:8" ht="26.4" x14ac:dyDescent="0.25">
      <c r="B347" s="103" t="s">
        <v>829</v>
      </c>
      <c r="C347" s="104">
        <v>4051282</v>
      </c>
      <c r="D347" s="104">
        <v>3764706</v>
      </c>
      <c r="E347" s="103" t="s">
        <v>1600</v>
      </c>
      <c r="F347" s="103" t="s">
        <v>1601</v>
      </c>
      <c r="G347" s="103" t="s">
        <v>1602</v>
      </c>
      <c r="H347" s="103" t="s">
        <v>271</v>
      </c>
    </row>
    <row r="348" spans="2:8" x14ac:dyDescent="0.25">
      <c r="B348" s="103" t="s">
        <v>934</v>
      </c>
      <c r="C348" s="104">
        <v>3025641</v>
      </c>
      <c r="D348" s="104">
        <v>2823529</v>
      </c>
      <c r="E348" s="103" t="s">
        <v>1603</v>
      </c>
      <c r="F348" s="103" t="s">
        <v>1604</v>
      </c>
      <c r="G348" s="103" t="s">
        <v>1605</v>
      </c>
      <c r="H348" s="103" t="s">
        <v>271</v>
      </c>
    </row>
    <row r="349" spans="2:8" x14ac:dyDescent="0.25">
      <c r="B349" s="103" t="s">
        <v>938</v>
      </c>
      <c r="C349" s="104">
        <v>2589744</v>
      </c>
      <c r="D349" s="104">
        <v>2588235</v>
      </c>
      <c r="E349" s="103" t="s">
        <v>1606</v>
      </c>
      <c r="F349" s="103" t="s">
        <v>1607</v>
      </c>
      <c r="G349" s="103" t="s">
        <v>1608</v>
      </c>
      <c r="H349" s="103" t="s">
        <v>271</v>
      </c>
    </row>
    <row r="350" spans="2:8" ht="26.4" x14ac:dyDescent="0.25">
      <c r="B350" s="103" t="s">
        <v>942</v>
      </c>
      <c r="C350" s="104">
        <v>3025641</v>
      </c>
      <c r="D350" s="104">
        <v>2941176</v>
      </c>
      <c r="E350" s="103" t="s">
        <v>1609</v>
      </c>
      <c r="F350" s="103" t="s">
        <v>1610</v>
      </c>
      <c r="G350" s="103" t="s">
        <v>1611</v>
      </c>
      <c r="H350" s="103" t="s">
        <v>271</v>
      </c>
    </row>
    <row r="351" spans="2:8" x14ac:dyDescent="0.25">
      <c r="B351" s="103" t="s">
        <v>946</v>
      </c>
      <c r="C351" s="104">
        <v>2923077</v>
      </c>
      <c r="D351" s="104">
        <v>2882353</v>
      </c>
      <c r="E351" s="103" t="s">
        <v>1612</v>
      </c>
      <c r="F351" s="103" t="s">
        <v>1613</v>
      </c>
      <c r="G351" s="103" t="s">
        <v>1614</v>
      </c>
      <c r="H351" s="103" t="s">
        <v>271</v>
      </c>
    </row>
    <row r="352" spans="2:8" ht="26.4" x14ac:dyDescent="0.25">
      <c r="B352" s="103" t="s">
        <v>950</v>
      </c>
      <c r="C352" s="104">
        <v>3307692</v>
      </c>
      <c r="D352" s="104">
        <v>2882353</v>
      </c>
      <c r="E352" s="103" t="s">
        <v>1615</v>
      </c>
      <c r="F352" s="104">
        <v>1705082</v>
      </c>
      <c r="G352" s="103" t="s">
        <v>1616</v>
      </c>
      <c r="H352" s="103" t="s">
        <v>271</v>
      </c>
    </row>
    <row r="353" spans="2:8" x14ac:dyDescent="0.25">
      <c r="B353" s="103" t="s">
        <v>954</v>
      </c>
      <c r="C353" s="104">
        <v>3153846</v>
      </c>
      <c r="D353" s="104">
        <v>2941176</v>
      </c>
      <c r="E353" s="103" t="s">
        <v>1617</v>
      </c>
      <c r="F353" s="103" t="s">
        <v>1618</v>
      </c>
      <c r="G353" s="103" t="s">
        <v>1619</v>
      </c>
      <c r="H353" s="103" t="s">
        <v>271</v>
      </c>
    </row>
    <row r="354" spans="2:8" ht="26.4" x14ac:dyDescent="0.25">
      <c r="B354" s="103" t="s">
        <v>958</v>
      </c>
      <c r="C354" s="104">
        <v>2230769</v>
      </c>
      <c r="D354" s="104">
        <v>2235294</v>
      </c>
      <c r="E354" s="103" t="s">
        <v>1594</v>
      </c>
      <c r="F354" s="103" t="s">
        <v>1620</v>
      </c>
      <c r="G354" s="103" t="s">
        <v>1621</v>
      </c>
      <c r="H354" s="103" t="s">
        <v>271</v>
      </c>
    </row>
    <row r="355" spans="2:8" x14ac:dyDescent="0.25">
      <c r="B355" s="103" t="s">
        <v>962</v>
      </c>
      <c r="C355" s="104">
        <v>3871795</v>
      </c>
      <c r="D355" s="104">
        <v>3705882</v>
      </c>
      <c r="E355" s="103" t="s">
        <v>1622</v>
      </c>
      <c r="F355" s="103" t="s">
        <v>1623</v>
      </c>
      <c r="G355" s="103" t="s">
        <v>1624</v>
      </c>
      <c r="H355" s="103" t="s">
        <v>271</v>
      </c>
    </row>
    <row r="356" spans="2:8" ht="26.4" x14ac:dyDescent="0.25">
      <c r="B356" s="103" t="s">
        <v>966</v>
      </c>
      <c r="C356" s="104">
        <v>2333333</v>
      </c>
      <c r="D356" s="104">
        <v>2588235</v>
      </c>
      <c r="E356" s="103" t="s">
        <v>1625</v>
      </c>
      <c r="F356" s="103" t="s">
        <v>1626</v>
      </c>
      <c r="G356" s="103" t="s">
        <v>1627</v>
      </c>
      <c r="H356" s="103" t="s">
        <v>271</v>
      </c>
    </row>
    <row r="357" spans="2:8" x14ac:dyDescent="0.25">
      <c r="B357" s="103" t="s">
        <v>970</v>
      </c>
      <c r="C357" s="104">
        <v>2974359</v>
      </c>
      <c r="D357" s="104">
        <v>2941176</v>
      </c>
      <c r="E357" s="103" t="s">
        <v>1628</v>
      </c>
      <c r="F357" s="103" t="s">
        <v>1629</v>
      </c>
      <c r="G357" s="103" t="s">
        <v>1630</v>
      </c>
      <c r="H357" s="103" t="s">
        <v>271</v>
      </c>
    </row>
    <row r="358" spans="2:8" x14ac:dyDescent="0.25">
      <c r="B358" s="103" t="s">
        <v>826</v>
      </c>
      <c r="C358" s="104">
        <v>3615385</v>
      </c>
      <c r="D358" s="104">
        <v>3470588</v>
      </c>
      <c r="E358" s="103" t="s">
        <v>1631</v>
      </c>
      <c r="F358" s="103" t="s">
        <v>1632</v>
      </c>
      <c r="G358" s="103" t="s">
        <v>1633</v>
      </c>
      <c r="H358" s="103" t="s">
        <v>271</v>
      </c>
    </row>
    <row r="359" spans="2:8" x14ac:dyDescent="0.25">
      <c r="B359" s="103" t="s">
        <v>807</v>
      </c>
      <c r="C359" s="104">
        <v>2641026</v>
      </c>
      <c r="D359" s="104">
        <v>2588235</v>
      </c>
      <c r="E359" s="103" t="s">
        <v>1634</v>
      </c>
      <c r="F359" s="103" t="s">
        <v>1635</v>
      </c>
      <c r="G359" s="103" t="s">
        <v>1636</v>
      </c>
      <c r="H359" s="103" t="s">
        <v>271</v>
      </c>
    </row>
    <row r="360" spans="2:8" x14ac:dyDescent="0.25">
      <c r="B360" s="103" t="s">
        <v>974</v>
      </c>
      <c r="C360" s="104">
        <v>3487179</v>
      </c>
      <c r="D360" s="104">
        <v>3294118</v>
      </c>
      <c r="E360" s="103" t="s">
        <v>1637</v>
      </c>
      <c r="F360" s="103" t="s">
        <v>1638</v>
      </c>
      <c r="G360" s="103" t="s">
        <v>1639</v>
      </c>
      <c r="H360" s="103" t="s">
        <v>271</v>
      </c>
    </row>
    <row r="361" spans="2:8" x14ac:dyDescent="0.25">
      <c r="B361" s="103" t="s">
        <v>810</v>
      </c>
      <c r="C361" s="104">
        <v>2743590</v>
      </c>
      <c r="D361" s="104">
        <v>2823529</v>
      </c>
      <c r="E361" s="103" t="s">
        <v>1640</v>
      </c>
      <c r="F361" s="103" t="s">
        <v>1641</v>
      </c>
      <c r="G361" s="103" t="s">
        <v>1642</v>
      </c>
      <c r="H361" s="103" t="s">
        <v>271</v>
      </c>
    </row>
    <row r="362" spans="2:8" x14ac:dyDescent="0.25">
      <c r="B362" s="103" t="s">
        <v>813</v>
      </c>
      <c r="C362" s="104">
        <v>3051282</v>
      </c>
      <c r="D362" s="104">
        <v>3000000</v>
      </c>
      <c r="E362" s="103" t="s">
        <v>1643</v>
      </c>
      <c r="F362" s="103" t="s">
        <v>1644</v>
      </c>
      <c r="G362" s="103" t="s">
        <v>1645</v>
      </c>
      <c r="H362" s="103" t="s">
        <v>271</v>
      </c>
    </row>
    <row r="363" spans="2:8" x14ac:dyDescent="0.25">
      <c r="B363" s="103" t="s">
        <v>977</v>
      </c>
      <c r="C363" s="104">
        <v>4256410</v>
      </c>
      <c r="D363" s="104">
        <v>4000000</v>
      </c>
      <c r="E363" s="103" t="s">
        <v>1646</v>
      </c>
      <c r="F363" s="104">
        <v>1324421</v>
      </c>
      <c r="G363" s="103" t="s">
        <v>1647</v>
      </c>
      <c r="H363" s="103" t="s">
        <v>271</v>
      </c>
    </row>
    <row r="364" spans="2:8" ht="26.4" x14ac:dyDescent="0.25">
      <c r="B364" s="103" t="s">
        <v>980</v>
      </c>
      <c r="C364" s="104">
        <v>3153846</v>
      </c>
      <c r="D364" s="104">
        <v>3529412</v>
      </c>
      <c r="E364" s="103" t="s">
        <v>1648</v>
      </c>
      <c r="F364" s="104">
        <v>-1715186</v>
      </c>
      <c r="G364" s="103" t="s">
        <v>1649</v>
      </c>
      <c r="H364" s="103" t="s">
        <v>271</v>
      </c>
    </row>
    <row r="365" spans="2:8" x14ac:dyDescent="0.25">
      <c r="B365" s="103" t="s">
        <v>984</v>
      </c>
      <c r="C365" s="104">
        <v>2871795</v>
      </c>
      <c r="D365" s="104">
        <v>2764706</v>
      </c>
      <c r="E365" s="103" t="s">
        <v>1650</v>
      </c>
      <c r="F365" s="103" t="s">
        <v>1651</v>
      </c>
      <c r="G365" s="103" t="s">
        <v>1652</v>
      </c>
      <c r="H365" s="103" t="s">
        <v>271</v>
      </c>
    </row>
    <row r="366" spans="2:8" ht="26.4" x14ac:dyDescent="0.25">
      <c r="B366" s="103" t="s">
        <v>988</v>
      </c>
      <c r="C366" s="104">
        <v>3871795</v>
      </c>
      <c r="D366" s="104">
        <v>3705882</v>
      </c>
      <c r="E366" s="103" t="s">
        <v>1622</v>
      </c>
      <c r="F366" s="103" t="s">
        <v>1653</v>
      </c>
      <c r="G366" s="103" t="s">
        <v>1654</v>
      </c>
      <c r="H366" s="103" t="s">
        <v>271</v>
      </c>
    </row>
    <row r="367" spans="2:8" ht="26.4" x14ac:dyDescent="0.25">
      <c r="B367" s="103" t="s">
        <v>816</v>
      </c>
      <c r="C367" s="104">
        <v>3051282</v>
      </c>
      <c r="D367" s="104">
        <v>3294118</v>
      </c>
      <c r="E367" s="103" t="s">
        <v>1655</v>
      </c>
      <c r="F367" s="103" t="s">
        <v>1656</v>
      </c>
      <c r="G367" s="103" t="s">
        <v>1657</v>
      </c>
      <c r="H367" s="103" t="s">
        <v>271</v>
      </c>
    </row>
    <row r="368" spans="2:8" x14ac:dyDescent="0.25">
      <c r="B368" s="103" t="s">
        <v>992</v>
      </c>
      <c r="C368" s="104">
        <v>2589744</v>
      </c>
      <c r="D368" s="104">
        <v>2764706</v>
      </c>
      <c r="E368" s="103" t="s">
        <v>1658</v>
      </c>
      <c r="F368" s="103" t="s">
        <v>1659</v>
      </c>
      <c r="G368" s="103" t="s">
        <v>1660</v>
      </c>
      <c r="H368" s="103" t="s">
        <v>271</v>
      </c>
    </row>
    <row r="371" spans="2:8" x14ac:dyDescent="0.25">
      <c r="B371" s="101" t="s">
        <v>1661</v>
      </c>
    </row>
    <row r="373" spans="2:8" ht="26.4" x14ac:dyDescent="0.25">
      <c r="B373" s="102" t="s">
        <v>789</v>
      </c>
      <c r="C373" s="102" t="s">
        <v>790</v>
      </c>
      <c r="D373" s="102" t="s">
        <v>791</v>
      </c>
      <c r="E373" s="102" t="s">
        <v>792</v>
      </c>
      <c r="F373" s="102" t="s">
        <v>793</v>
      </c>
      <c r="G373" s="102" t="s">
        <v>794</v>
      </c>
      <c r="H373" s="102" t="s">
        <v>795</v>
      </c>
    </row>
    <row r="374" spans="2:8" x14ac:dyDescent="0.25">
      <c r="B374" s="103" t="s">
        <v>796</v>
      </c>
      <c r="C374" s="104">
        <v>3910256</v>
      </c>
      <c r="D374" s="104">
        <v>3454545</v>
      </c>
      <c r="E374" s="103" t="s">
        <v>1662</v>
      </c>
      <c r="F374" s="104">
        <v>1719848</v>
      </c>
      <c r="G374" s="103" t="s">
        <v>1663</v>
      </c>
      <c r="H374" s="103" t="s">
        <v>271</v>
      </c>
    </row>
    <row r="375" spans="2:8" ht="26.4" x14ac:dyDescent="0.25">
      <c r="B375" s="103" t="s">
        <v>799</v>
      </c>
      <c r="C375" s="104">
        <v>3705128</v>
      </c>
      <c r="D375" s="104">
        <v>3000000</v>
      </c>
      <c r="E375" s="103" t="s">
        <v>1664</v>
      </c>
      <c r="F375" s="104">
        <v>2048794</v>
      </c>
      <c r="G375" s="103" t="s">
        <v>1665</v>
      </c>
      <c r="H375" s="103" t="s">
        <v>271</v>
      </c>
    </row>
    <row r="376" spans="2:8" x14ac:dyDescent="0.25">
      <c r="B376" s="103" t="s">
        <v>802</v>
      </c>
      <c r="C376" s="104">
        <v>3564103</v>
      </c>
      <c r="D376" s="104">
        <v>3272727</v>
      </c>
      <c r="E376" s="103" t="s">
        <v>1666</v>
      </c>
      <c r="F376" s="103" t="s">
        <v>1667</v>
      </c>
      <c r="G376" s="103" t="s">
        <v>1668</v>
      </c>
      <c r="H376" s="103" t="s">
        <v>271</v>
      </c>
    </row>
    <row r="377" spans="2:8" x14ac:dyDescent="0.25">
      <c r="B377" s="103" t="s">
        <v>804</v>
      </c>
      <c r="C377" s="104">
        <v>3576923</v>
      </c>
      <c r="D377" s="104">
        <v>3636364</v>
      </c>
      <c r="E377" s="103" t="s">
        <v>1669</v>
      </c>
      <c r="F377" s="103" t="s">
        <v>1670</v>
      </c>
      <c r="G377" s="103" t="s">
        <v>1671</v>
      </c>
      <c r="H377" s="103" t="s">
        <v>271</v>
      </c>
    </row>
    <row r="378" spans="2:8" ht="26.4" x14ac:dyDescent="0.25">
      <c r="B378" s="103" t="s">
        <v>891</v>
      </c>
      <c r="C378" s="104">
        <v>2910256</v>
      </c>
      <c r="D378" s="104">
        <v>2636364</v>
      </c>
      <c r="E378" s="103" t="s">
        <v>1672</v>
      </c>
      <c r="F378" s="104">
        <v>1055088</v>
      </c>
      <c r="G378" s="103" t="s">
        <v>1673</v>
      </c>
      <c r="H378" s="103" t="s">
        <v>271</v>
      </c>
    </row>
    <row r="379" spans="2:8" ht="26.4" x14ac:dyDescent="0.25">
      <c r="B379" s="103" t="s">
        <v>895</v>
      </c>
      <c r="C379" s="104">
        <v>2717949</v>
      </c>
      <c r="D379" s="104">
        <v>2636364</v>
      </c>
      <c r="E379" s="103" t="s">
        <v>1674</v>
      </c>
      <c r="F379" s="103" t="s">
        <v>1675</v>
      </c>
      <c r="G379" s="103" t="s">
        <v>1676</v>
      </c>
      <c r="H379" s="103" t="s">
        <v>271</v>
      </c>
    </row>
    <row r="380" spans="2:8" ht="26.4" x14ac:dyDescent="0.25">
      <c r="B380" s="103" t="s">
        <v>898</v>
      </c>
      <c r="C380" s="104">
        <v>2974359</v>
      </c>
      <c r="D380" s="104">
        <v>2727273</v>
      </c>
      <c r="E380" s="103" t="s">
        <v>1677</v>
      </c>
      <c r="F380" s="104">
        <v>1066307</v>
      </c>
      <c r="G380" s="103" t="s">
        <v>1678</v>
      </c>
      <c r="H380" s="103" t="s">
        <v>271</v>
      </c>
    </row>
    <row r="381" spans="2:8" ht="26.4" x14ac:dyDescent="0.25">
      <c r="B381" s="103" t="s">
        <v>902</v>
      </c>
      <c r="C381" s="104">
        <v>3205128</v>
      </c>
      <c r="D381" s="104">
        <v>3454545</v>
      </c>
      <c r="E381" s="103" t="s">
        <v>1679</v>
      </c>
      <c r="F381" s="103" t="s">
        <v>1680</v>
      </c>
      <c r="G381" s="103" t="s">
        <v>1681</v>
      </c>
      <c r="H381" s="103" t="s">
        <v>271</v>
      </c>
    </row>
    <row r="382" spans="2:8" ht="26.4" x14ac:dyDescent="0.25">
      <c r="B382" s="103" t="s">
        <v>906</v>
      </c>
      <c r="C382" s="104">
        <v>3205128</v>
      </c>
      <c r="D382" s="104">
        <v>2909091</v>
      </c>
      <c r="E382" s="103" t="s">
        <v>1682</v>
      </c>
      <c r="F382" s="104">
        <v>1169271</v>
      </c>
      <c r="G382" s="103" t="s">
        <v>1683</v>
      </c>
      <c r="H382" s="103" t="s">
        <v>271</v>
      </c>
    </row>
    <row r="383" spans="2:8" ht="26.4" x14ac:dyDescent="0.25">
      <c r="B383" s="103" t="s">
        <v>910</v>
      </c>
      <c r="C383" s="104">
        <v>3564103</v>
      </c>
      <c r="D383" s="104">
        <v>3272727</v>
      </c>
      <c r="E383" s="103" t="s">
        <v>1666</v>
      </c>
      <c r="F383" s="103" t="s">
        <v>1684</v>
      </c>
      <c r="G383" s="103" t="s">
        <v>1685</v>
      </c>
      <c r="H383" s="103" t="s">
        <v>271</v>
      </c>
    </row>
    <row r="384" spans="2:8" ht="26.4" x14ac:dyDescent="0.25">
      <c r="B384" s="103" t="s">
        <v>914</v>
      </c>
      <c r="C384" s="104">
        <v>3333333</v>
      </c>
      <c r="D384" s="104">
        <v>3181818</v>
      </c>
      <c r="E384" s="103" t="s">
        <v>1686</v>
      </c>
      <c r="F384" s="103" t="s">
        <v>1687</v>
      </c>
      <c r="G384" s="103" t="s">
        <v>1688</v>
      </c>
      <c r="H384" s="103" t="s">
        <v>271</v>
      </c>
    </row>
    <row r="385" spans="2:8" x14ac:dyDescent="0.25">
      <c r="B385" s="103" t="s">
        <v>818</v>
      </c>
      <c r="C385" s="104">
        <v>3705128</v>
      </c>
      <c r="D385" s="104">
        <v>2909091</v>
      </c>
      <c r="E385" s="103" t="s">
        <v>1689</v>
      </c>
      <c r="F385" s="104">
        <v>2230386</v>
      </c>
      <c r="G385" s="103" t="s">
        <v>1690</v>
      </c>
      <c r="H385" s="103" t="s">
        <v>801</v>
      </c>
    </row>
    <row r="386" spans="2:8" x14ac:dyDescent="0.25">
      <c r="B386" s="103" t="s">
        <v>918</v>
      </c>
      <c r="C386" s="104">
        <v>4615385</v>
      </c>
      <c r="D386" s="104">
        <v>4272727</v>
      </c>
      <c r="E386" s="103" t="s">
        <v>1691</v>
      </c>
      <c r="F386" s="104">
        <v>1465455</v>
      </c>
      <c r="G386" s="103" t="s">
        <v>1692</v>
      </c>
      <c r="H386" s="103" t="s">
        <v>271</v>
      </c>
    </row>
    <row r="387" spans="2:8" x14ac:dyDescent="0.25">
      <c r="B387" s="103" t="s">
        <v>922</v>
      </c>
      <c r="C387" s="104">
        <v>3615385</v>
      </c>
      <c r="D387" s="104">
        <v>3000000</v>
      </c>
      <c r="E387" s="103" t="s">
        <v>1693</v>
      </c>
      <c r="F387" s="104">
        <v>1835275</v>
      </c>
      <c r="G387" s="103" t="s">
        <v>1694</v>
      </c>
      <c r="H387" s="103" t="s">
        <v>271</v>
      </c>
    </row>
    <row r="388" spans="2:8" x14ac:dyDescent="0.25">
      <c r="B388" s="103" t="s">
        <v>926</v>
      </c>
      <c r="C388" s="104">
        <v>3794872</v>
      </c>
      <c r="D388" s="104">
        <v>3454545</v>
      </c>
      <c r="E388" s="103" t="s">
        <v>1695</v>
      </c>
      <c r="F388" s="104">
        <v>1302242</v>
      </c>
      <c r="G388" s="103" t="s">
        <v>1696</v>
      </c>
      <c r="H388" s="103" t="s">
        <v>271</v>
      </c>
    </row>
    <row r="389" spans="2:8" x14ac:dyDescent="0.25">
      <c r="B389" s="103" t="s">
        <v>820</v>
      </c>
      <c r="C389" s="104">
        <v>3974359</v>
      </c>
      <c r="D389" s="104">
        <v>3454545</v>
      </c>
      <c r="E389" s="103" t="s">
        <v>1697</v>
      </c>
      <c r="F389" s="104">
        <v>1444761</v>
      </c>
      <c r="G389" s="103" t="s">
        <v>1698</v>
      </c>
      <c r="H389" s="103" t="s">
        <v>271</v>
      </c>
    </row>
    <row r="390" spans="2:8" x14ac:dyDescent="0.25">
      <c r="B390" s="103" t="s">
        <v>823</v>
      </c>
      <c r="C390" s="104">
        <v>3487179</v>
      </c>
      <c r="D390" s="104">
        <v>3000000</v>
      </c>
      <c r="E390" s="103" t="s">
        <v>1699</v>
      </c>
      <c r="F390" s="104">
        <v>1598834</v>
      </c>
      <c r="G390" s="103" t="s">
        <v>1700</v>
      </c>
      <c r="H390" s="103" t="s">
        <v>271</v>
      </c>
    </row>
    <row r="391" spans="2:8" ht="26.4" x14ac:dyDescent="0.25">
      <c r="B391" s="103" t="s">
        <v>930</v>
      </c>
      <c r="C391" s="104">
        <v>3076923</v>
      </c>
      <c r="D391" s="104">
        <v>3000000</v>
      </c>
      <c r="E391" s="103" t="s">
        <v>1701</v>
      </c>
      <c r="F391" s="103" t="s">
        <v>1702</v>
      </c>
      <c r="G391" s="103" t="s">
        <v>1703</v>
      </c>
      <c r="H391" s="103" t="s">
        <v>271</v>
      </c>
    </row>
    <row r="392" spans="2:8" ht="26.4" x14ac:dyDescent="0.25">
      <c r="B392" s="103" t="s">
        <v>829</v>
      </c>
      <c r="C392" s="104">
        <v>4102564</v>
      </c>
      <c r="D392" s="104">
        <v>3909091</v>
      </c>
      <c r="E392" s="103" t="s">
        <v>1704</v>
      </c>
      <c r="F392" s="103" t="s">
        <v>1705</v>
      </c>
      <c r="G392" s="103" t="s">
        <v>1706</v>
      </c>
      <c r="H392" s="103" t="s">
        <v>271</v>
      </c>
    </row>
    <row r="393" spans="2:8" x14ac:dyDescent="0.25">
      <c r="B393" s="103" t="s">
        <v>934</v>
      </c>
      <c r="C393" s="104">
        <v>3153846</v>
      </c>
      <c r="D393" s="104">
        <v>2727273</v>
      </c>
      <c r="E393" s="103" t="s">
        <v>1707</v>
      </c>
      <c r="F393" s="104">
        <v>1259978</v>
      </c>
      <c r="G393" s="103" t="s">
        <v>1708</v>
      </c>
      <c r="H393" s="103" t="s">
        <v>271</v>
      </c>
    </row>
    <row r="394" spans="2:8" x14ac:dyDescent="0.25">
      <c r="B394" s="103" t="s">
        <v>938</v>
      </c>
      <c r="C394" s="104">
        <v>2435897</v>
      </c>
      <c r="D394" s="104">
        <v>2454545</v>
      </c>
      <c r="E394" s="103" t="s">
        <v>1709</v>
      </c>
      <c r="F394" s="103" t="s">
        <v>1710</v>
      </c>
      <c r="G394" s="103" t="s">
        <v>1711</v>
      </c>
      <c r="H394" s="103" t="s">
        <v>271</v>
      </c>
    </row>
    <row r="395" spans="2:8" ht="26.4" x14ac:dyDescent="0.25">
      <c r="B395" s="103" t="s">
        <v>942</v>
      </c>
      <c r="C395" s="104">
        <v>3000000</v>
      </c>
      <c r="D395" s="104">
        <v>3000000</v>
      </c>
      <c r="E395" s="103" t="s">
        <v>1480</v>
      </c>
      <c r="F395" s="103" t="s">
        <v>1480</v>
      </c>
      <c r="G395" s="104">
        <v>1000000</v>
      </c>
      <c r="H395" s="103" t="s">
        <v>271</v>
      </c>
    </row>
    <row r="396" spans="2:8" x14ac:dyDescent="0.25">
      <c r="B396" s="103" t="s">
        <v>946</v>
      </c>
      <c r="C396" s="104">
        <v>2923077</v>
      </c>
      <c r="D396" s="104">
        <v>2909091</v>
      </c>
      <c r="E396" s="103" t="s">
        <v>1712</v>
      </c>
      <c r="F396" s="103" t="s">
        <v>1713</v>
      </c>
      <c r="G396" s="103" t="s">
        <v>1714</v>
      </c>
      <c r="H396" s="103" t="s">
        <v>271</v>
      </c>
    </row>
    <row r="397" spans="2:8" ht="26.4" x14ac:dyDescent="0.25">
      <c r="B397" s="103" t="s">
        <v>950</v>
      </c>
      <c r="C397" s="104">
        <v>3461538</v>
      </c>
      <c r="D397" s="104">
        <v>3090909</v>
      </c>
      <c r="E397" s="103" t="s">
        <v>1715</v>
      </c>
      <c r="F397" s="103" t="s">
        <v>1716</v>
      </c>
      <c r="G397" s="103" t="s">
        <v>1717</v>
      </c>
      <c r="H397" s="103" t="s">
        <v>271</v>
      </c>
    </row>
    <row r="398" spans="2:8" x14ac:dyDescent="0.25">
      <c r="B398" s="103" t="s">
        <v>954</v>
      </c>
      <c r="C398" s="104">
        <v>3307692</v>
      </c>
      <c r="D398" s="104">
        <v>3000000</v>
      </c>
      <c r="E398" s="103" t="s">
        <v>1718</v>
      </c>
      <c r="F398" s="103" t="s">
        <v>1719</v>
      </c>
      <c r="G398" s="103" t="s">
        <v>1720</v>
      </c>
      <c r="H398" s="103" t="s">
        <v>271</v>
      </c>
    </row>
    <row r="399" spans="2:8" ht="26.4" x14ac:dyDescent="0.25">
      <c r="B399" s="103" t="s">
        <v>958</v>
      </c>
      <c r="C399" s="104">
        <v>2333333</v>
      </c>
      <c r="D399" s="104">
        <v>2272727</v>
      </c>
      <c r="E399" s="103" t="s">
        <v>1721</v>
      </c>
      <c r="F399" s="103" t="s">
        <v>1722</v>
      </c>
      <c r="G399" s="103" t="s">
        <v>1723</v>
      </c>
      <c r="H399" s="103" t="s">
        <v>271</v>
      </c>
    </row>
    <row r="400" spans="2:8" x14ac:dyDescent="0.25">
      <c r="B400" s="103" t="s">
        <v>962</v>
      </c>
      <c r="C400" s="104">
        <v>3871795</v>
      </c>
      <c r="D400" s="104">
        <v>3636364</v>
      </c>
      <c r="E400" s="103" t="s">
        <v>1724</v>
      </c>
      <c r="F400" s="103" t="s">
        <v>1725</v>
      </c>
      <c r="G400" s="103" t="s">
        <v>1726</v>
      </c>
      <c r="H400" s="103" t="s">
        <v>271</v>
      </c>
    </row>
    <row r="401" spans="2:8" ht="26.4" x14ac:dyDescent="0.25">
      <c r="B401" s="103" t="s">
        <v>966</v>
      </c>
      <c r="C401" s="104">
        <v>2358974</v>
      </c>
      <c r="D401" s="104">
        <v>2454545</v>
      </c>
      <c r="E401" s="103" t="s">
        <v>1727</v>
      </c>
      <c r="F401" s="103" t="s">
        <v>1728</v>
      </c>
      <c r="G401" s="103" t="s">
        <v>1729</v>
      </c>
      <c r="H401" s="103" t="s">
        <v>271</v>
      </c>
    </row>
    <row r="402" spans="2:8" x14ac:dyDescent="0.25">
      <c r="B402" s="103" t="s">
        <v>970</v>
      </c>
      <c r="C402" s="104">
        <v>2948718</v>
      </c>
      <c r="D402" s="104">
        <v>2818182</v>
      </c>
      <c r="E402" s="103" t="s">
        <v>1730</v>
      </c>
      <c r="F402" s="103" t="s">
        <v>1731</v>
      </c>
      <c r="G402" s="103" t="s">
        <v>1732</v>
      </c>
      <c r="H402" s="103" t="s">
        <v>271</v>
      </c>
    </row>
    <row r="403" spans="2:8" x14ac:dyDescent="0.25">
      <c r="B403" s="103" t="s">
        <v>826</v>
      </c>
      <c r="C403" s="104">
        <v>3743590</v>
      </c>
      <c r="D403" s="104">
        <v>3272727</v>
      </c>
      <c r="E403" s="103" t="s">
        <v>1733</v>
      </c>
      <c r="F403" s="104">
        <v>1561929</v>
      </c>
      <c r="G403" s="103" t="s">
        <v>1734</v>
      </c>
      <c r="H403" s="103" t="s">
        <v>271</v>
      </c>
    </row>
    <row r="404" spans="2:8" x14ac:dyDescent="0.25">
      <c r="B404" s="103" t="s">
        <v>807</v>
      </c>
      <c r="C404" s="104">
        <v>2307692</v>
      </c>
      <c r="D404" s="104">
        <v>2363636</v>
      </c>
      <c r="E404" s="103" t="s">
        <v>1735</v>
      </c>
      <c r="F404" s="103" t="s">
        <v>1736</v>
      </c>
      <c r="G404" s="103" t="s">
        <v>1737</v>
      </c>
      <c r="H404" s="103" t="s">
        <v>271</v>
      </c>
    </row>
    <row r="405" spans="2:8" x14ac:dyDescent="0.25">
      <c r="B405" s="103" t="s">
        <v>974</v>
      </c>
      <c r="C405" s="104">
        <v>3589744</v>
      </c>
      <c r="D405" s="104">
        <v>3363636</v>
      </c>
      <c r="E405" s="103" t="s">
        <v>1738</v>
      </c>
      <c r="F405" s="103" t="s">
        <v>1739</v>
      </c>
      <c r="G405" s="103" t="s">
        <v>1740</v>
      </c>
      <c r="H405" s="103" t="s">
        <v>271</v>
      </c>
    </row>
    <row r="406" spans="2:8" x14ac:dyDescent="0.25">
      <c r="B406" s="103" t="s">
        <v>810</v>
      </c>
      <c r="C406" s="104">
        <v>2589744</v>
      </c>
      <c r="D406" s="104">
        <v>2636364</v>
      </c>
      <c r="E406" s="103" t="s">
        <v>1741</v>
      </c>
      <c r="F406" s="103" t="s">
        <v>1742</v>
      </c>
      <c r="G406" s="103" t="s">
        <v>1743</v>
      </c>
      <c r="H406" s="103" t="s">
        <v>271</v>
      </c>
    </row>
    <row r="407" spans="2:8" x14ac:dyDescent="0.25">
      <c r="B407" s="103" t="s">
        <v>813</v>
      </c>
      <c r="C407" s="104">
        <v>2871795</v>
      </c>
      <c r="D407" s="104">
        <v>3181818</v>
      </c>
      <c r="E407" s="103" t="s">
        <v>1744</v>
      </c>
      <c r="F407" s="104">
        <v>-1355347</v>
      </c>
      <c r="G407" s="103" t="s">
        <v>1745</v>
      </c>
      <c r="H407" s="103" t="s">
        <v>271</v>
      </c>
    </row>
    <row r="408" spans="2:8" x14ac:dyDescent="0.25">
      <c r="B408" s="103" t="s">
        <v>977</v>
      </c>
      <c r="C408" s="104">
        <v>4333333</v>
      </c>
      <c r="D408" s="104">
        <v>3909091</v>
      </c>
      <c r="E408" s="103" t="s">
        <v>1746</v>
      </c>
      <c r="F408" s="104">
        <v>1624430</v>
      </c>
      <c r="G408" s="103" t="s">
        <v>1747</v>
      </c>
      <c r="H408" s="103" t="s">
        <v>271</v>
      </c>
    </row>
    <row r="409" spans="2:8" ht="26.4" x14ac:dyDescent="0.25">
      <c r="B409" s="103" t="s">
        <v>980</v>
      </c>
      <c r="C409" s="104">
        <v>3076923</v>
      </c>
      <c r="D409" s="104">
        <v>3181818</v>
      </c>
      <c r="E409" s="103" t="s">
        <v>1748</v>
      </c>
      <c r="F409" s="103" t="s">
        <v>1749</v>
      </c>
      <c r="G409" s="103" t="s">
        <v>1750</v>
      </c>
      <c r="H409" s="103" t="s">
        <v>271</v>
      </c>
    </row>
    <row r="410" spans="2:8" x14ac:dyDescent="0.25">
      <c r="B410" s="103" t="s">
        <v>984</v>
      </c>
      <c r="C410" s="104">
        <v>2923077</v>
      </c>
      <c r="D410" s="104">
        <v>2727273</v>
      </c>
      <c r="E410" s="103" t="s">
        <v>1751</v>
      </c>
      <c r="F410" s="103" t="s">
        <v>1752</v>
      </c>
      <c r="G410" s="103" t="s">
        <v>1753</v>
      </c>
      <c r="H410" s="103" t="s">
        <v>271</v>
      </c>
    </row>
    <row r="411" spans="2:8" ht="26.4" x14ac:dyDescent="0.25">
      <c r="B411" s="103" t="s">
        <v>988</v>
      </c>
      <c r="C411" s="104">
        <v>3897436</v>
      </c>
      <c r="D411" s="104">
        <v>3363636</v>
      </c>
      <c r="E411" s="103" t="s">
        <v>1754</v>
      </c>
      <c r="F411" s="104">
        <v>1903781</v>
      </c>
      <c r="G411" s="103" t="s">
        <v>1755</v>
      </c>
      <c r="H411" s="103" t="s">
        <v>271</v>
      </c>
    </row>
    <row r="412" spans="2:8" ht="26.4" x14ac:dyDescent="0.25">
      <c r="B412" s="103" t="s">
        <v>816</v>
      </c>
      <c r="C412" s="104">
        <v>2974359</v>
      </c>
      <c r="D412" s="104">
        <v>3454545</v>
      </c>
      <c r="E412" s="103" t="s">
        <v>1756</v>
      </c>
      <c r="F412" s="104">
        <v>-1585781</v>
      </c>
      <c r="G412" s="103" t="s">
        <v>1757</v>
      </c>
      <c r="H412" s="103" t="s">
        <v>271</v>
      </c>
    </row>
    <row r="413" spans="2:8" x14ac:dyDescent="0.25">
      <c r="B413" s="103" t="s">
        <v>992</v>
      </c>
      <c r="C413" s="104">
        <v>2589744</v>
      </c>
      <c r="D413" s="104">
        <v>2727273</v>
      </c>
      <c r="E413" s="103" t="s">
        <v>1758</v>
      </c>
      <c r="F413" s="103" t="s">
        <v>1759</v>
      </c>
      <c r="G413" s="103" t="s">
        <v>1760</v>
      </c>
      <c r="H413" s="103" t="s">
        <v>271</v>
      </c>
    </row>
    <row r="416" spans="2:8" x14ac:dyDescent="0.25">
      <c r="B416" s="101" t="s">
        <v>1761</v>
      </c>
    </row>
    <row r="418" spans="2:6" ht="26.4" x14ac:dyDescent="0.25">
      <c r="B418" s="102" t="s">
        <v>789</v>
      </c>
      <c r="C418" s="102" t="s">
        <v>1762</v>
      </c>
      <c r="D418" s="102" t="s">
        <v>1763</v>
      </c>
      <c r="E418" s="102" t="s">
        <v>1764</v>
      </c>
      <c r="F418" s="102" t="s">
        <v>866</v>
      </c>
    </row>
    <row r="419" spans="2:6" ht="26.4" x14ac:dyDescent="0.25">
      <c r="B419" s="103" t="s">
        <v>796</v>
      </c>
      <c r="C419" s="103" t="s">
        <v>1464</v>
      </c>
      <c r="D419" s="103" t="s">
        <v>1765</v>
      </c>
      <c r="E419" s="103" t="s">
        <v>1766</v>
      </c>
      <c r="F419" s="103" t="s">
        <v>1767</v>
      </c>
    </row>
    <row r="420" spans="2:6" ht="39.6" x14ac:dyDescent="0.25">
      <c r="B420" s="103" t="s">
        <v>799</v>
      </c>
      <c r="C420" s="103" t="s">
        <v>1768</v>
      </c>
      <c r="D420" s="103" t="s">
        <v>1769</v>
      </c>
      <c r="E420" s="103" t="s">
        <v>1077</v>
      </c>
      <c r="F420" s="103" t="s">
        <v>1469</v>
      </c>
    </row>
    <row r="421" spans="2:6" ht="26.4" x14ac:dyDescent="0.25">
      <c r="B421" s="103" t="s">
        <v>802</v>
      </c>
      <c r="C421" s="103" t="s">
        <v>1770</v>
      </c>
      <c r="D421" s="103" t="s">
        <v>1771</v>
      </c>
      <c r="E421" s="103" t="s">
        <v>1772</v>
      </c>
      <c r="F421" s="103" t="s">
        <v>1467</v>
      </c>
    </row>
    <row r="422" spans="2:6" ht="52.8" x14ac:dyDescent="0.25">
      <c r="B422" s="103" t="s">
        <v>818</v>
      </c>
      <c r="C422" s="103" t="s">
        <v>1439</v>
      </c>
      <c r="D422" s="103" t="s">
        <v>1464</v>
      </c>
      <c r="E422" s="103" t="s">
        <v>1773</v>
      </c>
      <c r="F422" s="103" t="s">
        <v>1774</v>
      </c>
    </row>
    <row r="423" spans="2:6" ht="26.4" x14ac:dyDescent="0.25">
      <c r="B423" s="103" t="s">
        <v>820</v>
      </c>
      <c r="C423" s="103" t="s">
        <v>1775</v>
      </c>
      <c r="D423" s="103" t="s">
        <v>1776</v>
      </c>
      <c r="E423" s="103" t="s">
        <v>1777</v>
      </c>
      <c r="F423" s="103" t="s">
        <v>1467</v>
      </c>
    </row>
    <row r="424" spans="2:6" ht="26.4" x14ac:dyDescent="0.25">
      <c r="B424" s="103" t="s">
        <v>950</v>
      </c>
      <c r="C424" s="103" t="s">
        <v>1778</v>
      </c>
      <c r="D424" s="103" t="s">
        <v>1779</v>
      </c>
      <c r="E424" s="103" t="s">
        <v>1454</v>
      </c>
      <c r="F424" s="103" t="s">
        <v>1467</v>
      </c>
    </row>
    <row r="425" spans="2:6" ht="26.4" x14ac:dyDescent="0.25">
      <c r="B425" s="103" t="s">
        <v>962</v>
      </c>
      <c r="C425" s="103" t="s">
        <v>1438</v>
      </c>
      <c r="D425" s="103" t="s">
        <v>1085</v>
      </c>
      <c r="E425" s="103" t="s">
        <v>1070</v>
      </c>
      <c r="F425" s="103" t="s">
        <v>1467</v>
      </c>
    </row>
    <row r="426" spans="2:6" ht="26.4" x14ac:dyDescent="0.25">
      <c r="B426" s="103" t="s">
        <v>826</v>
      </c>
      <c r="C426" s="103" t="s">
        <v>1778</v>
      </c>
      <c r="D426" s="103" t="s">
        <v>1462</v>
      </c>
      <c r="E426" s="103" t="s">
        <v>1780</v>
      </c>
      <c r="F426" s="103" t="s">
        <v>1467</v>
      </c>
    </row>
    <row r="427" spans="2:6" ht="39.6" x14ac:dyDescent="0.25">
      <c r="B427" s="103" t="s">
        <v>807</v>
      </c>
      <c r="C427" s="103" t="s">
        <v>1781</v>
      </c>
      <c r="D427" s="103" t="s">
        <v>1452</v>
      </c>
      <c r="E427" s="103" t="s">
        <v>1435</v>
      </c>
      <c r="F427" s="103" t="s">
        <v>1469</v>
      </c>
    </row>
    <row r="428" spans="2:6" ht="26.4" x14ac:dyDescent="0.25">
      <c r="B428" s="103" t="s">
        <v>974</v>
      </c>
      <c r="C428" s="103" t="s">
        <v>1775</v>
      </c>
      <c r="D428" s="103" t="s">
        <v>1782</v>
      </c>
      <c r="E428" s="103" t="s">
        <v>1459</v>
      </c>
      <c r="F428" s="103" t="s">
        <v>1467</v>
      </c>
    </row>
    <row r="429" spans="2:6" ht="39.6" x14ac:dyDescent="0.25">
      <c r="B429" s="103" t="s">
        <v>813</v>
      </c>
      <c r="C429" s="103" t="s">
        <v>1770</v>
      </c>
      <c r="D429" s="103" t="s">
        <v>1452</v>
      </c>
      <c r="E429" s="103" t="s">
        <v>1783</v>
      </c>
      <c r="F429" s="103" t="s">
        <v>1469</v>
      </c>
    </row>
    <row r="430" spans="2:6" ht="26.4" x14ac:dyDescent="0.25">
      <c r="B430" s="103" t="s">
        <v>977</v>
      </c>
      <c r="C430" s="103" t="s">
        <v>1775</v>
      </c>
      <c r="D430" s="103" t="s">
        <v>1091</v>
      </c>
      <c r="E430" s="103" t="s">
        <v>1072</v>
      </c>
      <c r="F430" s="103" t="s">
        <v>1467</v>
      </c>
    </row>
    <row r="431" spans="2:6" ht="26.4" x14ac:dyDescent="0.25">
      <c r="B431" s="103" t="s">
        <v>980</v>
      </c>
      <c r="C431" s="103" t="s">
        <v>1784</v>
      </c>
      <c r="D431" s="103" t="s">
        <v>1785</v>
      </c>
      <c r="E431" s="103" t="s">
        <v>1786</v>
      </c>
      <c r="F431" s="103" t="s">
        <v>1467</v>
      </c>
    </row>
    <row r="432" spans="2:6" ht="26.4" x14ac:dyDescent="0.25">
      <c r="B432" s="103" t="s">
        <v>988</v>
      </c>
      <c r="C432" s="103" t="s">
        <v>1085</v>
      </c>
      <c r="D432" s="103" t="s">
        <v>1085</v>
      </c>
      <c r="E432" s="103" t="s">
        <v>1787</v>
      </c>
      <c r="F432" s="103" t="s">
        <v>1467</v>
      </c>
    </row>
    <row r="433" spans="2:8" ht="26.4" x14ac:dyDescent="0.25">
      <c r="B433" s="103" t="s">
        <v>816</v>
      </c>
      <c r="C433" s="103" t="s">
        <v>1435</v>
      </c>
      <c r="D433" s="103" t="s">
        <v>1788</v>
      </c>
      <c r="E433" s="103" t="s">
        <v>1466</v>
      </c>
      <c r="F433" s="103" t="s">
        <v>1467</v>
      </c>
    </row>
    <row r="435" spans="2:8" x14ac:dyDescent="0.25">
      <c r="B435" s="101" t="s">
        <v>1848</v>
      </c>
    </row>
    <row r="437" spans="2:8" ht="26.4" x14ac:dyDescent="0.25">
      <c r="B437" s="102" t="s">
        <v>789</v>
      </c>
      <c r="C437" s="102" t="s">
        <v>1789</v>
      </c>
      <c r="D437" s="102" t="s">
        <v>1790</v>
      </c>
      <c r="E437" s="102" t="s">
        <v>1791</v>
      </c>
      <c r="F437" s="102" t="s">
        <v>1792</v>
      </c>
      <c r="G437" s="102" t="s">
        <v>252</v>
      </c>
      <c r="H437" s="102" t="s">
        <v>181</v>
      </c>
    </row>
    <row r="438" spans="2:8" x14ac:dyDescent="0.25">
      <c r="B438" s="103" t="s">
        <v>796</v>
      </c>
      <c r="C438" s="103" t="s">
        <v>1793</v>
      </c>
      <c r="D438" s="103" t="s">
        <v>1794</v>
      </c>
      <c r="E438" s="103" t="s">
        <v>1795</v>
      </c>
      <c r="F438" s="103" t="s">
        <v>1796</v>
      </c>
      <c r="G438" s="103" t="s">
        <v>1797</v>
      </c>
      <c r="H438" s="103" t="s">
        <v>1798</v>
      </c>
    </row>
    <row r="439" spans="2:8" ht="26.4" x14ac:dyDescent="0.25">
      <c r="B439" s="103" t="s">
        <v>799</v>
      </c>
      <c r="C439" s="103" t="s">
        <v>1799</v>
      </c>
      <c r="D439" s="103" t="s">
        <v>1800</v>
      </c>
      <c r="E439" s="103" t="s">
        <v>1801</v>
      </c>
      <c r="F439" s="103" t="s">
        <v>1802</v>
      </c>
      <c r="G439" s="103" t="s">
        <v>1803</v>
      </c>
      <c r="H439" s="103" t="s">
        <v>1804</v>
      </c>
    </row>
    <row r="440" spans="2:8" x14ac:dyDescent="0.25">
      <c r="B440" s="103" t="s">
        <v>802</v>
      </c>
      <c r="C440" s="103" t="s">
        <v>1793</v>
      </c>
      <c r="D440" s="103" t="s">
        <v>1805</v>
      </c>
      <c r="E440" s="103" t="s">
        <v>1806</v>
      </c>
      <c r="F440" s="103" t="s">
        <v>1807</v>
      </c>
      <c r="G440" s="103" t="s">
        <v>1808</v>
      </c>
      <c r="H440" s="103" t="s">
        <v>1809</v>
      </c>
    </row>
    <row r="441" spans="2:8" x14ac:dyDescent="0.25">
      <c r="B441" s="103" t="s">
        <v>818</v>
      </c>
      <c r="C441" s="103" t="s">
        <v>1810</v>
      </c>
      <c r="D441" s="103" t="s">
        <v>1811</v>
      </c>
      <c r="E441" s="103" t="s">
        <v>1812</v>
      </c>
      <c r="F441" s="103" t="s">
        <v>1813</v>
      </c>
      <c r="G441" s="103" t="s">
        <v>1814</v>
      </c>
      <c r="H441" s="103" t="s">
        <v>1815</v>
      </c>
    </row>
    <row r="442" spans="2:8" x14ac:dyDescent="0.25">
      <c r="B442" s="103" t="s">
        <v>926</v>
      </c>
      <c r="C442" s="103" t="s">
        <v>1816</v>
      </c>
      <c r="D442" s="103" t="s">
        <v>1817</v>
      </c>
      <c r="E442" s="103" t="s">
        <v>1818</v>
      </c>
      <c r="F442" s="103" t="s">
        <v>1819</v>
      </c>
      <c r="G442" s="103" t="s">
        <v>1820</v>
      </c>
      <c r="H442" s="103" t="s">
        <v>1821</v>
      </c>
    </row>
    <row r="443" spans="2:8" x14ac:dyDescent="0.25">
      <c r="B443" s="103" t="s">
        <v>820</v>
      </c>
      <c r="C443" s="103" t="s">
        <v>1822</v>
      </c>
      <c r="D443" s="103" t="s">
        <v>1823</v>
      </c>
      <c r="E443" s="103" t="s">
        <v>1824</v>
      </c>
      <c r="F443" s="103" t="s">
        <v>1807</v>
      </c>
      <c r="G443" s="103" t="s">
        <v>1825</v>
      </c>
      <c r="H443" s="103" t="s">
        <v>1826</v>
      </c>
    </row>
    <row r="444" spans="2:8" ht="26.4" x14ac:dyDescent="0.25">
      <c r="B444" s="103" t="s">
        <v>950</v>
      </c>
      <c r="C444" s="103" t="s">
        <v>1827</v>
      </c>
      <c r="D444" s="103" t="s">
        <v>1828</v>
      </c>
      <c r="E444" s="103" t="s">
        <v>1829</v>
      </c>
      <c r="F444" s="103" t="s">
        <v>1830</v>
      </c>
      <c r="G444" s="103" t="s">
        <v>1831</v>
      </c>
      <c r="H444" s="103" t="s">
        <v>1832</v>
      </c>
    </row>
    <row r="445" spans="2:8" x14ac:dyDescent="0.25">
      <c r="B445" s="103" t="s">
        <v>962</v>
      </c>
      <c r="C445" s="103" t="s">
        <v>1795</v>
      </c>
      <c r="D445" s="103" t="s">
        <v>1833</v>
      </c>
      <c r="E445" s="103" t="s">
        <v>1834</v>
      </c>
      <c r="F445" s="103" t="s">
        <v>1835</v>
      </c>
      <c r="G445" s="103" t="s">
        <v>1833</v>
      </c>
      <c r="H445" s="103" t="s">
        <v>1801</v>
      </c>
    </row>
    <row r="446" spans="2:8" x14ac:dyDescent="0.25">
      <c r="B446" s="103" t="s">
        <v>826</v>
      </c>
      <c r="C446" s="103" t="s">
        <v>1836</v>
      </c>
      <c r="D446" s="103" t="s">
        <v>1837</v>
      </c>
      <c r="E446" s="103" t="s">
        <v>1838</v>
      </c>
      <c r="F446" s="103" t="s">
        <v>1839</v>
      </c>
      <c r="G446" s="103" t="s">
        <v>1840</v>
      </c>
      <c r="H446" s="103" t="s">
        <v>1841</v>
      </c>
    </row>
    <row r="447" spans="2:8" x14ac:dyDescent="0.25">
      <c r="B447" s="103" t="s">
        <v>974</v>
      </c>
      <c r="C447" s="103" t="s">
        <v>1795</v>
      </c>
      <c r="D447" s="103" t="s">
        <v>1842</v>
      </c>
      <c r="E447" s="103" t="s">
        <v>1838</v>
      </c>
      <c r="F447" s="103" t="s">
        <v>1807</v>
      </c>
      <c r="G447" s="103" t="s">
        <v>1843</v>
      </c>
      <c r="H447" s="103" t="s">
        <v>1844</v>
      </c>
    </row>
    <row r="448" spans="2:8" x14ac:dyDescent="0.25">
      <c r="B448" s="103" t="s">
        <v>977</v>
      </c>
      <c r="C448" s="103" t="s">
        <v>1845</v>
      </c>
      <c r="D448" s="103" t="s">
        <v>1821</v>
      </c>
      <c r="E448" s="103" t="s">
        <v>1827</v>
      </c>
      <c r="F448" s="103" t="s">
        <v>1846</v>
      </c>
      <c r="G448" s="103" t="s">
        <v>1842</v>
      </c>
      <c r="H448" s="103" t="s">
        <v>1847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422E7-2FCA-4BA2-AD47-72DB39C5B8BE}">
  <dimension ref="A1:B51"/>
  <sheetViews>
    <sheetView topLeftCell="A22" workbookViewId="0">
      <selection activeCell="B29" sqref="B29"/>
    </sheetView>
  </sheetViews>
  <sheetFormatPr defaultRowHeight="13.2" x14ac:dyDescent="0.25"/>
  <cols>
    <col min="1" max="1" width="56.6640625" bestFit="1" customWidth="1"/>
  </cols>
  <sheetData>
    <row r="1" spans="1:2" ht="13.8" x14ac:dyDescent="0.3">
      <c r="A1" s="67" t="s">
        <v>7</v>
      </c>
    </row>
    <row r="2" spans="1:2" ht="13.8" x14ac:dyDescent="0.3">
      <c r="A2" s="68" t="s">
        <v>569</v>
      </c>
      <c r="B2" s="69">
        <v>1</v>
      </c>
    </row>
    <row r="3" spans="1:2" ht="13.8" x14ac:dyDescent="0.3">
      <c r="A3" s="68" t="s">
        <v>148</v>
      </c>
      <c r="B3" s="69">
        <v>1</v>
      </c>
    </row>
    <row r="4" spans="1:2" ht="13.8" x14ac:dyDescent="0.3">
      <c r="A4" s="68" t="s">
        <v>250</v>
      </c>
      <c r="B4" s="69">
        <v>1</v>
      </c>
    </row>
    <row r="5" spans="1:2" ht="13.8" x14ac:dyDescent="0.3">
      <c r="A5" s="68" t="s">
        <v>458</v>
      </c>
      <c r="B5" s="69">
        <v>1</v>
      </c>
    </row>
    <row r="6" spans="1:2" ht="13.8" x14ac:dyDescent="0.3">
      <c r="A6" s="68" t="s">
        <v>270</v>
      </c>
      <c r="B6" s="69">
        <v>1</v>
      </c>
    </row>
    <row r="7" spans="1:2" ht="13.8" x14ac:dyDescent="0.3">
      <c r="A7" s="68" t="s">
        <v>298</v>
      </c>
      <c r="B7" s="69">
        <v>1</v>
      </c>
    </row>
    <row r="8" spans="1:2" ht="13.8" x14ac:dyDescent="0.3">
      <c r="A8" s="68" t="s">
        <v>645</v>
      </c>
      <c r="B8" s="69">
        <v>1</v>
      </c>
    </row>
    <row r="9" spans="1:2" ht="13.8" x14ac:dyDescent="0.3">
      <c r="A9" s="68" t="s">
        <v>369</v>
      </c>
      <c r="B9" s="69">
        <v>1</v>
      </c>
    </row>
    <row r="10" spans="1:2" ht="13.8" x14ac:dyDescent="0.3">
      <c r="A10" s="68" t="s">
        <v>228</v>
      </c>
      <c r="B10" s="69">
        <v>1</v>
      </c>
    </row>
    <row r="11" spans="1:2" ht="13.8" x14ac:dyDescent="0.3">
      <c r="A11" s="68" t="s">
        <v>584</v>
      </c>
      <c r="B11" s="69">
        <v>1</v>
      </c>
    </row>
    <row r="12" spans="1:2" ht="13.8" x14ac:dyDescent="0.3">
      <c r="A12" s="68" t="s">
        <v>701</v>
      </c>
      <c r="B12" s="69">
        <v>1</v>
      </c>
    </row>
    <row r="13" spans="1:2" ht="13.8" x14ac:dyDescent="0.3">
      <c r="A13" s="68" t="s">
        <v>699</v>
      </c>
      <c r="B13" s="69">
        <v>1</v>
      </c>
    </row>
    <row r="14" spans="1:2" ht="13.8" x14ac:dyDescent="0.3">
      <c r="A14" s="68" t="s">
        <v>237</v>
      </c>
      <c r="B14" s="69">
        <v>1</v>
      </c>
    </row>
    <row r="15" spans="1:2" ht="13.8" x14ac:dyDescent="0.3">
      <c r="A15" s="68" t="s">
        <v>289</v>
      </c>
      <c r="B15" s="69">
        <v>1</v>
      </c>
    </row>
    <row r="16" spans="1:2" ht="13.8" x14ac:dyDescent="0.3">
      <c r="A16" s="68" t="s">
        <v>507</v>
      </c>
      <c r="B16" s="69">
        <v>1</v>
      </c>
    </row>
    <row r="17" spans="1:2" ht="13.8" x14ac:dyDescent="0.3">
      <c r="A17" s="68" t="s">
        <v>403</v>
      </c>
      <c r="B17" s="69">
        <v>1</v>
      </c>
    </row>
    <row r="18" spans="1:2" ht="13.8" x14ac:dyDescent="0.3">
      <c r="A18" s="68" t="s">
        <v>574</v>
      </c>
      <c r="B18" s="69">
        <v>1</v>
      </c>
    </row>
    <row r="19" spans="1:2" ht="13.8" x14ac:dyDescent="0.3">
      <c r="A19" s="68" t="s">
        <v>367</v>
      </c>
      <c r="B19" s="69">
        <v>1</v>
      </c>
    </row>
    <row r="20" spans="1:2" ht="13.8" x14ac:dyDescent="0.3">
      <c r="A20" s="68" t="s">
        <v>397</v>
      </c>
      <c r="B20" s="69">
        <v>1</v>
      </c>
    </row>
    <row r="21" spans="1:2" ht="13.8" x14ac:dyDescent="0.3">
      <c r="A21" s="68" t="s">
        <v>224</v>
      </c>
      <c r="B21" s="69">
        <v>1</v>
      </c>
    </row>
    <row r="22" spans="1:2" ht="13.8" x14ac:dyDescent="0.3">
      <c r="A22" s="68" t="s">
        <v>469</v>
      </c>
      <c r="B22" s="69">
        <v>1</v>
      </c>
    </row>
    <row r="23" spans="1:2" ht="13.8" x14ac:dyDescent="0.3">
      <c r="A23" s="68" t="s">
        <v>605</v>
      </c>
      <c r="B23" s="69">
        <v>1</v>
      </c>
    </row>
    <row r="24" spans="1:2" ht="13.8" x14ac:dyDescent="0.3">
      <c r="A24" s="68" t="s">
        <v>322</v>
      </c>
      <c r="B24" s="69">
        <v>1</v>
      </c>
    </row>
    <row r="25" spans="1:2" ht="13.8" x14ac:dyDescent="0.3">
      <c r="A25" s="68" t="s">
        <v>519</v>
      </c>
      <c r="B25" s="69">
        <v>1</v>
      </c>
    </row>
    <row r="26" spans="1:2" ht="13.8" x14ac:dyDescent="0.3">
      <c r="A26" s="68" t="s">
        <v>510</v>
      </c>
      <c r="B26" s="69">
        <v>1</v>
      </c>
    </row>
    <row r="27" spans="1:2" ht="13.8" x14ac:dyDescent="0.3">
      <c r="A27" s="68" t="s">
        <v>716</v>
      </c>
      <c r="B27" s="69">
        <v>1</v>
      </c>
    </row>
    <row r="28" spans="1:2" ht="13.8" x14ac:dyDescent="0.3">
      <c r="A28" s="68" t="s">
        <v>338</v>
      </c>
      <c r="B28" s="69">
        <v>0</v>
      </c>
    </row>
    <row r="29" spans="1:2" ht="13.8" x14ac:dyDescent="0.3">
      <c r="A29" s="68" t="s">
        <v>697</v>
      </c>
      <c r="B29" s="69">
        <v>1</v>
      </c>
    </row>
    <row r="30" spans="1:2" ht="13.8" x14ac:dyDescent="0.3">
      <c r="A30" s="68" t="s">
        <v>591</v>
      </c>
      <c r="B30" s="69">
        <v>1</v>
      </c>
    </row>
    <row r="31" spans="1:2" ht="13.8" x14ac:dyDescent="0.3">
      <c r="A31" s="68" t="s">
        <v>281</v>
      </c>
      <c r="B31" s="69">
        <v>1</v>
      </c>
    </row>
    <row r="32" spans="1:2" ht="13.8" x14ac:dyDescent="0.3">
      <c r="A32" s="68" t="s">
        <v>626</v>
      </c>
      <c r="B32" s="69">
        <v>1</v>
      </c>
    </row>
    <row r="33" spans="1:2" ht="13.8" x14ac:dyDescent="0.3">
      <c r="A33" s="68" t="s">
        <v>485</v>
      </c>
      <c r="B33" s="69">
        <v>1</v>
      </c>
    </row>
    <row r="34" spans="1:2" ht="13.8" x14ac:dyDescent="0.3">
      <c r="A34" s="68" t="s">
        <v>267</v>
      </c>
      <c r="B34" s="69">
        <v>1</v>
      </c>
    </row>
    <row r="35" spans="1:2" ht="13.8" x14ac:dyDescent="0.3">
      <c r="A35" s="68" t="s">
        <v>629</v>
      </c>
      <c r="B35" s="69">
        <v>1</v>
      </c>
    </row>
    <row r="36" spans="1:2" ht="13.8" x14ac:dyDescent="0.3">
      <c r="A36" s="68" t="s">
        <v>247</v>
      </c>
      <c r="B36" s="69">
        <v>1</v>
      </c>
    </row>
    <row r="37" spans="1:2" ht="13.8" x14ac:dyDescent="0.3">
      <c r="A37" s="68" t="s">
        <v>99</v>
      </c>
      <c r="B37" s="69">
        <v>1</v>
      </c>
    </row>
    <row r="38" spans="1:2" ht="13.8" x14ac:dyDescent="0.3">
      <c r="A38" s="68" t="s">
        <v>189</v>
      </c>
      <c r="B38" s="69">
        <v>1</v>
      </c>
    </row>
    <row r="39" spans="1:2" ht="13.8" x14ac:dyDescent="0.3">
      <c r="A39" s="68" t="s">
        <v>194</v>
      </c>
      <c r="B39" s="69">
        <v>1</v>
      </c>
    </row>
    <row r="40" spans="1:2" ht="13.8" x14ac:dyDescent="0.3">
      <c r="A40" s="68" t="s">
        <v>230</v>
      </c>
      <c r="B40" s="69">
        <v>1</v>
      </c>
    </row>
    <row r="41" spans="1:2" ht="13.8" x14ac:dyDescent="0.3">
      <c r="A41" s="68" t="s">
        <v>383</v>
      </c>
      <c r="B41" s="69">
        <v>1</v>
      </c>
    </row>
    <row r="42" spans="1:2" ht="13.8" x14ac:dyDescent="0.3">
      <c r="A42" s="68" t="s">
        <v>477</v>
      </c>
      <c r="B42" s="69">
        <v>1</v>
      </c>
    </row>
    <row r="43" spans="1:2" ht="13.8" x14ac:dyDescent="0.3">
      <c r="A43" s="68" t="s">
        <v>513</v>
      </c>
      <c r="B43" s="69">
        <v>1</v>
      </c>
    </row>
    <row r="44" spans="1:2" ht="13.8" x14ac:dyDescent="0.3">
      <c r="A44" s="68" t="s">
        <v>556</v>
      </c>
      <c r="B44" s="69">
        <v>1</v>
      </c>
    </row>
    <row r="45" spans="1:2" ht="13.8" x14ac:dyDescent="0.3">
      <c r="A45" s="68" t="s">
        <v>571</v>
      </c>
      <c r="B45" s="69">
        <v>1</v>
      </c>
    </row>
    <row r="46" spans="1:2" ht="13.8" x14ac:dyDescent="0.3">
      <c r="A46" s="68" t="s">
        <v>650</v>
      </c>
      <c r="B46" s="69">
        <v>1</v>
      </c>
    </row>
    <row r="47" spans="1:2" ht="13.8" x14ac:dyDescent="0.3">
      <c r="A47" s="68" t="s">
        <v>280</v>
      </c>
      <c r="B47" s="69">
        <v>1</v>
      </c>
    </row>
    <row r="48" spans="1:2" ht="13.8" x14ac:dyDescent="0.3">
      <c r="A48" s="68" t="s">
        <v>714</v>
      </c>
      <c r="B48" s="69">
        <v>1</v>
      </c>
    </row>
    <row r="49" spans="1:2" ht="13.8" x14ac:dyDescent="0.3">
      <c r="A49" s="68" t="s">
        <v>718</v>
      </c>
      <c r="B49" s="69">
        <v>1</v>
      </c>
    </row>
    <row r="50" spans="1:2" ht="13.8" x14ac:dyDescent="0.3">
      <c r="A50" s="68" t="s">
        <v>722</v>
      </c>
      <c r="B50" s="69">
        <v>0</v>
      </c>
    </row>
    <row r="51" spans="1:2" ht="13.8" x14ac:dyDescent="0.3">
      <c r="A51" s="68" t="s">
        <v>726</v>
      </c>
      <c r="B51" s="69">
        <v>0</v>
      </c>
    </row>
  </sheetData>
  <autoFilter ref="A1:A233" xr:uid="{DE6422E7-2FCA-4BA2-AD47-72DB39C5B8BE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CU18"/>
  <sheetViews>
    <sheetView workbookViewId="0"/>
  </sheetViews>
  <sheetFormatPr defaultColWidth="12.6640625" defaultRowHeight="15.75" customHeight="1" x14ac:dyDescent="0.25"/>
  <sheetData>
    <row r="1" spans="1:99" ht="15.75" customHeight="1" x14ac:dyDescent="0.3">
      <c r="A1" s="65" t="s">
        <v>727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1"/>
      <c r="T1" s="21"/>
      <c r="U1" s="21"/>
      <c r="V1" s="21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</row>
    <row r="2" spans="1:99" ht="15.75" customHeight="1" x14ac:dyDescent="0.3">
      <c r="A2" s="13">
        <v>45572.639277974537</v>
      </c>
      <c r="B2" s="14" t="s">
        <v>91</v>
      </c>
      <c r="C2" s="14" t="s">
        <v>143</v>
      </c>
      <c r="D2" s="14" t="s">
        <v>131</v>
      </c>
      <c r="E2" s="14" t="s">
        <v>204</v>
      </c>
      <c r="F2" s="14" t="s">
        <v>95</v>
      </c>
      <c r="G2" s="14" t="s">
        <v>91</v>
      </c>
      <c r="H2" s="14" t="s">
        <v>97</v>
      </c>
      <c r="I2" s="14" t="s">
        <v>96</v>
      </c>
      <c r="J2" s="14" t="s">
        <v>728</v>
      </c>
      <c r="K2" s="14" t="s">
        <v>728</v>
      </c>
      <c r="L2" s="14" t="s">
        <v>729</v>
      </c>
      <c r="M2" s="14" t="s">
        <v>161</v>
      </c>
      <c r="N2" s="14" t="s">
        <v>196</v>
      </c>
      <c r="O2" s="14" t="s">
        <v>191</v>
      </c>
      <c r="P2" s="14" t="s">
        <v>213</v>
      </c>
      <c r="Q2" s="14" t="s">
        <v>106</v>
      </c>
      <c r="R2" s="14" t="s">
        <v>388</v>
      </c>
      <c r="S2" s="15"/>
      <c r="T2" s="15"/>
      <c r="U2" s="15"/>
      <c r="V2" s="15"/>
      <c r="W2" s="14" t="s">
        <v>175</v>
      </c>
      <c r="X2" s="14" t="s">
        <v>163</v>
      </c>
      <c r="Y2" s="14" t="s">
        <v>109</v>
      </c>
      <c r="Z2" s="14" t="s">
        <v>111</v>
      </c>
      <c r="AA2" s="14" t="s">
        <v>111</v>
      </c>
      <c r="AB2" s="14" t="s">
        <v>111</v>
      </c>
      <c r="AC2" s="14" t="s">
        <v>136</v>
      </c>
      <c r="AD2" s="14" t="s">
        <v>113</v>
      </c>
      <c r="AE2" s="14" t="s">
        <v>114</v>
      </c>
      <c r="AF2" s="14" t="s">
        <v>111</v>
      </c>
      <c r="AG2" s="14" t="s">
        <v>110</v>
      </c>
      <c r="AH2" s="14" t="s">
        <v>119</v>
      </c>
      <c r="AI2" s="14" t="s">
        <v>115</v>
      </c>
      <c r="AJ2" s="14" t="s">
        <v>111</v>
      </c>
      <c r="AK2" s="14" t="s">
        <v>117</v>
      </c>
      <c r="AL2" s="14" t="s">
        <v>118</v>
      </c>
      <c r="AM2" s="14" t="s">
        <v>110</v>
      </c>
      <c r="AN2" s="14" t="s">
        <v>120</v>
      </c>
      <c r="AO2" s="14" t="s">
        <v>122</v>
      </c>
      <c r="AP2" s="14" t="s">
        <v>154</v>
      </c>
      <c r="AQ2" s="14" t="s">
        <v>197</v>
      </c>
      <c r="AR2" s="14" t="s">
        <v>225</v>
      </c>
      <c r="AS2" s="14" t="s">
        <v>110</v>
      </c>
      <c r="AT2" s="14" t="s">
        <v>110</v>
      </c>
      <c r="AU2" s="14" t="s">
        <v>110</v>
      </c>
      <c r="AV2" s="14" t="s">
        <v>110</v>
      </c>
      <c r="AW2" s="14" t="s">
        <v>128</v>
      </c>
      <c r="AX2" s="14" t="s">
        <v>126</v>
      </c>
      <c r="AY2" s="14" t="s">
        <v>111</v>
      </c>
      <c r="AZ2" s="14" t="s">
        <v>110</v>
      </c>
      <c r="BA2" s="14" t="s">
        <v>129</v>
      </c>
      <c r="BB2" s="14" t="s">
        <v>119</v>
      </c>
      <c r="BC2" s="14" t="s">
        <v>119</v>
      </c>
      <c r="BD2" s="14" t="s">
        <v>129</v>
      </c>
      <c r="BE2" s="14" t="s">
        <v>111</v>
      </c>
      <c r="BF2" s="14" t="s">
        <v>110</v>
      </c>
      <c r="BG2" s="14" t="s">
        <v>142</v>
      </c>
      <c r="BH2" s="14" t="s">
        <v>110</v>
      </c>
      <c r="BI2" s="14" t="s">
        <v>139</v>
      </c>
      <c r="BJ2" s="14" t="s">
        <v>110</v>
      </c>
      <c r="BK2" s="14" t="s">
        <v>142</v>
      </c>
      <c r="BL2" s="14" t="s">
        <v>140</v>
      </c>
      <c r="BM2" s="14" t="s">
        <v>141</v>
      </c>
      <c r="BN2" s="14" t="s">
        <v>111</v>
      </c>
      <c r="BO2" s="14" t="s">
        <v>142</v>
      </c>
      <c r="BP2" s="14" t="s">
        <v>111</v>
      </c>
      <c r="BQ2" s="14" t="s">
        <v>119</v>
      </c>
      <c r="BR2" s="14" t="s">
        <v>122</v>
      </c>
      <c r="BS2" s="14" t="s">
        <v>126</v>
      </c>
      <c r="BT2" s="14" t="s">
        <v>110</v>
      </c>
      <c r="BU2" s="14" t="s">
        <v>110</v>
      </c>
      <c r="BV2" s="14" t="s">
        <v>115</v>
      </c>
      <c r="BW2" s="14" t="s">
        <v>120</v>
      </c>
      <c r="BX2" s="14" t="s">
        <v>111</v>
      </c>
      <c r="BY2" s="14" t="s">
        <v>115</v>
      </c>
      <c r="BZ2" s="14" t="s">
        <v>111</v>
      </c>
      <c r="CA2" s="14" t="s">
        <v>111</v>
      </c>
      <c r="CB2" s="14" t="s">
        <v>110</v>
      </c>
      <c r="CC2" s="14" t="s">
        <v>120</v>
      </c>
      <c r="CD2" s="14" t="s">
        <v>178</v>
      </c>
      <c r="CE2" s="14" t="s">
        <v>124</v>
      </c>
      <c r="CF2" s="14" t="s">
        <v>110</v>
      </c>
      <c r="CG2" s="14" t="s">
        <v>119</v>
      </c>
      <c r="CH2" s="14" t="s">
        <v>111</v>
      </c>
      <c r="CI2" s="14" t="s">
        <v>119</v>
      </c>
      <c r="CJ2" s="14" t="s">
        <v>110</v>
      </c>
      <c r="CK2" s="14" t="s">
        <v>110</v>
      </c>
      <c r="CL2" s="14" t="s">
        <v>116</v>
      </c>
      <c r="CM2" s="14" t="s">
        <v>111</v>
      </c>
      <c r="CN2" s="14" t="s">
        <v>129</v>
      </c>
      <c r="CO2" s="14" t="s">
        <v>119</v>
      </c>
      <c r="CP2" s="14" t="s">
        <v>111</v>
      </c>
      <c r="CQ2" s="14" t="s">
        <v>129</v>
      </c>
      <c r="CR2" s="14" t="s">
        <v>126</v>
      </c>
      <c r="CS2" s="14" t="s">
        <v>111</v>
      </c>
      <c r="CT2" s="14" t="s">
        <v>120</v>
      </c>
      <c r="CU2" s="59" t="s">
        <v>730</v>
      </c>
    </row>
    <row r="3" spans="1:99" ht="15.75" customHeight="1" x14ac:dyDescent="0.3">
      <c r="A3" s="25">
        <v>45569.164353530097</v>
      </c>
      <c r="B3" s="30" t="s">
        <v>169</v>
      </c>
      <c r="C3" s="26" t="s">
        <v>92</v>
      </c>
      <c r="D3" s="26" t="s">
        <v>93</v>
      </c>
      <c r="E3" s="26" t="s">
        <v>236</v>
      </c>
      <c r="F3" s="26" t="s">
        <v>95</v>
      </c>
      <c r="G3" s="26" t="s">
        <v>169</v>
      </c>
      <c r="H3" s="26" t="s">
        <v>97</v>
      </c>
      <c r="I3" s="26" t="s">
        <v>97</v>
      </c>
      <c r="J3" s="26" t="s">
        <v>646</v>
      </c>
      <c r="K3" s="26" t="s">
        <v>646</v>
      </c>
      <c r="L3" s="28"/>
      <c r="M3" s="26" t="s">
        <v>161</v>
      </c>
      <c r="N3" s="26" t="s">
        <v>173</v>
      </c>
      <c r="O3" s="26" t="s">
        <v>174</v>
      </c>
      <c r="P3" s="26" t="s">
        <v>213</v>
      </c>
      <c r="Q3" s="26" t="s">
        <v>106</v>
      </c>
      <c r="R3" s="26" t="s">
        <v>105</v>
      </c>
      <c r="S3" s="26" t="s">
        <v>731</v>
      </c>
      <c r="T3" s="26" t="s">
        <v>731</v>
      </c>
      <c r="U3" s="26" t="s">
        <v>731</v>
      </c>
      <c r="V3" s="26" t="s">
        <v>732</v>
      </c>
      <c r="W3" s="26" t="s">
        <v>501</v>
      </c>
      <c r="X3" s="26" t="s">
        <v>108</v>
      </c>
      <c r="Y3" s="26" t="s">
        <v>109</v>
      </c>
      <c r="Z3" s="26" t="s">
        <v>119</v>
      </c>
      <c r="AA3" s="26" t="s">
        <v>119</v>
      </c>
      <c r="AB3" s="26" t="s">
        <v>119</v>
      </c>
      <c r="AC3" s="26" t="s">
        <v>320</v>
      </c>
      <c r="AD3" s="26" t="s">
        <v>429</v>
      </c>
      <c r="AE3" s="26" t="s">
        <v>153</v>
      </c>
      <c r="AF3" s="26" t="s">
        <v>110</v>
      </c>
      <c r="AG3" s="26" t="s">
        <v>119</v>
      </c>
      <c r="AH3" s="26" t="s">
        <v>119</v>
      </c>
      <c r="AI3" s="26" t="s">
        <v>111</v>
      </c>
      <c r="AJ3" s="26" t="s">
        <v>129</v>
      </c>
      <c r="AK3" s="26" t="s">
        <v>541</v>
      </c>
      <c r="AL3" s="26" t="s">
        <v>138</v>
      </c>
      <c r="AM3" s="26" t="s">
        <v>119</v>
      </c>
      <c r="AN3" s="26" t="s">
        <v>110</v>
      </c>
      <c r="AO3" s="26" t="s">
        <v>110</v>
      </c>
      <c r="AP3" s="26" t="s">
        <v>154</v>
      </c>
      <c r="AQ3" s="26" t="s">
        <v>197</v>
      </c>
      <c r="AR3" s="26" t="s">
        <v>225</v>
      </c>
      <c r="AS3" s="26" t="s">
        <v>110</v>
      </c>
      <c r="AT3" s="26" t="s">
        <v>110</v>
      </c>
      <c r="AU3" s="26" t="s">
        <v>110</v>
      </c>
      <c r="AV3" s="26" t="s">
        <v>128</v>
      </c>
      <c r="AW3" s="26" t="s">
        <v>123</v>
      </c>
      <c r="AX3" s="26" t="s">
        <v>126</v>
      </c>
      <c r="AY3" s="26" t="s">
        <v>111</v>
      </c>
      <c r="AZ3" s="26" t="s">
        <v>119</v>
      </c>
      <c r="BA3" s="26" t="s">
        <v>111</v>
      </c>
      <c r="BB3" s="26" t="s">
        <v>110</v>
      </c>
      <c r="BC3" s="26" t="s">
        <v>119</v>
      </c>
      <c r="BD3" s="26" t="s">
        <v>111</v>
      </c>
      <c r="BE3" s="26" t="s">
        <v>120</v>
      </c>
      <c r="BF3" s="26" t="s">
        <v>129</v>
      </c>
      <c r="BG3" s="26" t="s">
        <v>214</v>
      </c>
      <c r="BH3" s="26" t="s">
        <v>119</v>
      </c>
      <c r="BI3" s="26" t="s">
        <v>125</v>
      </c>
      <c r="BJ3" s="26" t="s">
        <v>110</v>
      </c>
      <c r="BK3" s="26" t="s">
        <v>214</v>
      </c>
      <c r="BL3" s="26" t="s">
        <v>140</v>
      </c>
      <c r="BM3" s="26" t="s">
        <v>141</v>
      </c>
      <c r="BN3" s="26" t="s">
        <v>110</v>
      </c>
      <c r="BO3" s="26" t="s">
        <v>124</v>
      </c>
      <c r="BP3" s="26" t="s">
        <v>119</v>
      </c>
      <c r="BQ3" s="26" t="s">
        <v>119</v>
      </c>
      <c r="BR3" s="26" t="s">
        <v>122</v>
      </c>
      <c r="BS3" s="26" t="s">
        <v>124</v>
      </c>
      <c r="BT3" s="26" t="s">
        <v>209</v>
      </c>
      <c r="BU3" s="26" t="s">
        <v>119</v>
      </c>
      <c r="BV3" s="26" t="s">
        <v>119</v>
      </c>
      <c r="BW3" s="26" t="s">
        <v>119</v>
      </c>
      <c r="BX3" s="26" t="s">
        <v>119</v>
      </c>
      <c r="BY3" s="26" t="s">
        <v>119</v>
      </c>
      <c r="BZ3" s="26" t="s">
        <v>110</v>
      </c>
      <c r="CA3" s="26" t="s">
        <v>119</v>
      </c>
      <c r="CB3" s="26" t="s">
        <v>119</v>
      </c>
      <c r="CC3" s="26" t="s">
        <v>111</v>
      </c>
      <c r="CD3" s="26" t="s">
        <v>110</v>
      </c>
      <c r="CE3" s="26" t="s">
        <v>125</v>
      </c>
      <c r="CF3" s="26" t="s">
        <v>119</v>
      </c>
      <c r="CG3" s="26" t="s">
        <v>129</v>
      </c>
      <c r="CH3" s="26" t="s">
        <v>119</v>
      </c>
      <c r="CI3" s="26" t="s">
        <v>111</v>
      </c>
      <c r="CJ3" s="26" t="s">
        <v>119</v>
      </c>
      <c r="CK3" s="26" t="s">
        <v>111</v>
      </c>
      <c r="CL3" s="26" t="s">
        <v>110</v>
      </c>
      <c r="CM3" s="26" t="s">
        <v>110</v>
      </c>
      <c r="CN3" s="26" t="s">
        <v>119</v>
      </c>
      <c r="CO3" s="26" t="s">
        <v>110</v>
      </c>
      <c r="CP3" s="26" t="s">
        <v>119</v>
      </c>
      <c r="CQ3" s="26" t="s">
        <v>110</v>
      </c>
      <c r="CR3" s="26" t="s">
        <v>124</v>
      </c>
      <c r="CS3" s="26" t="s">
        <v>119</v>
      </c>
      <c r="CT3" s="26" t="s">
        <v>119</v>
      </c>
      <c r="CU3" s="33"/>
    </row>
    <row r="4" spans="1:99" ht="15.75" customHeight="1" x14ac:dyDescent="0.3">
      <c r="A4" s="39">
        <v>45572.773657488426</v>
      </c>
      <c r="B4" s="36" t="s">
        <v>252</v>
      </c>
      <c r="C4" s="36" t="s">
        <v>391</v>
      </c>
      <c r="D4" s="36" t="s">
        <v>93</v>
      </c>
      <c r="E4" s="36" t="s">
        <v>610</v>
      </c>
      <c r="F4" s="36" t="s">
        <v>95</v>
      </c>
      <c r="G4" s="36" t="s">
        <v>252</v>
      </c>
      <c r="H4" s="36" t="s">
        <v>97</v>
      </c>
      <c r="I4" s="36" t="s">
        <v>97</v>
      </c>
      <c r="J4" s="36" t="s">
        <v>733</v>
      </c>
      <c r="K4" s="36" t="s">
        <v>733</v>
      </c>
      <c r="L4" s="41"/>
      <c r="M4" s="36" t="s">
        <v>149</v>
      </c>
      <c r="N4" s="36" t="s">
        <v>101</v>
      </c>
      <c r="O4" s="36" t="s">
        <v>191</v>
      </c>
      <c r="P4" s="36" t="s">
        <v>150</v>
      </c>
      <c r="Q4" s="36" t="s">
        <v>106</v>
      </c>
      <c r="R4" s="36" t="s">
        <v>388</v>
      </c>
      <c r="S4" s="44"/>
      <c r="T4" s="41"/>
      <c r="U4" s="41"/>
      <c r="V4" s="40" t="s">
        <v>734</v>
      </c>
      <c r="W4" s="36" t="s">
        <v>264</v>
      </c>
      <c r="X4" s="36" t="s">
        <v>163</v>
      </c>
      <c r="Y4" s="36" t="s">
        <v>164</v>
      </c>
      <c r="Z4" s="36" t="s">
        <v>110</v>
      </c>
      <c r="AA4" s="36" t="s">
        <v>119</v>
      </c>
      <c r="AB4" s="36" t="s">
        <v>110</v>
      </c>
      <c r="AC4" s="36" t="s">
        <v>126</v>
      </c>
      <c r="AD4" s="36" t="s">
        <v>429</v>
      </c>
      <c r="AE4" s="36" t="s">
        <v>114</v>
      </c>
      <c r="AF4" s="36" t="s">
        <v>110</v>
      </c>
      <c r="AG4" s="36" t="s">
        <v>168</v>
      </c>
      <c r="AH4" s="36" t="s">
        <v>110</v>
      </c>
      <c r="AI4" s="36" t="s">
        <v>110</v>
      </c>
      <c r="AJ4" s="36" t="s">
        <v>119</v>
      </c>
      <c r="AK4" s="36" t="s">
        <v>221</v>
      </c>
      <c r="AL4" s="36" t="s">
        <v>138</v>
      </c>
      <c r="AM4" s="36" t="s">
        <v>119</v>
      </c>
      <c r="AN4" s="36" t="s">
        <v>168</v>
      </c>
      <c r="AO4" s="36" t="s">
        <v>168</v>
      </c>
      <c r="AP4" s="36" t="s">
        <v>154</v>
      </c>
      <c r="AQ4" s="36" t="s">
        <v>197</v>
      </c>
      <c r="AR4" s="36" t="s">
        <v>128</v>
      </c>
      <c r="AS4" s="36" t="s">
        <v>168</v>
      </c>
      <c r="AT4" s="36" t="s">
        <v>110</v>
      </c>
      <c r="AU4" s="36" t="s">
        <v>168</v>
      </c>
      <c r="AV4" s="36" t="s">
        <v>123</v>
      </c>
      <c r="AW4" s="36" t="s">
        <v>110</v>
      </c>
      <c r="AX4" s="36" t="s">
        <v>126</v>
      </c>
      <c r="AY4" s="36" t="s">
        <v>110</v>
      </c>
      <c r="AZ4" s="36" t="s">
        <v>110</v>
      </c>
      <c r="BA4" s="36" t="s">
        <v>119</v>
      </c>
      <c r="BB4" s="36" t="s">
        <v>110</v>
      </c>
      <c r="BC4" s="36" t="s">
        <v>168</v>
      </c>
      <c r="BD4" s="36" t="s">
        <v>110</v>
      </c>
      <c r="BE4" s="36" t="s">
        <v>110</v>
      </c>
      <c r="BF4" s="36" t="s">
        <v>111</v>
      </c>
      <c r="BG4" s="36" t="s">
        <v>124</v>
      </c>
      <c r="BH4" s="36" t="s">
        <v>111</v>
      </c>
      <c r="BI4" s="36" t="s">
        <v>139</v>
      </c>
      <c r="BJ4" s="36" t="s">
        <v>110</v>
      </c>
      <c r="BK4" s="36" t="s">
        <v>124</v>
      </c>
      <c r="BL4" s="36" t="s">
        <v>140</v>
      </c>
      <c r="BM4" s="36" t="s">
        <v>141</v>
      </c>
      <c r="BN4" s="36" t="s">
        <v>110</v>
      </c>
      <c r="BO4" s="36" t="s">
        <v>124</v>
      </c>
      <c r="BP4" s="36" t="s">
        <v>110</v>
      </c>
      <c r="BQ4" s="36" t="s">
        <v>111</v>
      </c>
      <c r="BR4" s="36" t="s">
        <v>168</v>
      </c>
      <c r="BS4" s="36" t="s">
        <v>126</v>
      </c>
      <c r="BT4" s="36" t="s">
        <v>110</v>
      </c>
      <c r="BU4" s="36" t="s">
        <v>110</v>
      </c>
      <c r="BV4" s="36" t="s">
        <v>110</v>
      </c>
      <c r="BW4" s="36" t="s">
        <v>111</v>
      </c>
      <c r="BX4" s="36" t="s">
        <v>110</v>
      </c>
      <c r="BY4" s="36" t="s">
        <v>110</v>
      </c>
      <c r="BZ4" s="36" t="s">
        <v>110</v>
      </c>
      <c r="CA4" s="36" t="s">
        <v>110</v>
      </c>
      <c r="CB4" s="36" t="s">
        <v>110</v>
      </c>
      <c r="CC4" s="36" t="s">
        <v>111</v>
      </c>
      <c r="CD4" s="36" t="s">
        <v>110</v>
      </c>
      <c r="CE4" s="36" t="s">
        <v>126</v>
      </c>
      <c r="CF4" s="36" t="s">
        <v>110</v>
      </c>
      <c r="CG4" s="36" t="s">
        <v>110</v>
      </c>
      <c r="CH4" s="36" t="s">
        <v>110</v>
      </c>
      <c r="CI4" s="36" t="s">
        <v>110</v>
      </c>
      <c r="CJ4" s="36" t="s">
        <v>119</v>
      </c>
      <c r="CK4" s="36" t="s">
        <v>110</v>
      </c>
      <c r="CL4" s="36" t="s">
        <v>209</v>
      </c>
      <c r="CM4" s="36" t="s">
        <v>110</v>
      </c>
      <c r="CN4" s="36" t="s">
        <v>119</v>
      </c>
      <c r="CO4" s="36" t="s">
        <v>110</v>
      </c>
      <c r="CP4" s="36" t="s">
        <v>111</v>
      </c>
      <c r="CQ4" s="36" t="s">
        <v>110</v>
      </c>
      <c r="CR4" s="36" t="s">
        <v>126</v>
      </c>
      <c r="CS4" s="36" t="s">
        <v>110</v>
      </c>
      <c r="CT4" s="36" t="s">
        <v>110</v>
      </c>
      <c r="CU4" s="41"/>
    </row>
    <row r="5" spans="1:99" ht="15.75" customHeight="1" x14ac:dyDescent="0.3">
      <c r="A5" s="35">
        <v>45560.736211134259</v>
      </c>
      <c r="B5" s="36" t="s">
        <v>252</v>
      </c>
      <c r="C5" s="37" t="s">
        <v>218</v>
      </c>
      <c r="D5" s="37" t="s">
        <v>131</v>
      </c>
      <c r="E5" s="37" t="s">
        <v>735</v>
      </c>
      <c r="F5" s="37" t="s">
        <v>95</v>
      </c>
      <c r="G5" s="37" t="s">
        <v>252</v>
      </c>
      <c r="H5" s="37" t="s">
        <v>171</v>
      </c>
      <c r="I5" s="37" t="s">
        <v>158</v>
      </c>
      <c r="J5" s="37" t="s">
        <v>736</v>
      </c>
      <c r="K5" s="37" t="s">
        <v>737</v>
      </c>
      <c r="L5" s="37" t="s">
        <v>738</v>
      </c>
      <c r="M5" s="37" t="s">
        <v>100</v>
      </c>
      <c r="N5" s="37" t="s">
        <v>173</v>
      </c>
      <c r="O5" s="37" t="s">
        <v>191</v>
      </c>
      <c r="P5" s="37" t="s">
        <v>150</v>
      </c>
      <c r="Q5" s="37" t="s">
        <v>106</v>
      </c>
      <c r="R5" s="37" t="s">
        <v>388</v>
      </c>
      <c r="S5" s="40" t="s">
        <v>739</v>
      </c>
      <c r="T5" s="37" t="s">
        <v>740</v>
      </c>
      <c r="U5" s="40" t="s">
        <v>741</v>
      </c>
      <c r="V5" s="37" t="s">
        <v>271</v>
      </c>
      <c r="W5" s="37" t="s">
        <v>264</v>
      </c>
      <c r="X5" s="37" t="s">
        <v>163</v>
      </c>
      <c r="Y5" s="37" t="s">
        <v>176</v>
      </c>
      <c r="Z5" s="37" t="s">
        <v>111</v>
      </c>
      <c r="AA5" s="37" t="s">
        <v>119</v>
      </c>
      <c r="AB5" s="37" t="s">
        <v>110</v>
      </c>
      <c r="AC5" s="37" t="s">
        <v>112</v>
      </c>
      <c r="AD5" s="37" t="s">
        <v>429</v>
      </c>
      <c r="AE5" s="37" t="s">
        <v>114</v>
      </c>
      <c r="AF5" s="37" t="s">
        <v>111</v>
      </c>
      <c r="AG5" s="37" t="s">
        <v>168</v>
      </c>
      <c r="AH5" s="37" t="s">
        <v>168</v>
      </c>
      <c r="AI5" s="37" t="s">
        <v>110</v>
      </c>
      <c r="AJ5" s="37" t="s">
        <v>111</v>
      </c>
      <c r="AK5" s="37" t="s">
        <v>117</v>
      </c>
      <c r="AL5" s="37" t="s">
        <v>138</v>
      </c>
      <c r="AM5" s="37" t="s">
        <v>111</v>
      </c>
      <c r="AN5" s="37" t="s">
        <v>111</v>
      </c>
      <c r="AO5" s="37" t="s">
        <v>110</v>
      </c>
      <c r="AP5" s="37" t="s">
        <v>110</v>
      </c>
      <c r="AQ5" s="37" t="s">
        <v>110</v>
      </c>
      <c r="AR5" s="37" t="s">
        <v>110</v>
      </c>
      <c r="AS5" s="37" t="s">
        <v>110</v>
      </c>
      <c r="AT5" s="37" t="s">
        <v>110</v>
      </c>
      <c r="AU5" s="37" t="s">
        <v>110</v>
      </c>
      <c r="AV5" s="37" t="s">
        <v>110</v>
      </c>
      <c r="AW5" s="37" t="s">
        <v>110</v>
      </c>
      <c r="AX5" s="37" t="s">
        <v>126</v>
      </c>
      <c r="AY5" s="37" t="s">
        <v>110</v>
      </c>
      <c r="AZ5" s="37" t="s">
        <v>110</v>
      </c>
      <c r="BA5" s="37" t="s">
        <v>119</v>
      </c>
      <c r="BB5" s="37" t="s">
        <v>110</v>
      </c>
      <c r="BC5" s="37" t="s">
        <v>119</v>
      </c>
      <c r="BD5" s="37" t="s">
        <v>119</v>
      </c>
      <c r="BE5" s="37" t="s">
        <v>119</v>
      </c>
      <c r="BF5" s="37" t="s">
        <v>111</v>
      </c>
      <c r="BG5" s="37" t="s">
        <v>124</v>
      </c>
      <c r="BH5" s="37" t="s">
        <v>111</v>
      </c>
      <c r="BI5" s="37" t="s">
        <v>126</v>
      </c>
      <c r="BJ5" s="37" t="s">
        <v>110</v>
      </c>
      <c r="BK5" s="37" t="s">
        <v>125</v>
      </c>
      <c r="BL5" s="37" t="s">
        <v>126</v>
      </c>
      <c r="BM5" s="37" t="s">
        <v>110</v>
      </c>
      <c r="BN5" s="37" t="s">
        <v>110</v>
      </c>
      <c r="BO5" s="37" t="s">
        <v>125</v>
      </c>
      <c r="BP5" s="37" t="s">
        <v>120</v>
      </c>
      <c r="BQ5" s="37" t="s">
        <v>110</v>
      </c>
      <c r="BR5" s="37" t="s">
        <v>110</v>
      </c>
      <c r="BS5" s="37" t="s">
        <v>126</v>
      </c>
      <c r="BT5" s="37" t="s">
        <v>110</v>
      </c>
      <c r="BU5" s="37" t="s">
        <v>111</v>
      </c>
      <c r="BV5" s="37" t="s">
        <v>115</v>
      </c>
      <c r="BW5" s="37" t="s">
        <v>111</v>
      </c>
      <c r="BX5" s="37" t="s">
        <v>111</v>
      </c>
      <c r="BY5" s="37" t="s">
        <v>110</v>
      </c>
      <c r="BZ5" s="37" t="s">
        <v>110</v>
      </c>
      <c r="CA5" s="37" t="s">
        <v>111</v>
      </c>
      <c r="CB5" s="37" t="s">
        <v>110</v>
      </c>
      <c r="CC5" s="37" t="s">
        <v>119</v>
      </c>
      <c r="CD5" s="37" t="s">
        <v>110</v>
      </c>
      <c r="CE5" s="37" t="s">
        <v>126</v>
      </c>
      <c r="CF5" s="37" t="s">
        <v>110</v>
      </c>
      <c r="CG5" s="37" t="s">
        <v>111</v>
      </c>
      <c r="CH5" s="37" t="s">
        <v>110</v>
      </c>
      <c r="CI5" s="37" t="s">
        <v>110</v>
      </c>
      <c r="CJ5" s="37" t="s">
        <v>119</v>
      </c>
      <c r="CK5" s="37" t="s">
        <v>110</v>
      </c>
      <c r="CL5" s="37" t="s">
        <v>110</v>
      </c>
      <c r="CM5" s="37" t="s">
        <v>110</v>
      </c>
      <c r="CN5" s="37" t="s">
        <v>119</v>
      </c>
      <c r="CO5" s="37" t="s">
        <v>110</v>
      </c>
      <c r="CP5" s="37" t="s">
        <v>111</v>
      </c>
      <c r="CQ5" s="37" t="s">
        <v>119</v>
      </c>
      <c r="CR5" s="37" t="s">
        <v>126</v>
      </c>
      <c r="CS5" s="37" t="s">
        <v>110</v>
      </c>
      <c r="CT5" s="37" t="s">
        <v>111</v>
      </c>
      <c r="CU5" s="38"/>
    </row>
    <row r="6" spans="1:99" ht="15.75" customHeight="1" x14ac:dyDescent="0.3">
      <c r="A6" s="39">
        <v>45591.430402233796</v>
      </c>
      <c r="B6" s="36" t="s">
        <v>252</v>
      </c>
      <c r="C6" s="36" t="s">
        <v>218</v>
      </c>
      <c r="D6" s="36" t="s">
        <v>131</v>
      </c>
      <c r="E6" s="36" t="s">
        <v>132</v>
      </c>
      <c r="F6" s="36" t="s">
        <v>95</v>
      </c>
      <c r="G6" s="36" t="s">
        <v>742</v>
      </c>
      <c r="H6" s="36" t="s">
        <v>146</v>
      </c>
      <c r="I6" s="36" t="s">
        <v>158</v>
      </c>
      <c r="J6" s="36" t="s">
        <v>743</v>
      </c>
      <c r="K6" s="36" t="s">
        <v>744</v>
      </c>
      <c r="L6" s="44"/>
      <c r="M6" s="36" t="s">
        <v>100</v>
      </c>
      <c r="N6" s="36" t="s">
        <v>183</v>
      </c>
      <c r="O6" s="36" t="s">
        <v>102</v>
      </c>
      <c r="P6" s="36" t="s">
        <v>103</v>
      </c>
      <c r="Q6" s="36" t="s">
        <v>106</v>
      </c>
      <c r="R6" s="36" t="s">
        <v>388</v>
      </c>
      <c r="S6" s="44"/>
      <c r="T6" s="41"/>
      <c r="U6" s="41"/>
      <c r="V6" s="41"/>
      <c r="W6" s="36" t="s">
        <v>264</v>
      </c>
      <c r="X6" s="36" t="s">
        <v>151</v>
      </c>
      <c r="Y6" s="36" t="s">
        <v>176</v>
      </c>
      <c r="Z6" s="36" t="s">
        <v>110</v>
      </c>
      <c r="AA6" s="36" t="s">
        <v>110</v>
      </c>
      <c r="AB6" s="36" t="s">
        <v>110</v>
      </c>
      <c r="AC6" s="36" t="s">
        <v>126</v>
      </c>
      <c r="AD6" s="36" t="s">
        <v>363</v>
      </c>
      <c r="AE6" s="36" t="s">
        <v>114</v>
      </c>
      <c r="AF6" s="36" t="s">
        <v>110</v>
      </c>
      <c r="AG6" s="36" t="s">
        <v>110</v>
      </c>
      <c r="AH6" s="36" t="s">
        <v>110</v>
      </c>
      <c r="AI6" s="36" t="s">
        <v>110</v>
      </c>
      <c r="AJ6" s="36" t="s">
        <v>110</v>
      </c>
      <c r="AK6" s="36" t="s">
        <v>137</v>
      </c>
      <c r="AL6" s="36" t="s">
        <v>167</v>
      </c>
      <c r="AM6" s="36" t="s">
        <v>111</v>
      </c>
      <c r="AN6" s="36" t="s">
        <v>168</v>
      </c>
      <c r="AO6" s="36" t="s">
        <v>110</v>
      </c>
      <c r="AP6" s="36" t="s">
        <v>128</v>
      </c>
      <c r="AQ6" s="36" t="s">
        <v>128</v>
      </c>
      <c r="AR6" s="36" t="s">
        <v>128</v>
      </c>
      <c r="AS6" s="36" t="s">
        <v>110</v>
      </c>
      <c r="AT6" s="36" t="s">
        <v>110</v>
      </c>
      <c r="AU6" s="36" t="s">
        <v>110</v>
      </c>
      <c r="AV6" s="36" t="s">
        <v>123</v>
      </c>
      <c r="AW6" s="36" t="s">
        <v>110</v>
      </c>
      <c r="AX6" s="36" t="s">
        <v>126</v>
      </c>
      <c r="AY6" s="36" t="s">
        <v>110</v>
      </c>
      <c r="AZ6" s="36" t="s">
        <v>110</v>
      </c>
      <c r="BA6" s="36" t="s">
        <v>110</v>
      </c>
      <c r="BB6" s="36" t="s">
        <v>110</v>
      </c>
      <c r="BC6" s="36" t="s">
        <v>110</v>
      </c>
      <c r="BD6" s="36" t="s">
        <v>110</v>
      </c>
      <c r="BE6" s="36" t="s">
        <v>110</v>
      </c>
      <c r="BF6" s="36" t="s">
        <v>111</v>
      </c>
      <c r="BG6" s="36" t="s">
        <v>126</v>
      </c>
      <c r="BH6" s="36" t="s">
        <v>111</v>
      </c>
      <c r="BI6" s="36" t="s">
        <v>125</v>
      </c>
      <c r="BJ6" s="36" t="s">
        <v>110</v>
      </c>
      <c r="BK6" s="36" t="s">
        <v>126</v>
      </c>
      <c r="BL6" s="36" t="s">
        <v>126</v>
      </c>
      <c r="BM6" s="36" t="s">
        <v>110</v>
      </c>
      <c r="BN6" s="36" t="s">
        <v>119</v>
      </c>
      <c r="BO6" s="36" t="s">
        <v>124</v>
      </c>
      <c r="BP6" s="36" t="s">
        <v>119</v>
      </c>
      <c r="BQ6" s="36" t="s">
        <v>110</v>
      </c>
      <c r="BR6" s="36" t="s">
        <v>110</v>
      </c>
      <c r="BS6" s="36" t="s">
        <v>126</v>
      </c>
      <c r="BT6" s="36" t="s">
        <v>110</v>
      </c>
      <c r="BU6" s="36" t="s">
        <v>110</v>
      </c>
      <c r="BV6" s="36" t="s">
        <v>110</v>
      </c>
      <c r="BW6" s="36" t="s">
        <v>111</v>
      </c>
      <c r="BX6" s="36" t="s">
        <v>110</v>
      </c>
      <c r="BY6" s="36" t="s">
        <v>110</v>
      </c>
      <c r="BZ6" s="36" t="s">
        <v>110</v>
      </c>
      <c r="CA6" s="36" t="s">
        <v>110</v>
      </c>
      <c r="CB6" s="36" t="s">
        <v>110</v>
      </c>
      <c r="CC6" s="36" t="s">
        <v>110</v>
      </c>
      <c r="CD6" s="36" t="s">
        <v>110</v>
      </c>
      <c r="CE6" s="36" t="s">
        <v>126</v>
      </c>
      <c r="CF6" s="36" t="s">
        <v>110</v>
      </c>
      <c r="CG6" s="36" t="s">
        <v>111</v>
      </c>
      <c r="CH6" s="36" t="s">
        <v>110</v>
      </c>
      <c r="CI6" s="36" t="s">
        <v>110</v>
      </c>
      <c r="CJ6" s="36" t="s">
        <v>110</v>
      </c>
      <c r="CK6" s="36" t="s">
        <v>110</v>
      </c>
      <c r="CL6" s="36" t="s">
        <v>209</v>
      </c>
      <c r="CM6" s="36" t="s">
        <v>110</v>
      </c>
      <c r="CN6" s="36" t="s">
        <v>119</v>
      </c>
      <c r="CO6" s="36" t="s">
        <v>110</v>
      </c>
      <c r="CP6" s="36" t="s">
        <v>110</v>
      </c>
      <c r="CQ6" s="36" t="s">
        <v>110</v>
      </c>
      <c r="CR6" s="36" t="s">
        <v>126</v>
      </c>
      <c r="CS6" s="36" t="s">
        <v>110</v>
      </c>
      <c r="CT6" s="36" t="s">
        <v>110</v>
      </c>
      <c r="CU6" s="45"/>
    </row>
    <row r="7" spans="1:99" ht="15.75" customHeight="1" x14ac:dyDescent="0.3">
      <c r="A7" s="52">
        <v>45565.795466805561</v>
      </c>
      <c r="B7" s="47" t="s">
        <v>181</v>
      </c>
      <c r="C7" s="53" t="s">
        <v>92</v>
      </c>
      <c r="D7" s="53" t="s">
        <v>93</v>
      </c>
      <c r="E7" s="53" t="s">
        <v>304</v>
      </c>
      <c r="F7" s="53" t="s">
        <v>95</v>
      </c>
      <c r="G7" s="53" t="s">
        <v>181</v>
      </c>
      <c r="H7" s="53" t="s">
        <v>97</v>
      </c>
      <c r="I7" s="53" t="s">
        <v>97</v>
      </c>
      <c r="J7" s="53" t="s">
        <v>745</v>
      </c>
      <c r="K7" s="53" t="s">
        <v>745</v>
      </c>
      <c r="L7" s="53" t="s">
        <v>746</v>
      </c>
      <c r="M7" s="53" t="s">
        <v>100</v>
      </c>
      <c r="N7" s="53" t="s">
        <v>196</v>
      </c>
      <c r="O7" s="53" t="s">
        <v>191</v>
      </c>
      <c r="P7" s="53" t="s">
        <v>213</v>
      </c>
      <c r="Q7" s="53" t="s">
        <v>106</v>
      </c>
      <c r="R7" s="53" t="s">
        <v>388</v>
      </c>
      <c r="S7" s="49"/>
      <c r="T7" s="53" t="s">
        <v>747</v>
      </c>
      <c r="U7" s="49"/>
      <c r="V7" s="53" t="s">
        <v>201</v>
      </c>
      <c r="W7" s="53" t="s">
        <v>501</v>
      </c>
      <c r="X7" s="53" t="s">
        <v>163</v>
      </c>
      <c r="Y7" s="53" t="s">
        <v>184</v>
      </c>
      <c r="Z7" s="53" t="s">
        <v>110</v>
      </c>
      <c r="AA7" s="53" t="s">
        <v>110</v>
      </c>
      <c r="AB7" s="53" t="s">
        <v>110</v>
      </c>
      <c r="AC7" s="53" t="s">
        <v>126</v>
      </c>
      <c r="AD7" s="53" t="s">
        <v>379</v>
      </c>
      <c r="AE7" s="53" t="s">
        <v>114</v>
      </c>
      <c r="AF7" s="53" t="s">
        <v>110</v>
      </c>
      <c r="AG7" s="53" t="s">
        <v>110</v>
      </c>
      <c r="AH7" s="53" t="s">
        <v>110</v>
      </c>
      <c r="AI7" s="53" t="s">
        <v>110</v>
      </c>
      <c r="AJ7" s="53" t="s">
        <v>110</v>
      </c>
      <c r="AK7" s="53" t="s">
        <v>221</v>
      </c>
      <c r="AL7" s="53" t="s">
        <v>138</v>
      </c>
      <c r="AM7" s="53" t="s">
        <v>110</v>
      </c>
      <c r="AN7" s="53" t="s">
        <v>168</v>
      </c>
      <c r="AO7" s="53" t="s">
        <v>177</v>
      </c>
      <c r="AP7" s="53" t="s">
        <v>154</v>
      </c>
      <c r="AQ7" s="53" t="s">
        <v>197</v>
      </c>
      <c r="AR7" s="53" t="s">
        <v>225</v>
      </c>
      <c r="AS7" s="53" t="s">
        <v>168</v>
      </c>
      <c r="AT7" s="53" t="s">
        <v>110</v>
      </c>
      <c r="AU7" s="53" t="s">
        <v>168</v>
      </c>
      <c r="AV7" s="53" t="s">
        <v>110</v>
      </c>
      <c r="AW7" s="53" t="s">
        <v>110</v>
      </c>
      <c r="AX7" s="53" t="s">
        <v>126</v>
      </c>
      <c r="AY7" s="53" t="s">
        <v>110</v>
      </c>
      <c r="AZ7" s="53" t="s">
        <v>110</v>
      </c>
      <c r="BA7" s="53" t="s">
        <v>110</v>
      </c>
      <c r="BB7" s="53" t="s">
        <v>110</v>
      </c>
      <c r="BC7" s="53" t="s">
        <v>168</v>
      </c>
      <c r="BD7" s="53" t="s">
        <v>110</v>
      </c>
      <c r="BE7" s="53" t="s">
        <v>110</v>
      </c>
      <c r="BF7" s="53" t="s">
        <v>110</v>
      </c>
      <c r="BG7" s="53" t="s">
        <v>126</v>
      </c>
      <c r="BH7" s="53" t="s">
        <v>110</v>
      </c>
      <c r="BI7" s="53" t="s">
        <v>139</v>
      </c>
      <c r="BJ7" s="53" t="s">
        <v>110</v>
      </c>
      <c r="BK7" s="53" t="s">
        <v>168</v>
      </c>
      <c r="BL7" s="53" t="s">
        <v>140</v>
      </c>
      <c r="BM7" s="53" t="s">
        <v>141</v>
      </c>
      <c r="BN7" s="53" t="s">
        <v>110</v>
      </c>
      <c r="BO7" s="53" t="s">
        <v>126</v>
      </c>
      <c r="BP7" s="53" t="s">
        <v>110</v>
      </c>
      <c r="BQ7" s="53" t="s">
        <v>168</v>
      </c>
      <c r="BR7" s="53" t="s">
        <v>168</v>
      </c>
      <c r="BS7" s="53" t="s">
        <v>126</v>
      </c>
      <c r="BT7" s="53" t="s">
        <v>110</v>
      </c>
      <c r="BU7" s="53" t="s">
        <v>110</v>
      </c>
      <c r="BV7" s="53" t="s">
        <v>110</v>
      </c>
      <c r="BW7" s="53" t="s">
        <v>110</v>
      </c>
      <c r="BX7" s="53" t="s">
        <v>110</v>
      </c>
      <c r="BY7" s="53" t="s">
        <v>110</v>
      </c>
      <c r="BZ7" s="53" t="s">
        <v>110</v>
      </c>
      <c r="CA7" s="53" t="s">
        <v>110</v>
      </c>
      <c r="CB7" s="53" t="s">
        <v>110</v>
      </c>
      <c r="CC7" s="53" t="s">
        <v>110</v>
      </c>
      <c r="CD7" s="53" t="s">
        <v>110</v>
      </c>
      <c r="CE7" s="53" t="s">
        <v>126</v>
      </c>
      <c r="CF7" s="53" t="s">
        <v>110</v>
      </c>
      <c r="CG7" s="53" t="s">
        <v>110</v>
      </c>
      <c r="CH7" s="53" t="s">
        <v>110</v>
      </c>
      <c r="CI7" s="53" t="s">
        <v>110</v>
      </c>
      <c r="CJ7" s="53" t="s">
        <v>110</v>
      </c>
      <c r="CK7" s="53" t="s">
        <v>110</v>
      </c>
      <c r="CL7" s="53" t="s">
        <v>110</v>
      </c>
      <c r="CM7" s="53" t="s">
        <v>110</v>
      </c>
      <c r="CN7" s="53" t="s">
        <v>110</v>
      </c>
      <c r="CO7" s="53" t="s">
        <v>110</v>
      </c>
      <c r="CP7" s="53" t="s">
        <v>110</v>
      </c>
      <c r="CQ7" s="53" t="s">
        <v>110</v>
      </c>
      <c r="CR7" s="53" t="s">
        <v>126</v>
      </c>
      <c r="CS7" s="53" t="s">
        <v>110</v>
      </c>
      <c r="CT7" s="53" t="s">
        <v>110</v>
      </c>
      <c r="CU7" s="57" t="s">
        <v>748</v>
      </c>
    </row>
    <row r="8" spans="1:99" ht="15.75" customHeight="1" x14ac:dyDescent="0.3">
      <c r="A8" s="52">
        <v>45575.899040011573</v>
      </c>
      <c r="B8" s="47" t="s">
        <v>181</v>
      </c>
      <c r="C8" s="53" t="s">
        <v>92</v>
      </c>
      <c r="D8" s="53" t="s">
        <v>93</v>
      </c>
      <c r="E8" s="53" t="s">
        <v>336</v>
      </c>
      <c r="F8" s="53" t="s">
        <v>95</v>
      </c>
      <c r="G8" s="53" t="s">
        <v>749</v>
      </c>
      <c r="H8" s="53" t="s">
        <v>97</v>
      </c>
      <c r="I8" s="53" t="s">
        <v>97</v>
      </c>
      <c r="J8" s="53" t="s">
        <v>319</v>
      </c>
      <c r="K8" s="53" t="s">
        <v>361</v>
      </c>
      <c r="L8" s="53" t="s">
        <v>750</v>
      </c>
      <c r="M8" s="53" t="s">
        <v>149</v>
      </c>
      <c r="N8" s="53" t="s">
        <v>196</v>
      </c>
      <c r="O8" s="53" t="s">
        <v>191</v>
      </c>
      <c r="P8" s="53" t="s">
        <v>150</v>
      </c>
      <c r="Q8" s="53" t="s">
        <v>106</v>
      </c>
      <c r="R8" s="53" t="s">
        <v>388</v>
      </c>
      <c r="S8" s="53" t="s">
        <v>106</v>
      </c>
      <c r="T8" s="53" t="s">
        <v>106</v>
      </c>
      <c r="U8" s="53" t="s">
        <v>106</v>
      </c>
      <c r="V8" s="53" t="s">
        <v>201</v>
      </c>
      <c r="W8" s="53" t="s">
        <v>501</v>
      </c>
      <c r="X8" s="53" t="s">
        <v>108</v>
      </c>
      <c r="Y8" s="53" t="s">
        <v>314</v>
      </c>
      <c r="Z8" s="53" t="s">
        <v>110</v>
      </c>
      <c r="AA8" s="53" t="s">
        <v>110</v>
      </c>
      <c r="AB8" s="53" t="s">
        <v>110</v>
      </c>
      <c r="AC8" s="53" t="s">
        <v>126</v>
      </c>
      <c r="AD8" s="53" t="s">
        <v>113</v>
      </c>
      <c r="AE8" s="53" t="s">
        <v>165</v>
      </c>
      <c r="AF8" s="53" t="s">
        <v>110</v>
      </c>
      <c r="AG8" s="53" t="s">
        <v>110</v>
      </c>
      <c r="AH8" s="53" t="s">
        <v>110</v>
      </c>
      <c r="AI8" s="53" t="s">
        <v>110</v>
      </c>
      <c r="AJ8" s="53" t="s">
        <v>116</v>
      </c>
      <c r="AK8" s="53" t="s">
        <v>166</v>
      </c>
      <c r="AL8" s="53" t="s">
        <v>138</v>
      </c>
      <c r="AM8" s="53" t="s">
        <v>110</v>
      </c>
      <c r="AN8" s="53" t="s">
        <v>110</v>
      </c>
      <c r="AO8" s="53" t="s">
        <v>110</v>
      </c>
      <c r="AP8" s="53" t="s">
        <v>110</v>
      </c>
      <c r="AQ8" s="53" t="s">
        <v>110</v>
      </c>
      <c r="AR8" s="53" t="s">
        <v>110</v>
      </c>
      <c r="AS8" s="53" t="s">
        <v>110</v>
      </c>
      <c r="AT8" s="53" t="s">
        <v>110</v>
      </c>
      <c r="AU8" s="53" t="s">
        <v>110</v>
      </c>
      <c r="AV8" s="53" t="s">
        <v>110</v>
      </c>
      <c r="AW8" s="53" t="s">
        <v>110</v>
      </c>
      <c r="AX8" s="53" t="s">
        <v>126</v>
      </c>
      <c r="AY8" s="53" t="s">
        <v>110</v>
      </c>
      <c r="AZ8" s="53" t="s">
        <v>110</v>
      </c>
      <c r="BA8" s="53" t="s">
        <v>110</v>
      </c>
      <c r="BB8" s="53" t="s">
        <v>110</v>
      </c>
      <c r="BC8" s="53" t="s">
        <v>110</v>
      </c>
      <c r="BD8" s="53" t="s">
        <v>110</v>
      </c>
      <c r="BE8" s="53" t="s">
        <v>110</v>
      </c>
      <c r="BF8" s="53" t="s">
        <v>110</v>
      </c>
      <c r="BG8" s="53" t="s">
        <v>126</v>
      </c>
      <c r="BH8" s="53" t="s">
        <v>110</v>
      </c>
      <c r="BI8" s="53" t="s">
        <v>126</v>
      </c>
      <c r="BJ8" s="53" t="s">
        <v>110</v>
      </c>
      <c r="BK8" s="53" t="s">
        <v>126</v>
      </c>
      <c r="BL8" s="53" t="s">
        <v>126</v>
      </c>
      <c r="BM8" s="53" t="s">
        <v>110</v>
      </c>
      <c r="BN8" s="53" t="s">
        <v>110</v>
      </c>
      <c r="BO8" s="53" t="s">
        <v>126</v>
      </c>
      <c r="BP8" s="53" t="s">
        <v>110</v>
      </c>
      <c r="BQ8" s="53" t="s">
        <v>110</v>
      </c>
      <c r="BR8" s="53" t="s">
        <v>110</v>
      </c>
      <c r="BS8" s="53" t="s">
        <v>126</v>
      </c>
      <c r="BT8" s="53" t="s">
        <v>110</v>
      </c>
      <c r="BU8" s="53" t="s">
        <v>110</v>
      </c>
      <c r="BV8" s="53" t="s">
        <v>110</v>
      </c>
      <c r="BW8" s="53" t="s">
        <v>110</v>
      </c>
      <c r="BX8" s="53" t="s">
        <v>110</v>
      </c>
      <c r="BY8" s="53" t="s">
        <v>110</v>
      </c>
      <c r="BZ8" s="53" t="s">
        <v>110</v>
      </c>
      <c r="CA8" s="53" t="s">
        <v>110</v>
      </c>
      <c r="CB8" s="53" t="s">
        <v>110</v>
      </c>
      <c r="CC8" s="53" t="s">
        <v>110</v>
      </c>
      <c r="CD8" s="53" t="s">
        <v>110</v>
      </c>
      <c r="CE8" s="53" t="s">
        <v>126</v>
      </c>
      <c r="CF8" s="53" t="s">
        <v>110</v>
      </c>
      <c r="CG8" s="53" t="s">
        <v>110</v>
      </c>
      <c r="CH8" s="53" t="s">
        <v>110</v>
      </c>
      <c r="CI8" s="53" t="s">
        <v>110</v>
      </c>
      <c r="CJ8" s="53" t="s">
        <v>110</v>
      </c>
      <c r="CK8" s="53" t="s">
        <v>110</v>
      </c>
      <c r="CL8" s="53" t="s">
        <v>110</v>
      </c>
      <c r="CM8" s="53" t="s">
        <v>110</v>
      </c>
      <c r="CN8" s="53" t="s">
        <v>110</v>
      </c>
      <c r="CO8" s="53" t="s">
        <v>110</v>
      </c>
      <c r="CP8" s="53" t="s">
        <v>110</v>
      </c>
      <c r="CQ8" s="53" t="s">
        <v>110</v>
      </c>
      <c r="CR8" s="53" t="s">
        <v>126</v>
      </c>
      <c r="CS8" s="53" t="s">
        <v>110</v>
      </c>
      <c r="CT8" s="53" t="s">
        <v>110</v>
      </c>
      <c r="CU8" s="49"/>
    </row>
    <row r="9" spans="1:99" ht="15.75" customHeight="1" x14ac:dyDescent="0.3">
      <c r="A9" s="46">
        <v>45562.999609317128</v>
      </c>
      <c r="B9" s="47" t="s">
        <v>181</v>
      </c>
      <c r="C9" s="47" t="s">
        <v>143</v>
      </c>
      <c r="D9" s="47" t="s">
        <v>93</v>
      </c>
      <c r="E9" s="47" t="s">
        <v>304</v>
      </c>
      <c r="F9" s="47" t="s">
        <v>95</v>
      </c>
      <c r="G9" s="47" t="s">
        <v>305</v>
      </c>
      <c r="H9" s="47" t="s">
        <v>171</v>
      </c>
      <c r="I9" s="47" t="s">
        <v>158</v>
      </c>
      <c r="J9" s="47" t="s">
        <v>751</v>
      </c>
      <c r="K9" s="47" t="s">
        <v>751</v>
      </c>
      <c r="L9" s="49"/>
      <c r="M9" s="47" t="s">
        <v>161</v>
      </c>
      <c r="N9" s="47" t="s">
        <v>101</v>
      </c>
      <c r="O9" s="47" t="s">
        <v>191</v>
      </c>
      <c r="P9" s="47" t="s">
        <v>135</v>
      </c>
      <c r="Q9" s="47" t="s">
        <v>106</v>
      </c>
      <c r="R9" s="47" t="s">
        <v>388</v>
      </c>
      <c r="S9" s="49"/>
      <c r="T9" s="48"/>
      <c r="U9" s="48"/>
      <c r="V9" s="48"/>
      <c r="W9" s="47" t="s">
        <v>264</v>
      </c>
      <c r="X9" s="47" t="s">
        <v>163</v>
      </c>
      <c r="Y9" s="47" t="s">
        <v>176</v>
      </c>
      <c r="Z9" s="47" t="s">
        <v>110</v>
      </c>
      <c r="AA9" s="47" t="s">
        <v>110</v>
      </c>
      <c r="AB9" s="47" t="s">
        <v>110</v>
      </c>
      <c r="AC9" s="47" t="s">
        <v>126</v>
      </c>
      <c r="AD9" s="47" t="s">
        <v>363</v>
      </c>
      <c r="AE9" s="47" t="s">
        <v>114</v>
      </c>
      <c r="AF9" s="47" t="s">
        <v>111</v>
      </c>
      <c r="AG9" s="47" t="s">
        <v>111</v>
      </c>
      <c r="AH9" s="47" t="s">
        <v>111</v>
      </c>
      <c r="AI9" s="47" t="s">
        <v>111</v>
      </c>
      <c r="AJ9" s="47" t="s">
        <v>111</v>
      </c>
      <c r="AK9" s="47" t="s">
        <v>137</v>
      </c>
      <c r="AL9" s="47" t="s">
        <v>118</v>
      </c>
      <c r="AM9" s="47" t="s">
        <v>111</v>
      </c>
      <c r="AN9" s="47" t="s">
        <v>110</v>
      </c>
      <c r="AO9" s="47" t="s">
        <v>110</v>
      </c>
      <c r="AP9" s="47" t="s">
        <v>110</v>
      </c>
      <c r="AQ9" s="47" t="s">
        <v>110</v>
      </c>
      <c r="AR9" s="47" t="s">
        <v>110</v>
      </c>
      <c r="AS9" s="47" t="s">
        <v>110</v>
      </c>
      <c r="AT9" s="47" t="s">
        <v>110</v>
      </c>
      <c r="AU9" s="47" t="s">
        <v>110</v>
      </c>
      <c r="AV9" s="47" t="s">
        <v>110</v>
      </c>
      <c r="AW9" s="47" t="s">
        <v>110</v>
      </c>
      <c r="AX9" s="47" t="s">
        <v>126</v>
      </c>
      <c r="AY9" s="47" t="s">
        <v>110</v>
      </c>
      <c r="AZ9" s="47" t="s">
        <v>110</v>
      </c>
      <c r="BA9" s="47" t="s">
        <v>110</v>
      </c>
      <c r="BB9" s="47" t="s">
        <v>110</v>
      </c>
      <c r="BC9" s="47" t="s">
        <v>110</v>
      </c>
      <c r="BD9" s="47" t="s">
        <v>110</v>
      </c>
      <c r="BE9" s="47" t="s">
        <v>110</v>
      </c>
      <c r="BF9" s="47" t="s">
        <v>110</v>
      </c>
      <c r="BG9" s="47" t="s">
        <v>126</v>
      </c>
      <c r="BH9" s="47" t="s">
        <v>110</v>
      </c>
      <c r="BI9" s="47" t="s">
        <v>126</v>
      </c>
      <c r="BJ9" s="47" t="s">
        <v>110</v>
      </c>
      <c r="BK9" s="47" t="s">
        <v>126</v>
      </c>
      <c r="BL9" s="47" t="s">
        <v>126</v>
      </c>
      <c r="BM9" s="47" t="s">
        <v>110</v>
      </c>
      <c r="BN9" s="47" t="s">
        <v>110</v>
      </c>
      <c r="BO9" s="47" t="s">
        <v>126</v>
      </c>
      <c r="BP9" s="47" t="s">
        <v>110</v>
      </c>
      <c r="BQ9" s="47" t="s">
        <v>110</v>
      </c>
      <c r="BR9" s="47" t="s">
        <v>110</v>
      </c>
      <c r="BS9" s="47" t="s">
        <v>126</v>
      </c>
      <c r="BT9" s="47" t="s">
        <v>110</v>
      </c>
      <c r="BU9" s="47" t="s">
        <v>111</v>
      </c>
      <c r="BV9" s="47" t="s">
        <v>111</v>
      </c>
      <c r="BW9" s="47" t="s">
        <v>120</v>
      </c>
      <c r="BX9" s="47" t="s">
        <v>111</v>
      </c>
      <c r="BY9" s="47" t="s">
        <v>111</v>
      </c>
      <c r="BZ9" s="47" t="s">
        <v>115</v>
      </c>
      <c r="CA9" s="47" t="s">
        <v>115</v>
      </c>
      <c r="CB9" s="47" t="s">
        <v>115</v>
      </c>
      <c r="CC9" s="47" t="s">
        <v>111</v>
      </c>
      <c r="CD9" s="47" t="s">
        <v>123</v>
      </c>
      <c r="CE9" s="47" t="s">
        <v>203</v>
      </c>
      <c r="CF9" s="47" t="s">
        <v>111</v>
      </c>
      <c r="CG9" s="47" t="s">
        <v>115</v>
      </c>
      <c r="CH9" s="47" t="s">
        <v>111</v>
      </c>
      <c r="CI9" s="47" t="s">
        <v>119</v>
      </c>
      <c r="CJ9" s="47" t="s">
        <v>111</v>
      </c>
      <c r="CK9" s="47" t="s">
        <v>110</v>
      </c>
      <c r="CL9" s="47" t="s">
        <v>127</v>
      </c>
      <c r="CM9" s="47" t="s">
        <v>111</v>
      </c>
      <c r="CN9" s="47" t="s">
        <v>111</v>
      </c>
      <c r="CO9" s="47" t="s">
        <v>111</v>
      </c>
      <c r="CP9" s="47" t="s">
        <v>111</v>
      </c>
      <c r="CQ9" s="47" t="s">
        <v>119</v>
      </c>
      <c r="CR9" s="47" t="s">
        <v>126</v>
      </c>
      <c r="CS9" s="47" t="s">
        <v>115</v>
      </c>
      <c r="CT9" s="47" t="s">
        <v>120</v>
      </c>
      <c r="CU9" s="51"/>
    </row>
    <row r="10" spans="1:99" ht="15.75" customHeight="1" x14ac:dyDescent="0.3">
      <c r="A10" s="52">
        <v>45564.820092256945</v>
      </c>
      <c r="B10" s="47" t="s">
        <v>181</v>
      </c>
      <c r="C10" s="53" t="s">
        <v>391</v>
      </c>
      <c r="D10" s="53" t="s">
        <v>131</v>
      </c>
      <c r="E10" s="53" t="s">
        <v>199</v>
      </c>
      <c r="F10" s="53" t="s">
        <v>95</v>
      </c>
      <c r="G10" s="53" t="s">
        <v>181</v>
      </c>
      <c r="H10" s="53" t="s">
        <v>97</v>
      </c>
      <c r="I10" s="53" t="s">
        <v>97</v>
      </c>
      <c r="J10" s="53" t="s">
        <v>403</v>
      </c>
      <c r="K10" s="53" t="s">
        <v>752</v>
      </c>
      <c r="L10" s="54"/>
      <c r="M10" s="53" t="s">
        <v>100</v>
      </c>
      <c r="N10" s="53" t="s">
        <v>101</v>
      </c>
      <c r="O10" s="53" t="s">
        <v>191</v>
      </c>
      <c r="P10" s="53" t="s">
        <v>150</v>
      </c>
      <c r="Q10" s="53" t="s">
        <v>106</v>
      </c>
      <c r="R10" s="53" t="s">
        <v>388</v>
      </c>
      <c r="S10" s="49"/>
      <c r="T10" s="53" t="s">
        <v>753</v>
      </c>
      <c r="U10" s="54"/>
      <c r="V10" s="49"/>
      <c r="W10" s="53" t="s">
        <v>264</v>
      </c>
      <c r="X10" s="53" t="s">
        <v>163</v>
      </c>
      <c r="Y10" s="53" t="s">
        <v>184</v>
      </c>
      <c r="Z10" s="53" t="s">
        <v>119</v>
      </c>
      <c r="AA10" s="53" t="s">
        <v>129</v>
      </c>
      <c r="AB10" s="53" t="s">
        <v>129</v>
      </c>
      <c r="AC10" s="53" t="s">
        <v>320</v>
      </c>
      <c r="AD10" s="53" t="s">
        <v>363</v>
      </c>
      <c r="AE10" s="53" t="s">
        <v>235</v>
      </c>
      <c r="AF10" s="53" t="s">
        <v>129</v>
      </c>
      <c r="AG10" s="53" t="s">
        <v>119</v>
      </c>
      <c r="AH10" s="53" t="s">
        <v>129</v>
      </c>
      <c r="AI10" s="53" t="s">
        <v>119</v>
      </c>
      <c r="AJ10" s="53" t="s">
        <v>119</v>
      </c>
      <c r="AK10" s="53" t="s">
        <v>541</v>
      </c>
      <c r="AL10" s="53" t="s">
        <v>138</v>
      </c>
      <c r="AM10" s="53" t="s">
        <v>119</v>
      </c>
      <c r="AN10" s="53" t="s">
        <v>110</v>
      </c>
      <c r="AO10" s="53" t="s">
        <v>128</v>
      </c>
      <c r="AP10" s="53" t="s">
        <v>110</v>
      </c>
      <c r="AQ10" s="53" t="s">
        <v>122</v>
      </c>
      <c r="AR10" s="53" t="s">
        <v>122</v>
      </c>
      <c r="AS10" s="53" t="s">
        <v>177</v>
      </c>
      <c r="AT10" s="53" t="s">
        <v>123</v>
      </c>
      <c r="AU10" s="53" t="s">
        <v>177</v>
      </c>
      <c r="AV10" s="53" t="s">
        <v>178</v>
      </c>
      <c r="AW10" s="53" t="s">
        <v>123</v>
      </c>
      <c r="AX10" s="53" t="s">
        <v>125</v>
      </c>
      <c r="AY10" s="53" t="s">
        <v>111</v>
      </c>
      <c r="AZ10" s="53" t="s">
        <v>119</v>
      </c>
      <c r="BA10" s="53" t="s">
        <v>110</v>
      </c>
      <c r="BB10" s="53" t="s">
        <v>110</v>
      </c>
      <c r="BC10" s="53" t="s">
        <v>111</v>
      </c>
      <c r="BD10" s="53" t="s">
        <v>110</v>
      </c>
      <c r="BE10" s="53" t="s">
        <v>110</v>
      </c>
      <c r="BF10" s="53" t="s">
        <v>111</v>
      </c>
      <c r="BG10" s="53" t="s">
        <v>126</v>
      </c>
      <c r="BH10" s="53" t="s">
        <v>110</v>
      </c>
      <c r="BI10" s="53" t="s">
        <v>124</v>
      </c>
      <c r="BJ10" s="53" t="s">
        <v>110</v>
      </c>
      <c r="BK10" s="53" t="s">
        <v>124</v>
      </c>
      <c r="BL10" s="53" t="s">
        <v>124</v>
      </c>
      <c r="BM10" s="53" t="s">
        <v>177</v>
      </c>
      <c r="BN10" s="53" t="s">
        <v>119</v>
      </c>
      <c r="BO10" s="53" t="s">
        <v>214</v>
      </c>
      <c r="BP10" s="53" t="s">
        <v>119</v>
      </c>
      <c r="BQ10" s="53" t="s">
        <v>120</v>
      </c>
      <c r="BR10" s="53" t="s">
        <v>122</v>
      </c>
      <c r="BS10" s="53" t="s">
        <v>126</v>
      </c>
      <c r="BT10" s="53" t="s">
        <v>110</v>
      </c>
      <c r="BU10" s="53" t="s">
        <v>110</v>
      </c>
      <c r="BV10" s="53" t="s">
        <v>119</v>
      </c>
      <c r="BW10" s="53" t="s">
        <v>110</v>
      </c>
      <c r="BX10" s="53" t="s">
        <v>119</v>
      </c>
      <c r="BY10" s="53" t="s">
        <v>129</v>
      </c>
      <c r="BZ10" s="53" t="s">
        <v>110</v>
      </c>
      <c r="CA10" s="53" t="s">
        <v>119</v>
      </c>
      <c r="CB10" s="53" t="s">
        <v>110</v>
      </c>
      <c r="CC10" s="53" t="s">
        <v>119</v>
      </c>
      <c r="CD10" s="53" t="s">
        <v>128</v>
      </c>
      <c r="CE10" s="53" t="s">
        <v>125</v>
      </c>
      <c r="CF10" s="53" t="s">
        <v>110</v>
      </c>
      <c r="CG10" s="53" t="s">
        <v>119</v>
      </c>
      <c r="CH10" s="53" t="s">
        <v>119</v>
      </c>
      <c r="CI10" s="53" t="s">
        <v>111</v>
      </c>
      <c r="CJ10" s="53" t="s">
        <v>119</v>
      </c>
      <c r="CK10" s="53" t="s">
        <v>111</v>
      </c>
      <c r="CL10" s="53" t="s">
        <v>209</v>
      </c>
      <c r="CM10" s="53" t="s">
        <v>110</v>
      </c>
      <c r="CN10" s="53" t="s">
        <v>119</v>
      </c>
      <c r="CO10" s="53" t="s">
        <v>119</v>
      </c>
      <c r="CP10" s="53" t="s">
        <v>119</v>
      </c>
      <c r="CQ10" s="53" t="s">
        <v>119</v>
      </c>
      <c r="CR10" s="53" t="s">
        <v>125</v>
      </c>
      <c r="CS10" s="53" t="s">
        <v>119</v>
      </c>
      <c r="CT10" s="53" t="s">
        <v>119</v>
      </c>
      <c r="CU10" s="49"/>
    </row>
    <row r="11" spans="1:99" ht="15.75" customHeight="1" x14ac:dyDescent="0.3">
      <c r="A11" s="46">
        <v>45565.690242569442</v>
      </c>
      <c r="B11" s="47" t="s">
        <v>181</v>
      </c>
      <c r="C11" s="47" t="s">
        <v>92</v>
      </c>
      <c r="D11" s="47" t="s">
        <v>131</v>
      </c>
      <c r="E11" s="47" t="s">
        <v>426</v>
      </c>
      <c r="F11" s="47" t="s">
        <v>95</v>
      </c>
      <c r="G11" s="47" t="s">
        <v>157</v>
      </c>
      <c r="H11" s="47" t="s">
        <v>97</v>
      </c>
      <c r="I11" s="47" t="s">
        <v>97</v>
      </c>
      <c r="J11" s="47" t="s">
        <v>754</v>
      </c>
      <c r="K11" s="47" t="s">
        <v>755</v>
      </c>
      <c r="L11" s="47" t="s">
        <v>756</v>
      </c>
      <c r="M11" s="47" t="s">
        <v>100</v>
      </c>
      <c r="N11" s="47" t="s">
        <v>183</v>
      </c>
      <c r="O11" s="47" t="s">
        <v>102</v>
      </c>
      <c r="P11" s="47" t="s">
        <v>135</v>
      </c>
      <c r="Q11" s="47" t="s">
        <v>106</v>
      </c>
      <c r="R11" s="47" t="s">
        <v>388</v>
      </c>
      <c r="S11" s="47" t="s">
        <v>234</v>
      </c>
      <c r="T11" s="50" t="s">
        <v>757</v>
      </c>
      <c r="U11" s="50" t="s">
        <v>234</v>
      </c>
      <c r="V11" s="50" t="s">
        <v>758</v>
      </c>
      <c r="W11" s="47" t="s">
        <v>501</v>
      </c>
      <c r="X11" s="47" t="s">
        <v>163</v>
      </c>
      <c r="Y11" s="47" t="s">
        <v>184</v>
      </c>
      <c r="Z11" s="47" t="s">
        <v>110</v>
      </c>
      <c r="AA11" s="47" t="s">
        <v>110</v>
      </c>
      <c r="AB11" s="47" t="s">
        <v>111</v>
      </c>
      <c r="AC11" s="47" t="s">
        <v>320</v>
      </c>
      <c r="AD11" s="47" t="s">
        <v>152</v>
      </c>
      <c r="AE11" s="47" t="s">
        <v>114</v>
      </c>
      <c r="AF11" s="47" t="s">
        <v>110</v>
      </c>
      <c r="AG11" s="47" t="s">
        <v>110</v>
      </c>
      <c r="AH11" s="47" t="s">
        <v>110</v>
      </c>
      <c r="AI11" s="47" t="s">
        <v>129</v>
      </c>
      <c r="AJ11" s="47" t="s">
        <v>111</v>
      </c>
      <c r="AK11" s="47" t="s">
        <v>117</v>
      </c>
      <c r="AL11" s="47" t="s">
        <v>167</v>
      </c>
      <c r="AM11" s="47" t="s">
        <v>110</v>
      </c>
      <c r="AN11" s="47" t="s">
        <v>168</v>
      </c>
      <c r="AO11" s="47" t="s">
        <v>122</v>
      </c>
      <c r="AP11" s="47" t="s">
        <v>128</v>
      </c>
      <c r="AQ11" s="47" t="s">
        <v>128</v>
      </c>
      <c r="AR11" s="47" t="s">
        <v>110</v>
      </c>
      <c r="AS11" s="47" t="s">
        <v>122</v>
      </c>
      <c r="AT11" s="47" t="s">
        <v>123</v>
      </c>
      <c r="AU11" s="47" t="s">
        <v>110</v>
      </c>
      <c r="AV11" s="47" t="s">
        <v>128</v>
      </c>
      <c r="AW11" s="47" t="s">
        <v>123</v>
      </c>
      <c r="AX11" s="47" t="s">
        <v>203</v>
      </c>
      <c r="AY11" s="47" t="s">
        <v>111</v>
      </c>
      <c r="AZ11" s="47" t="s">
        <v>111</v>
      </c>
      <c r="BA11" s="47" t="s">
        <v>110</v>
      </c>
      <c r="BB11" s="47" t="s">
        <v>110</v>
      </c>
      <c r="BC11" s="47" t="s">
        <v>119</v>
      </c>
      <c r="BD11" s="47" t="s">
        <v>111</v>
      </c>
      <c r="BE11" s="47" t="s">
        <v>110</v>
      </c>
      <c r="BF11" s="47" t="s">
        <v>110</v>
      </c>
      <c r="BG11" s="47" t="s">
        <v>142</v>
      </c>
      <c r="BH11" s="47" t="s">
        <v>111</v>
      </c>
      <c r="BI11" s="47" t="s">
        <v>142</v>
      </c>
      <c r="BJ11" s="47" t="s">
        <v>111</v>
      </c>
      <c r="BK11" s="47" t="s">
        <v>125</v>
      </c>
      <c r="BL11" s="47" t="s">
        <v>142</v>
      </c>
      <c r="BM11" s="47" t="s">
        <v>110</v>
      </c>
      <c r="BN11" s="47" t="s">
        <v>110</v>
      </c>
      <c r="BO11" s="47" t="s">
        <v>124</v>
      </c>
      <c r="BP11" s="47" t="s">
        <v>119</v>
      </c>
      <c r="BQ11" s="47" t="s">
        <v>119</v>
      </c>
      <c r="BR11" s="47" t="s">
        <v>110</v>
      </c>
      <c r="BS11" s="47" t="s">
        <v>126</v>
      </c>
      <c r="BT11" s="47" t="s">
        <v>127</v>
      </c>
      <c r="BU11" s="47" t="s">
        <v>110</v>
      </c>
      <c r="BV11" s="47" t="s">
        <v>110</v>
      </c>
      <c r="BW11" s="47" t="s">
        <v>110</v>
      </c>
      <c r="BX11" s="47" t="s">
        <v>110</v>
      </c>
      <c r="BY11" s="47" t="s">
        <v>111</v>
      </c>
      <c r="BZ11" s="47" t="s">
        <v>110</v>
      </c>
      <c r="CA11" s="47" t="s">
        <v>110</v>
      </c>
      <c r="CB11" s="47" t="s">
        <v>110</v>
      </c>
      <c r="CC11" s="47" t="s">
        <v>119</v>
      </c>
      <c r="CD11" s="47" t="s">
        <v>110</v>
      </c>
      <c r="CE11" s="47" t="s">
        <v>124</v>
      </c>
      <c r="CF11" s="47" t="s">
        <v>115</v>
      </c>
      <c r="CG11" s="47" t="s">
        <v>110</v>
      </c>
      <c r="CH11" s="47" t="s">
        <v>110</v>
      </c>
      <c r="CI11" s="47" t="s">
        <v>129</v>
      </c>
      <c r="CJ11" s="47" t="s">
        <v>110</v>
      </c>
      <c r="CK11" s="47" t="s">
        <v>110</v>
      </c>
      <c r="CL11" s="47" t="s">
        <v>110</v>
      </c>
      <c r="CM11" s="47" t="s">
        <v>110</v>
      </c>
      <c r="CN11" s="47" t="s">
        <v>119</v>
      </c>
      <c r="CO11" s="47" t="s">
        <v>110</v>
      </c>
      <c r="CP11" s="47" t="s">
        <v>110</v>
      </c>
      <c r="CQ11" s="47" t="s">
        <v>129</v>
      </c>
      <c r="CR11" s="47" t="s">
        <v>125</v>
      </c>
      <c r="CS11" s="47" t="s">
        <v>110</v>
      </c>
      <c r="CT11" s="47" t="s">
        <v>110</v>
      </c>
      <c r="CU11" s="49"/>
    </row>
    <row r="12" spans="1:99" ht="15.75" customHeight="1" x14ac:dyDescent="0.3">
      <c r="A12" s="52">
        <v>45564.963255567127</v>
      </c>
      <c r="B12" s="47" t="s">
        <v>181</v>
      </c>
      <c r="C12" s="53" t="s">
        <v>143</v>
      </c>
      <c r="D12" s="53" t="s">
        <v>93</v>
      </c>
      <c r="E12" s="53" t="s">
        <v>759</v>
      </c>
      <c r="F12" s="53" t="s">
        <v>95</v>
      </c>
      <c r="G12" s="53" t="s">
        <v>181</v>
      </c>
      <c r="H12" s="53" t="s">
        <v>171</v>
      </c>
      <c r="I12" s="53" t="s">
        <v>158</v>
      </c>
      <c r="J12" s="53" t="s">
        <v>361</v>
      </c>
      <c r="K12" s="53" t="s">
        <v>361</v>
      </c>
      <c r="L12" s="49"/>
      <c r="M12" s="53" t="s">
        <v>100</v>
      </c>
      <c r="N12" s="53" t="s">
        <v>101</v>
      </c>
      <c r="O12" s="53" t="s">
        <v>191</v>
      </c>
      <c r="P12" s="53" t="s">
        <v>213</v>
      </c>
      <c r="Q12" s="53" t="s">
        <v>106</v>
      </c>
      <c r="R12" s="53" t="s">
        <v>388</v>
      </c>
      <c r="S12" s="53" t="s">
        <v>760</v>
      </c>
      <c r="T12" s="50" t="s">
        <v>760</v>
      </c>
      <c r="U12" s="50" t="s">
        <v>761</v>
      </c>
      <c r="V12" s="50" t="s">
        <v>762</v>
      </c>
      <c r="W12" s="53" t="s">
        <v>175</v>
      </c>
      <c r="X12" s="53" t="s">
        <v>163</v>
      </c>
      <c r="Y12" s="53" t="s">
        <v>164</v>
      </c>
      <c r="Z12" s="53" t="s">
        <v>110</v>
      </c>
      <c r="AA12" s="53" t="s">
        <v>110</v>
      </c>
      <c r="AB12" s="53" t="s">
        <v>110</v>
      </c>
      <c r="AC12" s="53" t="s">
        <v>126</v>
      </c>
      <c r="AD12" s="53" t="s">
        <v>379</v>
      </c>
      <c r="AE12" s="53" t="s">
        <v>153</v>
      </c>
      <c r="AF12" s="53" t="s">
        <v>110</v>
      </c>
      <c r="AG12" s="53" t="s">
        <v>110</v>
      </c>
      <c r="AH12" s="53" t="s">
        <v>110</v>
      </c>
      <c r="AI12" s="53" t="s">
        <v>110</v>
      </c>
      <c r="AJ12" s="53" t="s">
        <v>119</v>
      </c>
      <c r="AK12" s="53" t="s">
        <v>117</v>
      </c>
      <c r="AL12" s="53" t="s">
        <v>138</v>
      </c>
      <c r="AM12" s="53" t="s">
        <v>119</v>
      </c>
      <c r="AN12" s="53" t="s">
        <v>110</v>
      </c>
      <c r="AO12" s="53" t="s">
        <v>110</v>
      </c>
      <c r="AP12" s="53" t="s">
        <v>154</v>
      </c>
      <c r="AQ12" s="53" t="s">
        <v>197</v>
      </c>
      <c r="AR12" s="53" t="s">
        <v>225</v>
      </c>
      <c r="AS12" s="53" t="s">
        <v>110</v>
      </c>
      <c r="AT12" s="53" t="s">
        <v>123</v>
      </c>
      <c r="AU12" s="53" t="s">
        <v>110</v>
      </c>
      <c r="AV12" s="53" t="s">
        <v>123</v>
      </c>
      <c r="AW12" s="53" t="s">
        <v>123</v>
      </c>
      <c r="AX12" s="53" t="s">
        <v>126</v>
      </c>
      <c r="AY12" s="53" t="s">
        <v>110</v>
      </c>
      <c r="AZ12" s="53" t="s">
        <v>110</v>
      </c>
      <c r="BA12" s="53" t="s">
        <v>119</v>
      </c>
      <c r="BB12" s="53" t="s">
        <v>110</v>
      </c>
      <c r="BC12" s="53" t="s">
        <v>119</v>
      </c>
      <c r="BD12" s="53" t="s">
        <v>119</v>
      </c>
      <c r="BE12" s="53" t="s">
        <v>119</v>
      </c>
      <c r="BF12" s="53" t="s">
        <v>111</v>
      </c>
      <c r="BG12" s="53" t="s">
        <v>124</v>
      </c>
      <c r="BH12" s="53" t="s">
        <v>111</v>
      </c>
      <c r="BI12" s="53" t="s">
        <v>139</v>
      </c>
      <c r="BJ12" s="53" t="s">
        <v>119</v>
      </c>
      <c r="BK12" s="53" t="s">
        <v>126</v>
      </c>
      <c r="BL12" s="53" t="s">
        <v>140</v>
      </c>
      <c r="BM12" s="53" t="s">
        <v>141</v>
      </c>
      <c r="BN12" s="53" t="s">
        <v>110</v>
      </c>
      <c r="BO12" s="53" t="s">
        <v>124</v>
      </c>
      <c r="BP12" s="53" t="s">
        <v>120</v>
      </c>
      <c r="BQ12" s="53" t="s">
        <v>111</v>
      </c>
      <c r="BR12" s="53" t="s">
        <v>110</v>
      </c>
      <c r="BS12" s="53" t="s">
        <v>126</v>
      </c>
      <c r="BT12" s="53" t="s">
        <v>110</v>
      </c>
      <c r="BU12" s="53" t="s">
        <v>115</v>
      </c>
      <c r="BV12" s="53" t="s">
        <v>110</v>
      </c>
      <c r="BW12" s="53" t="s">
        <v>120</v>
      </c>
      <c r="BX12" s="53" t="s">
        <v>110</v>
      </c>
      <c r="BY12" s="53" t="s">
        <v>110</v>
      </c>
      <c r="BZ12" s="53" t="s">
        <v>110</v>
      </c>
      <c r="CA12" s="53" t="s">
        <v>111</v>
      </c>
      <c r="CB12" s="53" t="s">
        <v>110</v>
      </c>
      <c r="CC12" s="53" t="s">
        <v>110</v>
      </c>
      <c r="CD12" s="53" t="s">
        <v>110</v>
      </c>
      <c r="CE12" s="53" t="s">
        <v>126</v>
      </c>
      <c r="CF12" s="53" t="s">
        <v>110</v>
      </c>
      <c r="CG12" s="53" t="s">
        <v>111</v>
      </c>
      <c r="CH12" s="53" t="s">
        <v>110</v>
      </c>
      <c r="CI12" s="53" t="s">
        <v>119</v>
      </c>
      <c r="CJ12" s="53" t="s">
        <v>110</v>
      </c>
      <c r="CK12" s="53" t="s">
        <v>110</v>
      </c>
      <c r="CL12" s="53" t="s">
        <v>127</v>
      </c>
      <c r="CM12" s="53" t="s">
        <v>110</v>
      </c>
      <c r="CN12" s="53" t="s">
        <v>110</v>
      </c>
      <c r="CO12" s="53" t="s">
        <v>110</v>
      </c>
      <c r="CP12" s="53" t="s">
        <v>110</v>
      </c>
      <c r="CQ12" s="53" t="s">
        <v>119</v>
      </c>
      <c r="CR12" s="53" t="s">
        <v>126</v>
      </c>
      <c r="CS12" s="53" t="s">
        <v>110</v>
      </c>
      <c r="CT12" s="53" t="s">
        <v>110</v>
      </c>
      <c r="CU12" s="50" t="s">
        <v>763</v>
      </c>
    </row>
    <row r="13" spans="1:99" ht="15.75" customHeight="1" x14ac:dyDescent="0.3">
      <c r="A13" s="46">
        <v>45575.899200486107</v>
      </c>
      <c r="B13" s="47" t="s">
        <v>181</v>
      </c>
      <c r="C13" s="47" t="s">
        <v>143</v>
      </c>
      <c r="D13" s="47" t="s">
        <v>93</v>
      </c>
      <c r="E13" s="47" t="s">
        <v>764</v>
      </c>
      <c r="F13" s="47" t="s">
        <v>95</v>
      </c>
      <c r="G13" s="47" t="s">
        <v>181</v>
      </c>
      <c r="H13" s="47" t="s">
        <v>171</v>
      </c>
      <c r="I13" s="47" t="s">
        <v>158</v>
      </c>
      <c r="J13" s="47" t="s">
        <v>765</v>
      </c>
      <c r="K13" s="47" t="s">
        <v>765</v>
      </c>
      <c r="L13" s="49"/>
      <c r="M13" s="47" t="s">
        <v>100</v>
      </c>
      <c r="N13" s="47" t="s">
        <v>101</v>
      </c>
      <c r="O13" s="47" t="s">
        <v>174</v>
      </c>
      <c r="P13" s="47" t="s">
        <v>162</v>
      </c>
      <c r="Q13" s="47" t="s">
        <v>106</v>
      </c>
      <c r="R13" s="47" t="s">
        <v>388</v>
      </c>
      <c r="S13" s="48"/>
      <c r="T13" s="48"/>
      <c r="U13" s="48"/>
      <c r="V13" s="48"/>
      <c r="W13" s="47" t="s">
        <v>264</v>
      </c>
      <c r="X13" s="47" t="s">
        <v>163</v>
      </c>
      <c r="Y13" s="47" t="s">
        <v>109</v>
      </c>
      <c r="Z13" s="47" t="s">
        <v>129</v>
      </c>
      <c r="AA13" s="47" t="s">
        <v>129</v>
      </c>
      <c r="AB13" s="47" t="s">
        <v>129</v>
      </c>
      <c r="AC13" s="47" t="s">
        <v>136</v>
      </c>
      <c r="AD13" s="47" t="s">
        <v>152</v>
      </c>
      <c r="AE13" s="47" t="s">
        <v>202</v>
      </c>
      <c r="AF13" s="47" t="s">
        <v>206</v>
      </c>
      <c r="AG13" s="47" t="s">
        <v>119</v>
      </c>
      <c r="AH13" s="47" t="s">
        <v>119</v>
      </c>
      <c r="AI13" s="47" t="s">
        <v>129</v>
      </c>
      <c r="AJ13" s="47" t="s">
        <v>119</v>
      </c>
      <c r="AK13" s="47" t="s">
        <v>221</v>
      </c>
      <c r="AL13" s="47" t="s">
        <v>118</v>
      </c>
      <c r="AM13" s="47" t="s">
        <v>119</v>
      </c>
      <c r="AN13" s="47" t="s">
        <v>119</v>
      </c>
      <c r="AO13" s="47" t="s">
        <v>128</v>
      </c>
      <c r="AP13" s="47" t="s">
        <v>110</v>
      </c>
      <c r="AQ13" s="47" t="s">
        <v>121</v>
      </c>
      <c r="AR13" s="47" t="s">
        <v>121</v>
      </c>
      <c r="AS13" s="47" t="s">
        <v>128</v>
      </c>
      <c r="AT13" s="47" t="s">
        <v>123</v>
      </c>
      <c r="AU13" s="47" t="s">
        <v>121</v>
      </c>
      <c r="AV13" s="47" t="s">
        <v>128</v>
      </c>
      <c r="AW13" s="47" t="s">
        <v>110</v>
      </c>
      <c r="AX13" s="47" t="s">
        <v>125</v>
      </c>
      <c r="AY13" s="47" t="s">
        <v>111</v>
      </c>
      <c r="AZ13" s="47" t="s">
        <v>119</v>
      </c>
      <c r="BA13" s="47" t="s">
        <v>119</v>
      </c>
      <c r="BB13" s="47" t="s">
        <v>119</v>
      </c>
      <c r="BC13" s="47" t="s">
        <v>110</v>
      </c>
      <c r="BD13" s="47" t="s">
        <v>111</v>
      </c>
      <c r="BE13" s="47" t="s">
        <v>111</v>
      </c>
      <c r="BF13" s="47" t="s">
        <v>110</v>
      </c>
      <c r="BG13" s="47" t="s">
        <v>124</v>
      </c>
      <c r="BH13" s="47" t="s">
        <v>119</v>
      </c>
      <c r="BI13" s="47" t="s">
        <v>125</v>
      </c>
      <c r="BJ13" s="47" t="s">
        <v>111</v>
      </c>
      <c r="BK13" s="47" t="s">
        <v>214</v>
      </c>
      <c r="BL13" s="47" t="s">
        <v>126</v>
      </c>
      <c r="BM13" s="47" t="s">
        <v>141</v>
      </c>
      <c r="BN13" s="47" t="s">
        <v>119</v>
      </c>
      <c r="BO13" s="47" t="s">
        <v>125</v>
      </c>
      <c r="BP13" s="47" t="s">
        <v>119</v>
      </c>
      <c r="BQ13" s="47" t="s">
        <v>120</v>
      </c>
      <c r="BR13" s="47" t="s">
        <v>128</v>
      </c>
      <c r="BS13" s="47" t="s">
        <v>124</v>
      </c>
      <c r="BT13" s="47" t="s">
        <v>127</v>
      </c>
      <c r="BU13" s="47" t="s">
        <v>119</v>
      </c>
      <c r="BV13" s="47" t="s">
        <v>119</v>
      </c>
      <c r="BW13" s="47" t="s">
        <v>111</v>
      </c>
      <c r="BX13" s="47" t="s">
        <v>110</v>
      </c>
      <c r="BY13" s="47" t="s">
        <v>110</v>
      </c>
      <c r="BZ13" s="47" t="s">
        <v>110</v>
      </c>
      <c r="CA13" s="47" t="s">
        <v>119</v>
      </c>
      <c r="CB13" s="47" t="s">
        <v>119</v>
      </c>
      <c r="CC13" s="47" t="s">
        <v>111</v>
      </c>
      <c r="CD13" s="47" t="s">
        <v>110</v>
      </c>
      <c r="CE13" s="47" t="s">
        <v>125</v>
      </c>
      <c r="CF13" s="47" t="s">
        <v>119</v>
      </c>
      <c r="CG13" s="47" t="s">
        <v>111</v>
      </c>
      <c r="CH13" s="47" t="s">
        <v>119</v>
      </c>
      <c r="CI13" s="47" t="s">
        <v>110</v>
      </c>
      <c r="CJ13" s="47" t="s">
        <v>119</v>
      </c>
      <c r="CK13" s="47" t="s">
        <v>111</v>
      </c>
      <c r="CL13" s="47" t="s">
        <v>127</v>
      </c>
      <c r="CM13" s="47" t="s">
        <v>110</v>
      </c>
      <c r="CN13" s="47" t="s">
        <v>111</v>
      </c>
      <c r="CO13" s="47" t="s">
        <v>110</v>
      </c>
      <c r="CP13" s="47" t="s">
        <v>119</v>
      </c>
      <c r="CQ13" s="47" t="s">
        <v>111</v>
      </c>
      <c r="CR13" s="47" t="s">
        <v>126</v>
      </c>
      <c r="CS13" s="47" t="s">
        <v>110</v>
      </c>
      <c r="CT13" s="47" t="s">
        <v>110</v>
      </c>
      <c r="CU13" s="51"/>
    </row>
    <row r="14" spans="1:99" ht="15.75" customHeight="1" x14ac:dyDescent="0.3">
      <c r="A14" s="52">
        <v>45573.283081539354</v>
      </c>
      <c r="B14" s="47" t="s">
        <v>181</v>
      </c>
      <c r="C14" s="53" t="s">
        <v>92</v>
      </c>
      <c r="D14" s="53" t="s">
        <v>93</v>
      </c>
      <c r="E14" s="53" t="s">
        <v>304</v>
      </c>
      <c r="F14" s="53" t="s">
        <v>95</v>
      </c>
      <c r="G14" s="53" t="s">
        <v>181</v>
      </c>
      <c r="H14" s="53" t="s">
        <v>97</v>
      </c>
      <c r="I14" s="53" t="s">
        <v>96</v>
      </c>
      <c r="J14" s="53" t="s">
        <v>766</v>
      </c>
      <c r="K14" s="53" t="s">
        <v>378</v>
      </c>
      <c r="L14" s="53" t="s">
        <v>767</v>
      </c>
      <c r="M14" s="53" t="s">
        <v>100</v>
      </c>
      <c r="N14" s="53" t="s">
        <v>101</v>
      </c>
      <c r="O14" s="53" t="s">
        <v>102</v>
      </c>
      <c r="P14" s="53" t="s">
        <v>103</v>
      </c>
      <c r="Q14" s="53" t="s">
        <v>106</v>
      </c>
      <c r="R14" s="53" t="s">
        <v>388</v>
      </c>
      <c r="S14" s="53" t="s">
        <v>768</v>
      </c>
      <c r="T14" s="53" t="s">
        <v>768</v>
      </c>
      <c r="U14" s="53" t="s">
        <v>768</v>
      </c>
      <c r="V14" s="53" t="s">
        <v>308</v>
      </c>
      <c r="W14" s="53" t="s">
        <v>175</v>
      </c>
      <c r="X14" s="53" t="s">
        <v>163</v>
      </c>
      <c r="Y14" s="53" t="s">
        <v>314</v>
      </c>
      <c r="Z14" s="53" t="s">
        <v>110</v>
      </c>
      <c r="AA14" s="53" t="s">
        <v>110</v>
      </c>
      <c r="AB14" s="53" t="s">
        <v>110</v>
      </c>
      <c r="AC14" s="53" t="s">
        <v>126</v>
      </c>
      <c r="AD14" s="53" t="s">
        <v>152</v>
      </c>
      <c r="AE14" s="53" t="s">
        <v>114</v>
      </c>
      <c r="AF14" s="53" t="s">
        <v>110</v>
      </c>
      <c r="AG14" s="53" t="s">
        <v>110</v>
      </c>
      <c r="AH14" s="53" t="s">
        <v>110</v>
      </c>
      <c r="AI14" s="53" t="s">
        <v>110</v>
      </c>
      <c r="AJ14" s="53" t="s">
        <v>110</v>
      </c>
      <c r="AK14" s="53" t="s">
        <v>117</v>
      </c>
      <c r="AL14" s="53" t="s">
        <v>138</v>
      </c>
      <c r="AM14" s="53" t="s">
        <v>110</v>
      </c>
      <c r="AN14" s="53" t="s">
        <v>110</v>
      </c>
      <c r="AO14" s="53" t="s">
        <v>110</v>
      </c>
      <c r="AP14" s="53" t="s">
        <v>110</v>
      </c>
      <c r="AQ14" s="53" t="s">
        <v>110</v>
      </c>
      <c r="AR14" s="53" t="s">
        <v>110</v>
      </c>
      <c r="AS14" s="53" t="s">
        <v>110</v>
      </c>
      <c r="AT14" s="53" t="s">
        <v>110</v>
      </c>
      <c r="AU14" s="53" t="s">
        <v>110</v>
      </c>
      <c r="AV14" s="53" t="s">
        <v>110</v>
      </c>
      <c r="AW14" s="53" t="s">
        <v>110</v>
      </c>
      <c r="AX14" s="53" t="s">
        <v>126</v>
      </c>
      <c r="AY14" s="53" t="s">
        <v>110</v>
      </c>
      <c r="AZ14" s="53" t="s">
        <v>110</v>
      </c>
      <c r="BA14" s="53" t="s">
        <v>110</v>
      </c>
      <c r="BB14" s="53" t="s">
        <v>110</v>
      </c>
      <c r="BC14" s="53" t="s">
        <v>110</v>
      </c>
      <c r="BD14" s="53" t="s">
        <v>110</v>
      </c>
      <c r="BE14" s="53" t="s">
        <v>110</v>
      </c>
      <c r="BF14" s="53" t="s">
        <v>110</v>
      </c>
      <c r="BG14" s="53" t="s">
        <v>126</v>
      </c>
      <c r="BH14" s="53" t="s">
        <v>110</v>
      </c>
      <c r="BI14" s="53" t="s">
        <v>126</v>
      </c>
      <c r="BJ14" s="53" t="s">
        <v>110</v>
      </c>
      <c r="BK14" s="53" t="s">
        <v>126</v>
      </c>
      <c r="BL14" s="53" t="s">
        <v>125</v>
      </c>
      <c r="BM14" s="53" t="s">
        <v>110</v>
      </c>
      <c r="BN14" s="53" t="s">
        <v>110</v>
      </c>
      <c r="BO14" s="53" t="s">
        <v>126</v>
      </c>
      <c r="BP14" s="53" t="s">
        <v>110</v>
      </c>
      <c r="BQ14" s="53" t="s">
        <v>110</v>
      </c>
      <c r="BR14" s="53" t="s">
        <v>122</v>
      </c>
      <c r="BS14" s="53" t="s">
        <v>126</v>
      </c>
      <c r="BT14" s="53" t="s">
        <v>110</v>
      </c>
      <c r="BU14" s="53" t="s">
        <v>110</v>
      </c>
      <c r="BV14" s="53" t="s">
        <v>110</v>
      </c>
      <c r="BW14" s="53" t="s">
        <v>110</v>
      </c>
      <c r="BX14" s="53" t="s">
        <v>110</v>
      </c>
      <c r="BY14" s="53" t="s">
        <v>110</v>
      </c>
      <c r="BZ14" s="53" t="s">
        <v>110</v>
      </c>
      <c r="CA14" s="53" t="s">
        <v>110</v>
      </c>
      <c r="CB14" s="53" t="s">
        <v>110</v>
      </c>
      <c r="CC14" s="53" t="s">
        <v>110</v>
      </c>
      <c r="CD14" s="53" t="s">
        <v>110</v>
      </c>
      <c r="CE14" s="53" t="s">
        <v>126</v>
      </c>
      <c r="CF14" s="53" t="s">
        <v>110</v>
      </c>
      <c r="CG14" s="53" t="s">
        <v>110</v>
      </c>
      <c r="CH14" s="53" t="s">
        <v>110</v>
      </c>
      <c r="CI14" s="53" t="s">
        <v>110</v>
      </c>
      <c r="CJ14" s="53" t="s">
        <v>110</v>
      </c>
      <c r="CK14" s="53" t="s">
        <v>110</v>
      </c>
      <c r="CL14" s="53" t="s">
        <v>110</v>
      </c>
      <c r="CM14" s="53" t="s">
        <v>110</v>
      </c>
      <c r="CN14" s="53" t="s">
        <v>110</v>
      </c>
      <c r="CO14" s="53" t="s">
        <v>110</v>
      </c>
      <c r="CP14" s="53" t="s">
        <v>110</v>
      </c>
      <c r="CQ14" s="53" t="s">
        <v>110</v>
      </c>
      <c r="CR14" s="53" t="s">
        <v>126</v>
      </c>
      <c r="CS14" s="53" t="s">
        <v>110</v>
      </c>
      <c r="CT14" s="53" t="s">
        <v>110</v>
      </c>
      <c r="CU14" s="56"/>
    </row>
    <row r="15" spans="1:99" ht="15.75" customHeight="1" x14ac:dyDescent="0.3">
      <c r="A15" s="46">
        <v>45562.848494259262</v>
      </c>
      <c r="B15" s="47" t="s">
        <v>181</v>
      </c>
      <c r="C15" s="47" t="s">
        <v>92</v>
      </c>
      <c r="D15" s="47" t="s">
        <v>131</v>
      </c>
      <c r="E15" s="47" t="s">
        <v>769</v>
      </c>
      <c r="F15" s="47" t="s">
        <v>95</v>
      </c>
      <c r="G15" s="47" t="s">
        <v>181</v>
      </c>
      <c r="H15" s="47" t="s">
        <v>96</v>
      </c>
      <c r="I15" s="47" t="s">
        <v>96</v>
      </c>
      <c r="J15" s="47" t="s">
        <v>770</v>
      </c>
      <c r="K15" s="47" t="s">
        <v>770</v>
      </c>
      <c r="L15" s="50" t="s">
        <v>771</v>
      </c>
      <c r="M15" s="47" t="s">
        <v>161</v>
      </c>
      <c r="N15" s="47" t="s">
        <v>196</v>
      </c>
      <c r="O15" s="47" t="s">
        <v>174</v>
      </c>
      <c r="P15" s="47" t="s">
        <v>162</v>
      </c>
      <c r="Q15" s="47" t="s">
        <v>106</v>
      </c>
      <c r="R15" s="47" t="s">
        <v>388</v>
      </c>
      <c r="S15" s="49"/>
      <c r="T15" s="48"/>
      <c r="U15" s="49"/>
      <c r="V15" s="49"/>
      <c r="W15" s="47" t="s">
        <v>175</v>
      </c>
      <c r="X15" s="47" t="s">
        <v>163</v>
      </c>
      <c r="Y15" s="47" t="s">
        <v>164</v>
      </c>
      <c r="Z15" s="47" t="s">
        <v>110</v>
      </c>
      <c r="AA15" s="47" t="s">
        <v>110</v>
      </c>
      <c r="AB15" s="47" t="s">
        <v>110</v>
      </c>
      <c r="AC15" s="47" t="s">
        <v>126</v>
      </c>
      <c r="AD15" s="47" t="s">
        <v>363</v>
      </c>
      <c r="AE15" s="47" t="s">
        <v>153</v>
      </c>
      <c r="AF15" s="47" t="s">
        <v>111</v>
      </c>
      <c r="AG15" s="47" t="s">
        <v>168</v>
      </c>
      <c r="AH15" s="47" t="s">
        <v>168</v>
      </c>
      <c r="AI15" s="47" t="s">
        <v>110</v>
      </c>
      <c r="AJ15" s="47" t="s">
        <v>110</v>
      </c>
      <c r="AK15" s="47" t="s">
        <v>137</v>
      </c>
      <c r="AL15" s="47" t="s">
        <v>138</v>
      </c>
      <c r="AM15" s="47" t="s">
        <v>110</v>
      </c>
      <c r="AN15" s="47" t="s">
        <v>110</v>
      </c>
      <c r="AO15" s="47" t="s">
        <v>168</v>
      </c>
      <c r="AP15" s="47" t="s">
        <v>154</v>
      </c>
      <c r="AQ15" s="47" t="s">
        <v>197</v>
      </c>
      <c r="AR15" s="47" t="s">
        <v>110</v>
      </c>
      <c r="AS15" s="47" t="s">
        <v>168</v>
      </c>
      <c r="AT15" s="47" t="s">
        <v>110</v>
      </c>
      <c r="AU15" s="47" t="s">
        <v>168</v>
      </c>
      <c r="AV15" s="47" t="s">
        <v>110</v>
      </c>
      <c r="AW15" s="47" t="s">
        <v>110</v>
      </c>
      <c r="AX15" s="47" t="s">
        <v>126</v>
      </c>
      <c r="AY15" s="47" t="s">
        <v>110</v>
      </c>
      <c r="AZ15" s="47" t="s">
        <v>110</v>
      </c>
      <c r="BA15" s="47" t="s">
        <v>119</v>
      </c>
      <c r="BB15" s="47" t="s">
        <v>111</v>
      </c>
      <c r="BC15" s="47" t="s">
        <v>168</v>
      </c>
      <c r="BD15" s="47" t="s">
        <v>119</v>
      </c>
      <c r="BE15" s="47" t="s">
        <v>110</v>
      </c>
      <c r="BF15" s="47" t="s">
        <v>120</v>
      </c>
      <c r="BG15" s="47" t="s">
        <v>126</v>
      </c>
      <c r="BH15" s="47" t="s">
        <v>110</v>
      </c>
      <c r="BI15" s="47" t="s">
        <v>139</v>
      </c>
      <c r="BJ15" s="47" t="s">
        <v>110</v>
      </c>
      <c r="BK15" s="47" t="s">
        <v>168</v>
      </c>
      <c r="BL15" s="47" t="s">
        <v>140</v>
      </c>
      <c r="BM15" s="47" t="s">
        <v>110</v>
      </c>
      <c r="BN15" s="47" t="s">
        <v>110</v>
      </c>
      <c r="BO15" s="47" t="s">
        <v>126</v>
      </c>
      <c r="BP15" s="47" t="s">
        <v>120</v>
      </c>
      <c r="BQ15" s="47" t="s">
        <v>168</v>
      </c>
      <c r="BR15" s="47" t="s">
        <v>168</v>
      </c>
      <c r="BS15" s="47" t="s">
        <v>126</v>
      </c>
      <c r="BT15" s="47" t="s">
        <v>110</v>
      </c>
      <c r="BU15" s="47" t="s">
        <v>110</v>
      </c>
      <c r="BV15" s="47" t="s">
        <v>110</v>
      </c>
      <c r="BW15" s="47" t="s">
        <v>110</v>
      </c>
      <c r="BX15" s="47" t="s">
        <v>110</v>
      </c>
      <c r="BY15" s="47" t="s">
        <v>110</v>
      </c>
      <c r="BZ15" s="47" t="s">
        <v>110</v>
      </c>
      <c r="CA15" s="47" t="s">
        <v>110</v>
      </c>
      <c r="CB15" s="47" t="s">
        <v>110</v>
      </c>
      <c r="CC15" s="47" t="s">
        <v>110</v>
      </c>
      <c r="CD15" s="47" t="s">
        <v>110</v>
      </c>
      <c r="CE15" s="47" t="s">
        <v>126</v>
      </c>
      <c r="CF15" s="47" t="s">
        <v>110</v>
      </c>
      <c r="CG15" s="47" t="s">
        <v>110</v>
      </c>
      <c r="CH15" s="47" t="s">
        <v>110</v>
      </c>
      <c r="CI15" s="47" t="s">
        <v>110</v>
      </c>
      <c r="CJ15" s="47" t="s">
        <v>110</v>
      </c>
      <c r="CK15" s="47" t="s">
        <v>110</v>
      </c>
      <c r="CL15" s="47" t="s">
        <v>110</v>
      </c>
      <c r="CM15" s="47" t="s">
        <v>110</v>
      </c>
      <c r="CN15" s="47" t="s">
        <v>110</v>
      </c>
      <c r="CO15" s="47" t="s">
        <v>110</v>
      </c>
      <c r="CP15" s="47" t="s">
        <v>110</v>
      </c>
      <c r="CQ15" s="47" t="s">
        <v>110</v>
      </c>
      <c r="CR15" s="47" t="s">
        <v>126</v>
      </c>
      <c r="CS15" s="47" t="s">
        <v>110</v>
      </c>
      <c r="CT15" s="47" t="s">
        <v>110</v>
      </c>
      <c r="CU15" s="49"/>
    </row>
    <row r="16" spans="1:99" ht="15.75" customHeight="1" x14ac:dyDescent="0.3">
      <c r="A16" s="52">
        <v>45572.895445208334</v>
      </c>
      <c r="B16" s="47" t="s">
        <v>181</v>
      </c>
      <c r="C16" s="53" t="s">
        <v>143</v>
      </c>
      <c r="D16" s="53" t="s">
        <v>93</v>
      </c>
      <c r="E16" s="53" t="s">
        <v>304</v>
      </c>
      <c r="F16" s="53" t="s">
        <v>145</v>
      </c>
      <c r="G16" s="53" t="s">
        <v>181</v>
      </c>
      <c r="H16" s="53" t="s">
        <v>96</v>
      </c>
      <c r="I16" s="53" t="s">
        <v>96</v>
      </c>
      <c r="J16" s="53" t="s">
        <v>772</v>
      </c>
      <c r="K16" s="53" t="s">
        <v>772</v>
      </c>
      <c r="L16" s="50" t="s">
        <v>773</v>
      </c>
      <c r="M16" s="53" t="s">
        <v>190</v>
      </c>
      <c r="N16" s="53" t="s">
        <v>173</v>
      </c>
      <c r="O16" s="53" t="s">
        <v>174</v>
      </c>
      <c r="P16" s="53" t="s">
        <v>213</v>
      </c>
      <c r="Q16" s="53" t="s">
        <v>106</v>
      </c>
      <c r="R16" s="53" t="s">
        <v>388</v>
      </c>
      <c r="S16" s="50" t="s">
        <v>774</v>
      </c>
      <c r="T16" s="50" t="s">
        <v>775</v>
      </c>
      <c r="U16" s="50" t="s">
        <v>775</v>
      </c>
      <c r="V16" s="50" t="s">
        <v>776</v>
      </c>
      <c r="W16" s="53" t="s">
        <v>107</v>
      </c>
      <c r="X16" s="53" t="s">
        <v>163</v>
      </c>
      <c r="Y16" s="53" t="s">
        <v>314</v>
      </c>
      <c r="Z16" s="53" t="s">
        <v>110</v>
      </c>
      <c r="AA16" s="53" t="s">
        <v>110</v>
      </c>
      <c r="AB16" s="53" t="s">
        <v>110</v>
      </c>
      <c r="AC16" s="53" t="s">
        <v>126</v>
      </c>
      <c r="AD16" s="53" t="s">
        <v>429</v>
      </c>
      <c r="AE16" s="53" t="s">
        <v>114</v>
      </c>
      <c r="AF16" s="53" t="s">
        <v>111</v>
      </c>
      <c r="AG16" s="53" t="s">
        <v>111</v>
      </c>
      <c r="AH16" s="53" t="s">
        <v>115</v>
      </c>
      <c r="AI16" s="53" t="s">
        <v>110</v>
      </c>
      <c r="AJ16" s="53" t="s">
        <v>116</v>
      </c>
      <c r="AK16" s="53" t="s">
        <v>117</v>
      </c>
      <c r="AL16" s="53" t="s">
        <v>167</v>
      </c>
      <c r="AM16" s="53" t="s">
        <v>120</v>
      </c>
      <c r="AN16" s="53" t="s">
        <v>120</v>
      </c>
      <c r="AO16" s="53" t="s">
        <v>128</v>
      </c>
      <c r="AP16" s="53" t="s">
        <v>121</v>
      </c>
      <c r="AQ16" s="53" t="s">
        <v>128</v>
      </c>
      <c r="AR16" s="53" t="s">
        <v>128</v>
      </c>
      <c r="AS16" s="53" t="s">
        <v>110</v>
      </c>
      <c r="AT16" s="53" t="s">
        <v>110</v>
      </c>
      <c r="AU16" s="53" t="s">
        <v>128</v>
      </c>
      <c r="AV16" s="53" t="s">
        <v>121</v>
      </c>
      <c r="AW16" s="53" t="s">
        <v>121</v>
      </c>
      <c r="AX16" s="53" t="s">
        <v>203</v>
      </c>
      <c r="AY16" s="53" t="s">
        <v>110</v>
      </c>
      <c r="AZ16" s="53" t="s">
        <v>110</v>
      </c>
      <c r="BA16" s="53" t="s">
        <v>119</v>
      </c>
      <c r="BB16" s="53" t="s">
        <v>111</v>
      </c>
      <c r="BC16" s="53" t="s">
        <v>129</v>
      </c>
      <c r="BD16" s="53" t="s">
        <v>129</v>
      </c>
      <c r="BE16" s="53" t="s">
        <v>119</v>
      </c>
      <c r="BF16" s="53" t="s">
        <v>111</v>
      </c>
      <c r="BG16" s="53" t="s">
        <v>126</v>
      </c>
      <c r="BH16" s="53" t="s">
        <v>111</v>
      </c>
      <c r="BI16" s="53" t="s">
        <v>139</v>
      </c>
      <c r="BJ16" s="53" t="s">
        <v>111</v>
      </c>
      <c r="BK16" s="53" t="s">
        <v>125</v>
      </c>
      <c r="BL16" s="53" t="s">
        <v>142</v>
      </c>
      <c r="BM16" s="53" t="s">
        <v>121</v>
      </c>
      <c r="BN16" s="53" t="s">
        <v>111</v>
      </c>
      <c r="BO16" s="53" t="s">
        <v>142</v>
      </c>
      <c r="BP16" s="53" t="s">
        <v>120</v>
      </c>
      <c r="BQ16" s="53" t="s">
        <v>110</v>
      </c>
      <c r="BR16" s="53" t="s">
        <v>121</v>
      </c>
      <c r="BS16" s="53" t="s">
        <v>142</v>
      </c>
      <c r="BT16" s="53" t="s">
        <v>127</v>
      </c>
      <c r="BU16" s="53" t="s">
        <v>115</v>
      </c>
      <c r="BV16" s="53" t="s">
        <v>115</v>
      </c>
      <c r="BW16" s="53" t="s">
        <v>120</v>
      </c>
      <c r="BX16" s="53" t="s">
        <v>115</v>
      </c>
      <c r="BY16" s="53" t="s">
        <v>115</v>
      </c>
      <c r="BZ16" s="53" t="s">
        <v>115</v>
      </c>
      <c r="CA16" s="53" t="s">
        <v>111</v>
      </c>
      <c r="CB16" s="53" t="s">
        <v>129</v>
      </c>
      <c r="CC16" s="53" t="s">
        <v>129</v>
      </c>
      <c r="CD16" s="53" t="s">
        <v>123</v>
      </c>
      <c r="CE16" s="53" t="s">
        <v>124</v>
      </c>
      <c r="CF16" s="53" t="s">
        <v>115</v>
      </c>
      <c r="CG16" s="53" t="s">
        <v>115</v>
      </c>
      <c r="CH16" s="53" t="s">
        <v>111</v>
      </c>
      <c r="CI16" s="53" t="s">
        <v>129</v>
      </c>
      <c r="CJ16" s="53" t="s">
        <v>111</v>
      </c>
      <c r="CK16" s="53" t="s">
        <v>110</v>
      </c>
      <c r="CL16" s="53" t="s">
        <v>127</v>
      </c>
      <c r="CM16" s="53" t="s">
        <v>111</v>
      </c>
      <c r="CN16" s="53" t="s">
        <v>111</v>
      </c>
      <c r="CO16" s="53" t="s">
        <v>111</v>
      </c>
      <c r="CP16" s="53" t="s">
        <v>115</v>
      </c>
      <c r="CQ16" s="53" t="s">
        <v>129</v>
      </c>
      <c r="CR16" s="53" t="s">
        <v>142</v>
      </c>
      <c r="CS16" s="53" t="s">
        <v>111</v>
      </c>
      <c r="CT16" s="53" t="s">
        <v>111</v>
      </c>
      <c r="CU16" s="49"/>
    </row>
    <row r="17" spans="1:99" ht="15.75" customHeight="1" x14ac:dyDescent="0.3">
      <c r="A17" s="46">
        <v>45566.24165585648</v>
      </c>
      <c r="B17" s="47" t="s">
        <v>181</v>
      </c>
      <c r="C17" s="47" t="s">
        <v>92</v>
      </c>
      <c r="D17" s="47" t="s">
        <v>93</v>
      </c>
      <c r="E17" s="47" t="s">
        <v>336</v>
      </c>
      <c r="F17" s="47" t="s">
        <v>95</v>
      </c>
      <c r="G17" s="47" t="s">
        <v>777</v>
      </c>
      <c r="H17" s="47" t="s">
        <v>97</v>
      </c>
      <c r="I17" s="47" t="s">
        <v>97</v>
      </c>
      <c r="J17" s="47" t="s">
        <v>778</v>
      </c>
      <c r="K17" s="47" t="s">
        <v>778</v>
      </c>
      <c r="L17" s="49"/>
      <c r="M17" s="47" t="s">
        <v>161</v>
      </c>
      <c r="N17" s="47" t="s">
        <v>173</v>
      </c>
      <c r="O17" s="47" t="s">
        <v>191</v>
      </c>
      <c r="P17" s="47" t="s">
        <v>213</v>
      </c>
      <c r="Q17" s="47" t="s">
        <v>106</v>
      </c>
      <c r="R17" s="47" t="s">
        <v>388</v>
      </c>
      <c r="S17" s="48"/>
      <c r="T17" s="49"/>
      <c r="U17" s="49"/>
      <c r="V17" s="48"/>
      <c r="W17" s="47" t="s">
        <v>175</v>
      </c>
      <c r="X17" s="47" t="s">
        <v>163</v>
      </c>
      <c r="Y17" s="47" t="s">
        <v>184</v>
      </c>
      <c r="Z17" s="47" t="s">
        <v>110</v>
      </c>
      <c r="AA17" s="47" t="s">
        <v>110</v>
      </c>
      <c r="AB17" s="47" t="s">
        <v>110</v>
      </c>
      <c r="AC17" s="47" t="s">
        <v>126</v>
      </c>
      <c r="AD17" s="47" t="s">
        <v>152</v>
      </c>
      <c r="AE17" s="47" t="s">
        <v>114</v>
      </c>
      <c r="AF17" s="47" t="s">
        <v>110</v>
      </c>
      <c r="AG17" s="47" t="s">
        <v>110</v>
      </c>
      <c r="AH17" s="47" t="s">
        <v>110</v>
      </c>
      <c r="AI17" s="47" t="s">
        <v>110</v>
      </c>
      <c r="AJ17" s="47" t="s">
        <v>110</v>
      </c>
      <c r="AK17" s="47" t="s">
        <v>117</v>
      </c>
      <c r="AL17" s="47" t="s">
        <v>118</v>
      </c>
      <c r="AM17" s="47" t="s">
        <v>119</v>
      </c>
      <c r="AN17" s="47" t="s">
        <v>110</v>
      </c>
      <c r="AO17" s="47" t="s">
        <v>110</v>
      </c>
      <c r="AP17" s="47" t="s">
        <v>128</v>
      </c>
      <c r="AQ17" s="47" t="s">
        <v>110</v>
      </c>
      <c r="AR17" s="47" t="s">
        <v>121</v>
      </c>
      <c r="AS17" s="47" t="s">
        <v>110</v>
      </c>
      <c r="AT17" s="47" t="s">
        <v>110</v>
      </c>
      <c r="AU17" s="47" t="s">
        <v>123</v>
      </c>
      <c r="AV17" s="47" t="s">
        <v>123</v>
      </c>
      <c r="AW17" s="47" t="s">
        <v>128</v>
      </c>
      <c r="AX17" s="47" t="s">
        <v>126</v>
      </c>
      <c r="AY17" s="47" t="s">
        <v>110</v>
      </c>
      <c r="AZ17" s="47" t="s">
        <v>119</v>
      </c>
      <c r="BA17" s="47" t="s">
        <v>110</v>
      </c>
      <c r="BB17" s="47" t="s">
        <v>110</v>
      </c>
      <c r="BC17" s="47" t="s">
        <v>110</v>
      </c>
      <c r="BD17" s="47" t="s">
        <v>110</v>
      </c>
      <c r="BE17" s="47" t="s">
        <v>110</v>
      </c>
      <c r="BF17" s="47" t="s">
        <v>110</v>
      </c>
      <c r="BG17" s="47" t="s">
        <v>126</v>
      </c>
      <c r="BH17" s="47" t="s">
        <v>110</v>
      </c>
      <c r="BI17" s="47" t="s">
        <v>126</v>
      </c>
      <c r="BJ17" s="47" t="s">
        <v>110</v>
      </c>
      <c r="BK17" s="47" t="s">
        <v>126</v>
      </c>
      <c r="BL17" s="47" t="s">
        <v>126</v>
      </c>
      <c r="BM17" s="47" t="s">
        <v>110</v>
      </c>
      <c r="BN17" s="47" t="s">
        <v>120</v>
      </c>
      <c r="BO17" s="47" t="s">
        <v>124</v>
      </c>
      <c r="BP17" s="47" t="s">
        <v>119</v>
      </c>
      <c r="BQ17" s="47" t="s">
        <v>110</v>
      </c>
      <c r="BR17" s="47" t="s">
        <v>177</v>
      </c>
      <c r="BS17" s="47" t="s">
        <v>125</v>
      </c>
      <c r="BT17" s="47" t="s">
        <v>127</v>
      </c>
      <c r="BU17" s="47" t="s">
        <v>110</v>
      </c>
      <c r="BV17" s="47" t="s">
        <v>111</v>
      </c>
      <c r="BW17" s="47" t="s">
        <v>111</v>
      </c>
      <c r="BX17" s="47" t="s">
        <v>111</v>
      </c>
      <c r="BY17" s="47" t="s">
        <v>111</v>
      </c>
      <c r="BZ17" s="47" t="s">
        <v>111</v>
      </c>
      <c r="CA17" s="47" t="s">
        <v>111</v>
      </c>
      <c r="CB17" s="47" t="s">
        <v>111</v>
      </c>
      <c r="CC17" s="47" t="s">
        <v>111</v>
      </c>
      <c r="CD17" s="47" t="s">
        <v>123</v>
      </c>
      <c r="CE17" s="47" t="s">
        <v>124</v>
      </c>
      <c r="CF17" s="47" t="s">
        <v>111</v>
      </c>
      <c r="CG17" s="47" t="s">
        <v>111</v>
      </c>
      <c r="CH17" s="47" t="s">
        <v>111</v>
      </c>
      <c r="CI17" s="47" t="s">
        <v>110</v>
      </c>
      <c r="CJ17" s="47" t="s">
        <v>110</v>
      </c>
      <c r="CK17" s="47" t="s">
        <v>111</v>
      </c>
      <c r="CL17" s="47" t="s">
        <v>127</v>
      </c>
      <c r="CM17" s="47" t="s">
        <v>111</v>
      </c>
      <c r="CN17" s="47" t="s">
        <v>119</v>
      </c>
      <c r="CO17" s="47" t="s">
        <v>119</v>
      </c>
      <c r="CP17" s="47" t="s">
        <v>110</v>
      </c>
      <c r="CQ17" s="47" t="s">
        <v>129</v>
      </c>
      <c r="CR17" s="47" t="s">
        <v>126</v>
      </c>
      <c r="CS17" s="47" t="s">
        <v>129</v>
      </c>
      <c r="CT17" s="47" t="s">
        <v>119</v>
      </c>
      <c r="CU17" s="49"/>
    </row>
    <row r="18" spans="1:99" ht="15.75" customHeight="1" x14ac:dyDescent="0.3">
      <c r="A18" s="52">
        <v>45592.68749621528</v>
      </c>
      <c r="B18" s="47" t="s">
        <v>181</v>
      </c>
      <c r="C18" s="53" t="s">
        <v>92</v>
      </c>
      <c r="D18" s="53" t="s">
        <v>131</v>
      </c>
      <c r="E18" s="53" t="s">
        <v>199</v>
      </c>
      <c r="F18" s="53" t="s">
        <v>95</v>
      </c>
      <c r="G18" s="53" t="s">
        <v>305</v>
      </c>
      <c r="H18" s="53" t="s">
        <v>171</v>
      </c>
      <c r="I18" s="53" t="s">
        <v>158</v>
      </c>
      <c r="J18" s="53" t="s">
        <v>779</v>
      </c>
      <c r="K18" s="53" t="s">
        <v>270</v>
      </c>
      <c r="L18" s="54"/>
      <c r="M18" s="53" t="s">
        <v>190</v>
      </c>
      <c r="N18" s="53" t="s">
        <v>101</v>
      </c>
      <c r="O18" s="53" t="s">
        <v>174</v>
      </c>
      <c r="P18" s="53" t="s">
        <v>150</v>
      </c>
      <c r="Q18" s="53" t="s">
        <v>106</v>
      </c>
      <c r="R18" s="53" t="s">
        <v>388</v>
      </c>
      <c r="S18" s="53" t="s">
        <v>780</v>
      </c>
      <c r="T18" s="49"/>
      <c r="U18" s="49"/>
      <c r="V18" s="49"/>
      <c r="W18" s="53" t="s">
        <v>264</v>
      </c>
      <c r="X18" s="53" t="s">
        <v>163</v>
      </c>
      <c r="Y18" s="53" t="s">
        <v>109</v>
      </c>
      <c r="Z18" s="53" t="s">
        <v>119</v>
      </c>
      <c r="AA18" s="53" t="s">
        <v>119</v>
      </c>
      <c r="AB18" s="53" t="s">
        <v>110</v>
      </c>
      <c r="AC18" s="53" t="s">
        <v>320</v>
      </c>
      <c r="AD18" s="53" t="s">
        <v>152</v>
      </c>
      <c r="AE18" s="53" t="s">
        <v>114</v>
      </c>
      <c r="AF18" s="53" t="s">
        <v>111</v>
      </c>
      <c r="AG18" s="53" t="s">
        <v>111</v>
      </c>
      <c r="AH18" s="53" t="s">
        <v>115</v>
      </c>
      <c r="AI18" s="53" t="s">
        <v>110</v>
      </c>
      <c r="AJ18" s="53" t="s">
        <v>110</v>
      </c>
      <c r="AK18" s="53" t="s">
        <v>221</v>
      </c>
      <c r="AL18" s="53" t="s">
        <v>167</v>
      </c>
      <c r="AM18" s="53" t="s">
        <v>111</v>
      </c>
      <c r="AN18" s="53" t="s">
        <v>110</v>
      </c>
      <c r="AO18" s="53" t="s">
        <v>177</v>
      </c>
      <c r="AP18" s="53" t="s">
        <v>154</v>
      </c>
      <c r="AQ18" s="53" t="s">
        <v>121</v>
      </c>
      <c r="AR18" s="53" t="s">
        <v>121</v>
      </c>
      <c r="AS18" s="53" t="s">
        <v>177</v>
      </c>
      <c r="AT18" s="53" t="s">
        <v>177</v>
      </c>
      <c r="AU18" s="53" t="s">
        <v>177</v>
      </c>
      <c r="AV18" s="53" t="s">
        <v>178</v>
      </c>
      <c r="AW18" s="53" t="s">
        <v>178</v>
      </c>
      <c r="AX18" s="53" t="s">
        <v>126</v>
      </c>
      <c r="AY18" s="53" t="s">
        <v>110</v>
      </c>
      <c r="AZ18" s="53" t="s">
        <v>110</v>
      </c>
      <c r="BA18" s="53" t="s">
        <v>110</v>
      </c>
      <c r="BB18" s="53" t="s">
        <v>110</v>
      </c>
      <c r="BC18" s="53" t="s">
        <v>110</v>
      </c>
      <c r="BD18" s="53" t="s">
        <v>110</v>
      </c>
      <c r="BE18" s="53" t="s">
        <v>110</v>
      </c>
      <c r="BF18" s="53" t="s">
        <v>110</v>
      </c>
      <c r="BG18" s="53" t="s">
        <v>126</v>
      </c>
      <c r="BH18" s="53" t="s">
        <v>110</v>
      </c>
      <c r="BI18" s="53" t="s">
        <v>126</v>
      </c>
      <c r="BJ18" s="53" t="s">
        <v>110</v>
      </c>
      <c r="BK18" s="53" t="s">
        <v>126</v>
      </c>
      <c r="BL18" s="53" t="s">
        <v>140</v>
      </c>
      <c r="BM18" s="53" t="s">
        <v>121</v>
      </c>
      <c r="BN18" s="53" t="s">
        <v>110</v>
      </c>
      <c r="BO18" s="53" t="s">
        <v>126</v>
      </c>
      <c r="BP18" s="53" t="s">
        <v>110</v>
      </c>
      <c r="BQ18" s="53" t="s">
        <v>129</v>
      </c>
      <c r="BR18" s="53" t="s">
        <v>110</v>
      </c>
      <c r="BS18" s="53" t="s">
        <v>126</v>
      </c>
      <c r="BT18" s="53" t="s">
        <v>110</v>
      </c>
      <c r="BU18" s="53" t="s">
        <v>110</v>
      </c>
      <c r="BV18" s="53" t="s">
        <v>110</v>
      </c>
      <c r="BW18" s="53" t="s">
        <v>111</v>
      </c>
      <c r="BX18" s="53" t="s">
        <v>111</v>
      </c>
      <c r="BY18" s="53" t="s">
        <v>111</v>
      </c>
      <c r="BZ18" s="53" t="s">
        <v>111</v>
      </c>
      <c r="CA18" s="53" t="s">
        <v>111</v>
      </c>
      <c r="CB18" s="53" t="s">
        <v>110</v>
      </c>
      <c r="CC18" s="53" t="s">
        <v>110</v>
      </c>
      <c r="CD18" s="53" t="s">
        <v>110</v>
      </c>
      <c r="CE18" s="53" t="s">
        <v>126</v>
      </c>
      <c r="CF18" s="53" t="s">
        <v>110</v>
      </c>
      <c r="CG18" s="53" t="s">
        <v>129</v>
      </c>
      <c r="CH18" s="53" t="s">
        <v>110</v>
      </c>
      <c r="CI18" s="53" t="s">
        <v>110</v>
      </c>
      <c r="CJ18" s="53" t="s">
        <v>110</v>
      </c>
      <c r="CK18" s="53" t="s">
        <v>110</v>
      </c>
      <c r="CL18" s="53" t="s">
        <v>110</v>
      </c>
      <c r="CM18" s="53" t="s">
        <v>110</v>
      </c>
      <c r="CN18" s="53" t="s">
        <v>110</v>
      </c>
      <c r="CO18" s="53" t="s">
        <v>111</v>
      </c>
      <c r="CP18" s="53" t="s">
        <v>111</v>
      </c>
      <c r="CQ18" s="53" t="s">
        <v>129</v>
      </c>
      <c r="CR18" s="53" t="s">
        <v>203</v>
      </c>
      <c r="CS18" s="53" t="s">
        <v>110</v>
      </c>
      <c r="CT18" s="53" t="s">
        <v>111</v>
      </c>
      <c r="CU18" s="57" t="s">
        <v>781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7AC28-56B6-4B3B-A0D2-DE83F9AF8187}">
  <dimension ref="A1:H233"/>
  <sheetViews>
    <sheetView workbookViewId="0"/>
  </sheetViews>
  <sheetFormatPr defaultRowHeight="13.2" x14ac:dyDescent="0.25"/>
  <sheetData>
    <row r="1" spans="1:8" ht="13.8" x14ac:dyDescent="0.3">
      <c r="A1" s="1" t="s">
        <v>8</v>
      </c>
      <c r="H1" t="s">
        <v>123</v>
      </c>
    </row>
    <row r="2" spans="1:8" ht="13.8" x14ac:dyDescent="0.3">
      <c r="A2" s="7" t="s">
        <v>100</v>
      </c>
      <c r="C2" t="str">
        <f>IF(B2="&lt;301 empleados","&lt;301 empleados","301+ empleados")</f>
        <v>301+ empleados</v>
      </c>
      <c r="H2" t="s">
        <v>110</v>
      </c>
    </row>
    <row r="3" spans="1:8" ht="13.8" x14ac:dyDescent="0.3">
      <c r="A3" s="14" t="s">
        <v>100</v>
      </c>
      <c r="C3" t="str">
        <f t="shared" ref="C3:C66" si="0">IF(B3="&lt;301 empleados","&lt;301 empleados","301+ empleados")</f>
        <v>301+ empleados</v>
      </c>
      <c r="H3" t="s">
        <v>121</v>
      </c>
    </row>
    <row r="4" spans="1:8" ht="13.8" x14ac:dyDescent="0.3">
      <c r="A4" s="7" t="s">
        <v>149</v>
      </c>
      <c r="B4" t="s">
        <v>785</v>
      </c>
      <c r="C4" t="str">
        <f t="shared" si="0"/>
        <v>&lt;301 empleados</v>
      </c>
      <c r="H4" t="s">
        <v>177</v>
      </c>
    </row>
    <row r="5" spans="1:8" ht="13.8" x14ac:dyDescent="0.3">
      <c r="A5" s="20" t="s">
        <v>161</v>
      </c>
      <c r="B5" t="s">
        <v>785</v>
      </c>
      <c r="C5" t="str">
        <f t="shared" si="0"/>
        <v>&lt;301 empleados</v>
      </c>
      <c r="H5" t="s">
        <v>128</v>
      </c>
    </row>
    <row r="6" spans="1:8" ht="13.8" x14ac:dyDescent="0.3">
      <c r="A6" s="27" t="s">
        <v>100</v>
      </c>
      <c r="C6" t="str">
        <f t="shared" si="0"/>
        <v>301+ empleados</v>
      </c>
      <c r="H6" t="s">
        <v>168</v>
      </c>
    </row>
    <row r="7" spans="1:8" ht="13.8" x14ac:dyDescent="0.3">
      <c r="A7" s="30" t="s">
        <v>161</v>
      </c>
      <c r="B7" t="s">
        <v>785</v>
      </c>
      <c r="C7" t="str">
        <f t="shared" si="0"/>
        <v>&lt;301 empleados</v>
      </c>
    </row>
    <row r="8" spans="1:8" ht="13.8" x14ac:dyDescent="0.3">
      <c r="A8" s="26" t="s">
        <v>190</v>
      </c>
      <c r="B8" t="s">
        <v>785</v>
      </c>
      <c r="C8" t="str">
        <f t="shared" si="0"/>
        <v>&lt;301 empleados</v>
      </c>
    </row>
    <row r="9" spans="1:8" ht="13.8" x14ac:dyDescent="0.3">
      <c r="A9" s="30" t="s">
        <v>195</v>
      </c>
      <c r="C9" t="str">
        <f t="shared" si="0"/>
        <v>301+ empleados</v>
      </c>
    </row>
    <row r="10" spans="1:8" ht="13.8" x14ac:dyDescent="0.3">
      <c r="A10" s="26" t="s">
        <v>100</v>
      </c>
      <c r="C10" t="str">
        <f t="shared" si="0"/>
        <v>301+ empleados</v>
      </c>
    </row>
    <row r="11" spans="1:8" ht="13.8" x14ac:dyDescent="0.3">
      <c r="A11" s="30" t="s">
        <v>100</v>
      </c>
      <c r="C11" t="str">
        <f t="shared" si="0"/>
        <v>301+ empleados</v>
      </c>
    </row>
    <row r="12" spans="1:8" ht="13.8" x14ac:dyDescent="0.3">
      <c r="A12" s="26" t="s">
        <v>100</v>
      </c>
      <c r="C12" t="str">
        <f t="shared" si="0"/>
        <v>301+ empleados</v>
      </c>
    </row>
    <row r="13" spans="1:8" ht="13.8" x14ac:dyDescent="0.3">
      <c r="A13" s="30" t="s">
        <v>149</v>
      </c>
      <c r="B13" t="s">
        <v>785</v>
      </c>
      <c r="C13" t="str">
        <f t="shared" si="0"/>
        <v>&lt;301 empleados</v>
      </c>
    </row>
    <row r="14" spans="1:8" ht="13.8" x14ac:dyDescent="0.3">
      <c r="A14" s="26" t="s">
        <v>195</v>
      </c>
      <c r="C14" t="str">
        <f t="shared" si="0"/>
        <v>301+ empleados</v>
      </c>
    </row>
    <row r="15" spans="1:8" ht="13.8" x14ac:dyDescent="0.3">
      <c r="A15" s="30" t="s">
        <v>100</v>
      </c>
      <c r="C15" t="str">
        <f t="shared" si="0"/>
        <v>301+ empleados</v>
      </c>
    </row>
    <row r="16" spans="1:8" ht="13.8" x14ac:dyDescent="0.3">
      <c r="A16" s="26" t="s">
        <v>190</v>
      </c>
      <c r="B16" t="s">
        <v>785</v>
      </c>
      <c r="C16" t="str">
        <f t="shared" si="0"/>
        <v>&lt;301 empleados</v>
      </c>
    </row>
    <row r="17" spans="1:3" ht="13.8" x14ac:dyDescent="0.3">
      <c r="A17" s="26" t="s">
        <v>149</v>
      </c>
      <c r="B17" t="s">
        <v>785</v>
      </c>
      <c r="C17" t="str">
        <f t="shared" si="0"/>
        <v>&lt;301 empleados</v>
      </c>
    </row>
    <row r="18" spans="1:3" ht="13.8" x14ac:dyDescent="0.3">
      <c r="A18" s="30" t="s">
        <v>100</v>
      </c>
      <c r="C18" t="str">
        <f t="shared" si="0"/>
        <v>301+ empleados</v>
      </c>
    </row>
    <row r="19" spans="1:3" ht="13.8" x14ac:dyDescent="0.3">
      <c r="A19" s="26" t="s">
        <v>100</v>
      </c>
      <c r="C19" t="str">
        <f t="shared" si="0"/>
        <v>301+ empleados</v>
      </c>
    </row>
    <row r="20" spans="1:3" ht="13.8" x14ac:dyDescent="0.3">
      <c r="A20" s="30" t="s">
        <v>100</v>
      </c>
      <c r="C20" t="str">
        <f t="shared" si="0"/>
        <v>301+ empleados</v>
      </c>
    </row>
    <row r="21" spans="1:3" ht="13.8" x14ac:dyDescent="0.3">
      <c r="A21" s="26" t="s">
        <v>149</v>
      </c>
      <c r="B21" t="s">
        <v>785</v>
      </c>
      <c r="C21" t="str">
        <f t="shared" si="0"/>
        <v>&lt;301 empleados</v>
      </c>
    </row>
    <row r="22" spans="1:3" ht="13.8" x14ac:dyDescent="0.3">
      <c r="A22" s="30" t="s">
        <v>195</v>
      </c>
      <c r="C22" t="str">
        <f t="shared" si="0"/>
        <v>301+ empleados</v>
      </c>
    </row>
    <row r="23" spans="1:3" ht="13.8" x14ac:dyDescent="0.3">
      <c r="A23" s="26" t="s">
        <v>149</v>
      </c>
      <c r="B23" t="s">
        <v>785</v>
      </c>
      <c r="C23" t="str">
        <f t="shared" si="0"/>
        <v>&lt;301 empleados</v>
      </c>
    </row>
    <row r="24" spans="1:3" ht="13.8" x14ac:dyDescent="0.3">
      <c r="A24" s="30" t="s">
        <v>149</v>
      </c>
      <c r="B24" t="s">
        <v>785</v>
      </c>
      <c r="C24" t="str">
        <f t="shared" si="0"/>
        <v>&lt;301 empleados</v>
      </c>
    </row>
    <row r="25" spans="1:3" ht="13.8" x14ac:dyDescent="0.3">
      <c r="A25" s="26" t="s">
        <v>100</v>
      </c>
      <c r="C25" t="str">
        <f t="shared" si="0"/>
        <v>301+ empleados</v>
      </c>
    </row>
    <row r="26" spans="1:3" ht="13.8" x14ac:dyDescent="0.3">
      <c r="A26" s="30" t="s">
        <v>149</v>
      </c>
      <c r="B26" t="s">
        <v>785</v>
      </c>
      <c r="C26" t="str">
        <f t="shared" si="0"/>
        <v>&lt;301 empleados</v>
      </c>
    </row>
    <row r="27" spans="1:3" ht="13.8" x14ac:dyDescent="0.3">
      <c r="A27" s="37" t="s">
        <v>100</v>
      </c>
      <c r="C27" t="str">
        <f t="shared" si="0"/>
        <v>301+ empleados</v>
      </c>
    </row>
    <row r="28" spans="1:3" ht="13.8" x14ac:dyDescent="0.3">
      <c r="A28" s="36" t="s">
        <v>161</v>
      </c>
      <c r="B28" t="s">
        <v>785</v>
      </c>
      <c r="C28" t="str">
        <f t="shared" si="0"/>
        <v>&lt;301 empleados</v>
      </c>
    </row>
    <row r="29" spans="1:3" ht="13.8" x14ac:dyDescent="0.3">
      <c r="A29" s="37" t="s">
        <v>149</v>
      </c>
      <c r="B29" t="s">
        <v>785</v>
      </c>
      <c r="C29" t="str">
        <f t="shared" si="0"/>
        <v>&lt;301 empleados</v>
      </c>
    </row>
    <row r="30" spans="1:3" ht="13.8" x14ac:dyDescent="0.3">
      <c r="A30" s="36" t="s">
        <v>100</v>
      </c>
      <c r="C30" t="str">
        <f t="shared" si="0"/>
        <v>301+ empleados</v>
      </c>
    </row>
    <row r="31" spans="1:3" ht="13.8" x14ac:dyDescent="0.3">
      <c r="A31" s="37" t="s">
        <v>100</v>
      </c>
      <c r="C31" t="str">
        <f t="shared" si="0"/>
        <v>301+ empleados</v>
      </c>
    </row>
    <row r="32" spans="1:3" ht="13.8" x14ac:dyDescent="0.3">
      <c r="A32" s="36" t="s">
        <v>100</v>
      </c>
      <c r="C32" t="str">
        <f t="shared" si="0"/>
        <v>301+ empleados</v>
      </c>
    </row>
    <row r="33" spans="1:3" ht="13.8" x14ac:dyDescent="0.3">
      <c r="A33" s="37" t="s">
        <v>100</v>
      </c>
      <c r="C33" t="str">
        <f t="shared" si="0"/>
        <v>301+ empleados</v>
      </c>
    </row>
    <row r="34" spans="1:3" ht="13.8" x14ac:dyDescent="0.3">
      <c r="A34" s="36" t="s">
        <v>195</v>
      </c>
      <c r="C34" t="str">
        <f t="shared" si="0"/>
        <v>301+ empleados</v>
      </c>
    </row>
    <row r="35" spans="1:3" ht="13.8" x14ac:dyDescent="0.3">
      <c r="A35" s="37" t="s">
        <v>100</v>
      </c>
      <c r="C35" t="str">
        <f t="shared" si="0"/>
        <v>301+ empleados</v>
      </c>
    </row>
    <row r="36" spans="1:3" ht="13.8" x14ac:dyDescent="0.3">
      <c r="A36" s="36" t="s">
        <v>149</v>
      </c>
      <c r="B36" t="s">
        <v>785</v>
      </c>
      <c r="C36" t="str">
        <f t="shared" si="0"/>
        <v>&lt;301 empleados</v>
      </c>
    </row>
    <row r="37" spans="1:3" ht="13.8" x14ac:dyDescent="0.3">
      <c r="A37" s="37" t="s">
        <v>100</v>
      </c>
      <c r="C37" t="str">
        <f t="shared" si="0"/>
        <v>301+ empleados</v>
      </c>
    </row>
    <row r="38" spans="1:3" ht="13.8" x14ac:dyDescent="0.3">
      <c r="A38" s="36" t="s">
        <v>190</v>
      </c>
      <c r="B38" t="s">
        <v>785</v>
      </c>
      <c r="C38" t="str">
        <f t="shared" si="0"/>
        <v>&lt;301 empleados</v>
      </c>
    </row>
    <row r="39" spans="1:3" ht="13.8" x14ac:dyDescent="0.3">
      <c r="A39" s="37" t="s">
        <v>149</v>
      </c>
      <c r="B39" t="s">
        <v>785</v>
      </c>
      <c r="C39" t="str">
        <f t="shared" si="0"/>
        <v>&lt;301 empleados</v>
      </c>
    </row>
    <row r="40" spans="1:3" ht="13.8" x14ac:dyDescent="0.3">
      <c r="A40" s="47" t="s">
        <v>100</v>
      </c>
      <c r="C40" t="str">
        <f t="shared" si="0"/>
        <v>301+ empleados</v>
      </c>
    </row>
    <row r="41" spans="1:3" ht="13.8" x14ac:dyDescent="0.3">
      <c r="A41" s="53" t="s">
        <v>161</v>
      </c>
      <c r="B41" t="s">
        <v>785</v>
      </c>
      <c r="C41" t="str">
        <f t="shared" si="0"/>
        <v>&lt;301 empleados</v>
      </c>
    </row>
    <row r="42" spans="1:3" ht="13.8" x14ac:dyDescent="0.3">
      <c r="A42" s="47" t="s">
        <v>100</v>
      </c>
      <c r="C42" t="str">
        <f t="shared" si="0"/>
        <v>301+ empleados</v>
      </c>
    </row>
    <row r="43" spans="1:3" ht="13.8" x14ac:dyDescent="0.3">
      <c r="A43" s="53" t="s">
        <v>100</v>
      </c>
      <c r="C43" t="str">
        <f t="shared" si="0"/>
        <v>301+ empleados</v>
      </c>
    </row>
    <row r="44" spans="1:3" ht="13.8" x14ac:dyDescent="0.3">
      <c r="A44" s="47" t="s">
        <v>149</v>
      </c>
      <c r="B44" t="s">
        <v>785</v>
      </c>
      <c r="C44" t="str">
        <f t="shared" si="0"/>
        <v>&lt;301 empleados</v>
      </c>
    </row>
    <row r="45" spans="1:3" ht="13.8" x14ac:dyDescent="0.3">
      <c r="A45" s="53" t="s">
        <v>161</v>
      </c>
      <c r="B45" t="s">
        <v>785</v>
      </c>
      <c r="C45" t="str">
        <f t="shared" si="0"/>
        <v>&lt;301 empleados</v>
      </c>
    </row>
    <row r="46" spans="1:3" ht="13.8" x14ac:dyDescent="0.3">
      <c r="A46" s="47" t="s">
        <v>195</v>
      </c>
      <c r="C46" t="str">
        <f t="shared" si="0"/>
        <v>301+ empleados</v>
      </c>
    </row>
    <row r="47" spans="1:3" ht="13.8" x14ac:dyDescent="0.3">
      <c r="A47" s="53" t="s">
        <v>149</v>
      </c>
      <c r="B47" t="s">
        <v>785</v>
      </c>
      <c r="C47" t="str">
        <f t="shared" si="0"/>
        <v>&lt;301 empleados</v>
      </c>
    </row>
    <row r="48" spans="1:3" ht="13.8" x14ac:dyDescent="0.3">
      <c r="A48" s="47" t="s">
        <v>149</v>
      </c>
      <c r="B48" t="s">
        <v>785</v>
      </c>
      <c r="C48" t="str">
        <f t="shared" si="0"/>
        <v>&lt;301 empleados</v>
      </c>
    </row>
    <row r="49" spans="1:3" ht="13.8" x14ac:dyDescent="0.3">
      <c r="A49" s="53" t="s">
        <v>100</v>
      </c>
      <c r="C49" t="str">
        <f t="shared" si="0"/>
        <v>301+ empleados</v>
      </c>
    </row>
    <row r="50" spans="1:3" ht="13.8" x14ac:dyDescent="0.3">
      <c r="A50" s="47" t="s">
        <v>149</v>
      </c>
      <c r="B50" t="s">
        <v>785</v>
      </c>
      <c r="C50" t="str">
        <f t="shared" si="0"/>
        <v>&lt;301 empleados</v>
      </c>
    </row>
    <row r="51" spans="1:3" ht="13.8" x14ac:dyDescent="0.3">
      <c r="A51" s="53" t="s">
        <v>100</v>
      </c>
      <c r="C51" t="str">
        <f t="shared" si="0"/>
        <v>301+ empleados</v>
      </c>
    </row>
    <row r="52" spans="1:3" ht="13.8" x14ac:dyDescent="0.3">
      <c r="A52" s="47" t="s">
        <v>100</v>
      </c>
      <c r="C52" t="str">
        <f t="shared" si="0"/>
        <v>301+ empleados</v>
      </c>
    </row>
    <row r="53" spans="1:3" ht="13.8" x14ac:dyDescent="0.3">
      <c r="A53" s="53" t="s">
        <v>100</v>
      </c>
      <c r="C53" t="str">
        <f t="shared" si="0"/>
        <v>301+ empleados</v>
      </c>
    </row>
    <row r="54" spans="1:3" ht="13.8" x14ac:dyDescent="0.3">
      <c r="A54" s="47" t="s">
        <v>100</v>
      </c>
      <c r="C54" t="str">
        <f t="shared" si="0"/>
        <v>301+ empleados</v>
      </c>
    </row>
    <row r="55" spans="1:3" ht="13.8" x14ac:dyDescent="0.3">
      <c r="A55" s="53" t="s">
        <v>100</v>
      </c>
      <c r="C55" t="str">
        <f t="shared" si="0"/>
        <v>301+ empleados</v>
      </c>
    </row>
    <row r="56" spans="1:3" ht="13.8" x14ac:dyDescent="0.3">
      <c r="A56" s="47" t="s">
        <v>161</v>
      </c>
      <c r="B56" t="s">
        <v>785</v>
      </c>
      <c r="C56" t="str">
        <f t="shared" si="0"/>
        <v>&lt;301 empleados</v>
      </c>
    </row>
    <row r="57" spans="1:3" ht="13.8" x14ac:dyDescent="0.3">
      <c r="A57" s="53" t="s">
        <v>190</v>
      </c>
      <c r="B57" t="s">
        <v>785</v>
      </c>
      <c r="C57" t="str">
        <f t="shared" si="0"/>
        <v>&lt;301 empleados</v>
      </c>
    </row>
    <row r="58" spans="1:3" ht="13.8" x14ac:dyDescent="0.3">
      <c r="A58" s="47" t="s">
        <v>100</v>
      </c>
      <c r="C58" t="str">
        <f t="shared" si="0"/>
        <v>301+ empleados</v>
      </c>
    </row>
    <row r="59" spans="1:3" ht="13.8" x14ac:dyDescent="0.3">
      <c r="A59" s="53" t="s">
        <v>100</v>
      </c>
      <c r="C59" t="str">
        <f t="shared" si="0"/>
        <v>301+ empleados</v>
      </c>
    </row>
    <row r="60" spans="1:3" ht="13.8" x14ac:dyDescent="0.3">
      <c r="A60" s="14" t="s">
        <v>100</v>
      </c>
      <c r="C60" t="str">
        <f t="shared" si="0"/>
        <v>301+ empleados</v>
      </c>
    </row>
    <row r="61" spans="1:3" ht="13.8" x14ac:dyDescent="0.3">
      <c r="A61" s="7" t="s">
        <v>100</v>
      </c>
      <c r="C61" t="str">
        <f t="shared" si="0"/>
        <v>301+ empleados</v>
      </c>
    </row>
    <row r="62" spans="1:3" ht="13.8" x14ac:dyDescent="0.3">
      <c r="A62" s="14" t="s">
        <v>100</v>
      </c>
      <c r="C62" t="str">
        <f t="shared" si="0"/>
        <v>301+ empleados</v>
      </c>
    </row>
    <row r="63" spans="1:3" ht="13.8" x14ac:dyDescent="0.3">
      <c r="A63" s="7" t="s">
        <v>100</v>
      </c>
      <c r="C63" t="str">
        <f t="shared" si="0"/>
        <v>301+ empleados</v>
      </c>
    </row>
    <row r="64" spans="1:3" ht="13.8" x14ac:dyDescent="0.3">
      <c r="A64" s="14" t="s">
        <v>100</v>
      </c>
      <c r="C64" t="str">
        <f t="shared" si="0"/>
        <v>301+ empleados</v>
      </c>
    </row>
    <row r="65" spans="1:3" ht="13.8" x14ac:dyDescent="0.3">
      <c r="A65" s="7" t="s">
        <v>100</v>
      </c>
      <c r="C65" t="str">
        <f t="shared" si="0"/>
        <v>301+ empleados</v>
      </c>
    </row>
    <row r="66" spans="1:3" ht="13.8" x14ac:dyDescent="0.3">
      <c r="A66" s="30" t="s">
        <v>100</v>
      </c>
      <c r="C66" t="str">
        <f t="shared" si="0"/>
        <v>301+ empleados</v>
      </c>
    </row>
    <row r="67" spans="1:3" ht="13.8" x14ac:dyDescent="0.3">
      <c r="A67" s="26" t="s">
        <v>100</v>
      </c>
      <c r="C67" t="str">
        <f t="shared" ref="C67:C130" si="1">IF(B67="&lt;301 empleados","&lt;301 empleados","301+ empleados")</f>
        <v>301+ empleados</v>
      </c>
    </row>
    <row r="68" spans="1:3" ht="13.8" x14ac:dyDescent="0.3">
      <c r="A68" s="30" t="s">
        <v>100</v>
      </c>
      <c r="C68" t="str">
        <f t="shared" si="1"/>
        <v>301+ empleados</v>
      </c>
    </row>
    <row r="69" spans="1:3" ht="13.8" x14ac:dyDescent="0.3">
      <c r="A69" s="26" t="s">
        <v>100</v>
      </c>
      <c r="C69" t="str">
        <f t="shared" si="1"/>
        <v>301+ empleados</v>
      </c>
    </row>
    <row r="70" spans="1:3" ht="13.8" x14ac:dyDescent="0.3">
      <c r="A70" s="36" t="s">
        <v>100</v>
      </c>
      <c r="C70" t="str">
        <f t="shared" si="1"/>
        <v>301+ empleados</v>
      </c>
    </row>
    <row r="71" spans="1:3" ht="13.8" x14ac:dyDescent="0.3">
      <c r="A71" s="37" t="s">
        <v>100</v>
      </c>
      <c r="C71" t="str">
        <f t="shared" si="1"/>
        <v>301+ empleados</v>
      </c>
    </row>
    <row r="72" spans="1:3" ht="13.8" x14ac:dyDescent="0.3">
      <c r="A72" s="36" t="s">
        <v>100</v>
      </c>
      <c r="C72" t="str">
        <f t="shared" si="1"/>
        <v>301+ empleados</v>
      </c>
    </row>
    <row r="73" spans="1:3" ht="13.8" x14ac:dyDescent="0.3">
      <c r="A73" s="37" t="s">
        <v>149</v>
      </c>
      <c r="B73" t="s">
        <v>785</v>
      </c>
      <c r="C73" t="str">
        <f t="shared" si="1"/>
        <v>&lt;301 empleados</v>
      </c>
    </row>
    <row r="74" spans="1:3" ht="13.8" x14ac:dyDescent="0.3">
      <c r="A74" s="36" t="s">
        <v>100</v>
      </c>
      <c r="C74" t="str">
        <f t="shared" si="1"/>
        <v>301+ empleados</v>
      </c>
    </row>
    <row r="75" spans="1:3" ht="13.8" x14ac:dyDescent="0.3">
      <c r="A75" s="37" t="s">
        <v>100</v>
      </c>
      <c r="C75" t="str">
        <f t="shared" si="1"/>
        <v>301+ empleados</v>
      </c>
    </row>
    <row r="76" spans="1:3" ht="13.8" x14ac:dyDescent="0.3">
      <c r="A76" s="36" t="s">
        <v>149</v>
      </c>
      <c r="B76" t="s">
        <v>785</v>
      </c>
      <c r="C76" t="str">
        <f t="shared" si="1"/>
        <v>&lt;301 empleados</v>
      </c>
    </row>
    <row r="77" spans="1:3" ht="13.8" x14ac:dyDescent="0.3">
      <c r="A77" s="37" t="s">
        <v>100</v>
      </c>
      <c r="C77" t="str">
        <f t="shared" si="1"/>
        <v>301+ empleados</v>
      </c>
    </row>
    <row r="78" spans="1:3" ht="13.8" x14ac:dyDescent="0.3">
      <c r="A78" s="36" t="s">
        <v>100</v>
      </c>
      <c r="C78" t="str">
        <f t="shared" si="1"/>
        <v>301+ empleados</v>
      </c>
    </row>
    <row r="79" spans="1:3" ht="13.8" x14ac:dyDescent="0.3">
      <c r="A79" s="37" t="s">
        <v>100</v>
      </c>
      <c r="C79" t="str">
        <f t="shared" si="1"/>
        <v>301+ empleados</v>
      </c>
    </row>
    <row r="80" spans="1:3" ht="13.8" x14ac:dyDescent="0.3">
      <c r="A80" s="36" t="s">
        <v>100</v>
      </c>
      <c r="C80" t="str">
        <f t="shared" si="1"/>
        <v>301+ empleados</v>
      </c>
    </row>
    <row r="81" spans="1:3" ht="13.8" x14ac:dyDescent="0.3">
      <c r="A81" s="37" t="s">
        <v>161</v>
      </c>
      <c r="B81" t="s">
        <v>785</v>
      </c>
      <c r="C81" t="str">
        <f t="shared" si="1"/>
        <v>&lt;301 empleados</v>
      </c>
    </row>
    <row r="82" spans="1:3" ht="13.8" x14ac:dyDescent="0.3">
      <c r="A82" s="36" t="s">
        <v>161</v>
      </c>
      <c r="B82" t="s">
        <v>785</v>
      </c>
      <c r="C82" t="str">
        <f t="shared" si="1"/>
        <v>&lt;301 empleados</v>
      </c>
    </row>
    <row r="83" spans="1:3" ht="13.8" x14ac:dyDescent="0.3">
      <c r="A83" s="37" t="s">
        <v>100</v>
      </c>
      <c r="C83" t="str">
        <f t="shared" si="1"/>
        <v>301+ empleados</v>
      </c>
    </row>
    <row r="84" spans="1:3" ht="13.8" x14ac:dyDescent="0.3">
      <c r="A84" s="36" t="s">
        <v>100</v>
      </c>
      <c r="C84" t="str">
        <f t="shared" si="1"/>
        <v>301+ empleados</v>
      </c>
    </row>
    <row r="85" spans="1:3" ht="13.8" x14ac:dyDescent="0.3">
      <c r="A85" s="37" t="s">
        <v>100</v>
      </c>
      <c r="C85" t="str">
        <f t="shared" si="1"/>
        <v>301+ empleados</v>
      </c>
    </row>
    <row r="86" spans="1:3" ht="13.8" x14ac:dyDescent="0.3">
      <c r="A86" s="36" t="s">
        <v>100</v>
      </c>
      <c r="C86" t="str">
        <f t="shared" si="1"/>
        <v>301+ empleados</v>
      </c>
    </row>
    <row r="87" spans="1:3" ht="13.8" x14ac:dyDescent="0.3">
      <c r="A87" s="53" t="s">
        <v>100</v>
      </c>
      <c r="C87" t="str">
        <f t="shared" si="1"/>
        <v>301+ empleados</v>
      </c>
    </row>
    <row r="88" spans="1:3" ht="13.8" x14ac:dyDescent="0.3">
      <c r="A88" s="47" t="s">
        <v>161</v>
      </c>
      <c r="B88" t="s">
        <v>785</v>
      </c>
      <c r="C88" t="str">
        <f t="shared" si="1"/>
        <v>&lt;301 empleados</v>
      </c>
    </row>
    <row r="89" spans="1:3" ht="13.8" x14ac:dyDescent="0.3">
      <c r="A89" s="47" t="s">
        <v>149</v>
      </c>
      <c r="B89" t="s">
        <v>785</v>
      </c>
      <c r="C89" t="str">
        <f t="shared" si="1"/>
        <v>&lt;301 empleados</v>
      </c>
    </row>
    <row r="90" spans="1:3" ht="13.8" x14ac:dyDescent="0.3">
      <c r="A90" s="53" t="s">
        <v>100</v>
      </c>
      <c r="C90" t="str">
        <f t="shared" si="1"/>
        <v>301+ empleados</v>
      </c>
    </row>
    <row r="91" spans="1:3" ht="13.8" x14ac:dyDescent="0.3">
      <c r="A91" s="47" t="s">
        <v>100</v>
      </c>
      <c r="C91" t="str">
        <f t="shared" si="1"/>
        <v>301+ empleados</v>
      </c>
    </row>
    <row r="92" spans="1:3" ht="13.8" x14ac:dyDescent="0.3">
      <c r="A92" s="53" t="s">
        <v>149</v>
      </c>
      <c r="B92" t="s">
        <v>785</v>
      </c>
      <c r="C92" t="str">
        <f t="shared" si="1"/>
        <v>&lt;301 empleados</v>
      </c>
    </row>
    <row r="93" spans="1:3" ht="13.8" x14ac:dyDescent="0.3">
      <c r="A93" s="47" t="s">
        <v>100</v>
      </c>
      <c r="C93" t="str">
        <f t="shared" si="1"/>
        <v>301+ empleados</v>
      </c>
    </row>
    <row r="94" spans="1:3" ht="13.8" x14ac:dyDescent="0.3">
      <c r="A94" s="53" t="s">
        <v>100</v>
      </c>
      <c r="C94" t="str">
        <f t="shared" si="1"/>
        <v>301+ empleados</v>
      </c>
    </row>
    <row r="95" spans="1:3" ht="13.8" x14ac:dyDescent="0.3">
      <c r="A95" s="47" t="s">
        <v>100</v>
      </c>
      <c r="C95" t="str">
        <f t="shared" si="1"/>
        <v>301+ empleados</v>
      </c>
    </row>
    <row r="96" spans="1:3" ht="13.8" x14ac:dyDescent="0.3">
      <c r="A96" s="53" t="s">
        <v>100</v>
      </c>
      <c r="C96" t="str">
        <f t="shared" si="1"/>
        <v>301+ empleados</v>
      </c>
    </row>
    <row r="97" spans="1:3" ht="13.8" x14ac:dyDescent="0.3">
      <c r="A97" s="47" t="s">
        <v>100</v>
      </c>
      <c r="C97" t="str">
        <f t="shared" si="1"/>
        <v>301+ empleados</v>
      </c>
    </row>
    <row r="98" spans="1:3" ht="13.8" x14ac:dyDescent="0.3">
      <c r="A98" s="7" t="s">
        <v>100</v>
      </c>
      <c r="C98" t="str">
        <f t="shared" si="1"/>
        <v>301+ empleados</v>
      </c>
    </row>
    <row r="99" spans="1:3" ht="13.8" x14ac:dyDescent="0.3">
      <c r="A99" s="30" t="s">
        <v>100</v>
      </c>
      <c r="C99" t="str">
        <f t="shared" si="1"/>
        <v>301+ empleados</v>
      </c>
    </row>
    <row r="100" spans="1:3" ht="13.8" x14ac:dyDescent="0.3">
      <c r="A100" s="26" t="s">
        <v>190</v>
      </c>
      <c r="B100" t="s">
        <v>785</v>
      </c>
      <c r="C100" t="str">
        <f t="shared" si="1"/>
        <v>&lt;301 empleados</v>
      </c>
    </row>
    <row r="101" spans="1:3" ht="13.8" x14ac:dyDescent="0.3">
      <c r="A101" s="30" t="s">
        <v>161</v>
      </c>
      <c r="B101" t="s">
        <v>785</v>
      </c>
      <c r="C101" t="str">
        <f t="shared" si="1"/>
        <v>&lt;301 empleados</v>
      </c>
    </row>
    <row r="102" spans="1:3" ht="13.8" x14ac:dyDescent="0.3">
      <c r="A102" s="30" t="s">
        <v>100</v>
      </c>
      <c r="C102" t="str">
        <f t="shared" si="1"/>
        <v>301+ empleados</v>
      </c>
    </row>
    <row r="103" spans="1:3" ht="13.8" x14ac:dyDescent="0.3">
      <c r="A103" s="26" t="s">
        <v>161</v>
      </c>
      <c r="B103" t="s">
        <v>785</v>
      </c>
      <c r="C103" t="str">
        <f t="shared" si="1"/>
        <v>&lt;301 empleados</v>
      </c>
    </row>
    <row r="104" spans="1:3" ht="13.8" x14ac:dyDescent="0.3">
      <c r="A104" s="30" t="s">
        <v>100</v>
      </c>
      <c r="C104" t="str">
        <f t="shared" si="1"/>
        <v>301+ empleados</v>
      </c>
    </row>
    <row r="105" spans="1:3" ht="13.8" x14ac:dyDescent="0.3">
      <c r="A105" s="26" t="s">
        <v>100</v>
      </c>
      <c r="C105" t="str">
        <f t="shared" si="1"/>
        <v>301+ empleados</v>
      </c>
    </row>
    <row r="106" spans="1:3" ht="13.8" x14ac:dyDescent="0.3">
      <c r="A106" s="30" t="s">
        <v>100</v>
      </c>
      <c r="C106" t="str">
        <f t="shared" si="1"/>
        <v>301+ empleados</v>
      </c>
    </row>
    <row r="107" spans="1:3" ht="13.8" x14ac:dyDescent="0.3">
      <c r="A107" s="26" t="s">
        <v>195</v>
      </c>
      <c r="C107" t="str">
        <f t="shared" si="1"/>
        <v>301+ empleados</v>
      </c>
    </row>
    <row r="108" spans="1:3" ht="13.8" x14ac:dyDescent="0.3">
      <c r="A108" s="30" t="s">
        <v>190</v>
      </c>
      <c r="B108" t="s">
        <v>785</v>
      </c>
      <c r="C108" t="str">
        <f t="shared" si="1"/>
        <v>&lt;301 empleados</v>
      </c>
    </row>
    <row r="109" spans="1:3" ht="13.8" x14ac:dyDescent="0.3">
      <c r="A109" s="26" t="s">
        <v>100</v>
      </c>
      <c r="C109" t="str">
        <f t="shared" si="1"/>
        <v>301+ empleados</v>
      </c>
    </row>
    <row r="110" spans="1:3" ht="13.8" x14ac:dyDescent="0.3">
      <c r="A110" s="30" t="s">
        <v>100</v>
      </c>
      <c r="C110" t="str">
        <f t="shared" si="1"/>
        <v>301+ empleados</v>
      </c>
    </row>
    <row r="111" spans="1:3" ht="13.8" x14ac:dyDescent="0.3">
      <c r="A111" s="37" t="s">
        <v>100</v>
      </c>
      <c r="C111" t="str">
        <f t="shared" si="1"/>
        <v>301+ empleados</v>
      </c>
    </row>
    <row r="112" spans="1:3" ht="13.8" x14ac:dyDescent="0.3">
      <c r="A112" s="36" t="s">
        <v>100</v>
      </c>
      <c r="C112" t="str">
        <f t="shared" si="1"/>
        <v>301+ empleados</v>
      </c>
    </row>
    <row r="113" spans="1:3" ht="13.8" x14ac:dyDescent="0.3">
      <c r="A113" s="37" t="s">
        <v>161</v>
      </c>
      <c r="B113" t="s">
        <v>785</v>
      </c>
      <c r="C113" t="str">
        <f t="shared" si="1"/>
        <v>&lt;301 empleados</v>
      </c>
    </row>
    <row r="114" spans="1:3" ht="13.8" x14ac:dyDescent="0.3">
      <c r="A114" s="36" t="s">
        <v>100</v>
      </c>
      <c r="C114" t="str">
        <f t="shared" si="1"/>
        <v>301+ empleados</v>
      </c>
    </row>
    <row r="115" spans="1:3" ht="13.8" x14ac:dyDescent="0.3">
      <c r="A115" s="37" t="s">
        <v>100</v>
      </c>
      <c r="C115" t="str">
        <f t="shared" si="1"/>
        <v>301+ empleados</v>
      </c>
    </row>
    <row r="116" spans="1:3" ht="13.8" x14ac:dyDescent="0.3">
      <c r="A116" s="36" t="s">
        <v>161</v>
      </c>
      <c r="B116" t="s">
        <v>785</v>
      </c>
      <c r="C116" t="str">
        <f t="shared" si="1"/>
        <v>&lt;301 empleados</v>
      </c>
    </row>
    <row r="117" spans="1:3" ht="13.8" x14ac:dyDescent="0.3">
      <c r="A117" s="37" t="s">
        <v>100</v>
      </c>
      <c r="C117" t="str">
        <f t="shared" si="1"/>
        <v>301+ empleados</v>
      </c>
    </row>
    <row r="118" spans="1:3" ht="13.8" x14ac:dyDescent="0.3">
      <c r="A118" s="47" t="s">
        <v>100</v>
      </c>
      <c r="C118" t="str">
        <f t="shared" si="1"/>
        <v>301+ empleados</v>
      </c>
    </row>
    <row r="119" spans="1:3" ht="13.8" x14ac:dyDescent="0.3">
      <c r="A119" s="53" t="s">
        <v>149</v>
      </c>
      <c r="B119" t="s">
        <v>785</v>
      </c>
      <c r="C119" t="str">
        <f t="shared" si="1"/>
        <v>&lt;301 empleados</v>
      </c>
    </row>
    <row r="120" spans="1:3" ht="13.8" x14ac:dyDescent="0.3">
      <c r="A120" s="47" t="s">
        <v>100</v>
      </c>
      <c r="C120" t="str">
        <f t="shared" si="1"/>
        <v>301+ empleados</v>
      </c>
    </row>
    <row r="121" spans="1:3" ht="13.8" x14ac:dyDescent="0.3">
      <c r="A121" s="53" t="s">
        <v>100</v>
      </c>
      <c r="C121" t="str">
        <f t="shared" si="1"/>
        <v>301+ empleados</v>
      </c>
    </row>
    <row r="122" spans="1:3" ht="13.8" x14ac:dyDescent="0.3">
      <c r="A122" s="47" t="s">
        <v>100</v>
      </c>
      <c r="C122" t="str">
        <f t="shared" si="1"/>
        <v>301+ empleados</v>
      </c>
    </row>
    <row r="123" spans="1:3" ht="13.8" x14ac:dyDescent="0.3">
      <c r="A123" s="47" t="s">
        <v>149</v>
      </c>
      <c r="B123" t="s">
        <v>785</v>
      </c>
      <c r="C123" t="str">
        <f t="shared" si="1"/>
        <v>&lt;301 empleados</v>
      </c>
    </row>
    <row r="124" spans="1:3" ht="13.8" x14ac:dyDescent="0.3">
      <c r="A124" s="53" t="s">
        <v>149</v>
      </c>
      <c r="B124" t="s">
        <v>785</v>
      </c>
      <c r="C124" t="str">
        <f t="shared" si="1"/>
        <v>&lt;301 empleados</v>
      </c>
    </row>
    <row r="125" spans="1:3" ht="13.8" x14ac:dyDescent="0.3">
      <c r="A125" s="53" t="s">
        <v>149</v>
      </c>
      <c r="B125" t="s">
        <v>785</v>
      </c>
      <c r="C125" t="str">
        <f t="shared" si="1"/>
        <v>&lt;301 empleados</v>
      </c>
    </row>
    <row r="126" spans="1:3" ht="13.8" x14ac:dyDescent="0.3">
      <c r="A126" s="47" t="s">
        <v>100</v>
      </c>
      <c r="C126" t="str">
        <f t="shared" si="1"/>
        <v>301+ empleados</v>
      </c>
    </row>
    <row r="127" spans="1:3" ht="13.8" x14ac:dyDescent="0.3">
      <c r="A127" s="53" t="s">
        <v>100</v>
      </c>
      <c r="C127" t="str">
        <f t="shared" si="1"/>
        <v>301+ empleados</v>
      </c>
    </row>
    <row r="128" spans="1:3" ht="13.8" x14ac:dyDescent="0.3">
      <c r="A128" s="47" t="s">
        <v>100</v>
      </c>
      <c r="C128" t="str">
        <f t="shared" si="1"/>
        <v>301+ empleados</v>
      </c>
    </row>
    <row r="129" spans="1:3" ht="13.8" x14ac:dyDescent="0.3">
      <c r="A129" s="53" t="s">
        <v>100</v>
      </c>
      <c r="C129" t="str">
        <f t="shared" si="1"/>
        <v>301+ empleados</v>
      </c>
    </row>
    <row r="130" spans="1:3" ht="13.8" x14ac:dyDescent="0.3">
      <c r="A130" s="47" t="s">
        <v>195</v>
      </c>
      <c r="C130" t="str">
        <f t="shared" si="1"/>
        <v>301+ empleados</v>
      </c>
    </row>
    <row r="131" spans="1:3" ht="13.8" x14ac:dyDescent="0.3">
      <c r="A131" s="47" t="s">
        <v>100</v>
      </c>
      <c r="C131" t="str">
        <f t="shared" ref="C131:C194" si="2">IF(B131="&lt;301 empleados","&lt;301 empleados","301+ empleados")</f>
        <v>301+ empleados</v>
      </c>
    </row>
    <row r="132" spans="1:3" ht="13.8" x14ac:dyDescent="0.3">
      <c r="A132" s="7" t="s">
        <v>149</v>
      </c>
      <c r="B132" t="s">
        <v>785</v>
      </c>
      <c r="C132" t="str">
        <f t="shared" si="2"/>
        <v>&lt;301 empleados</v>
      </c>
    </row>
    <row r="133" spans="1:3" ht="13.8" x14ac:dyDescent="0.3">
      <c r="A133" s="14" t="s">
        <v>100</v>
      </c>
      <c r="C133" t="str">
        <f t="shared" si="2"/>
        <v>301+ empleados</v>
      </c>
    </row>
    <row r="134" spans="1:3" ht="13.8" x14ac:dyDescent="0.3">
      <c r="A134" s="7" t="s">
        <v>161</v>
      </c>
      <c r="B134" t="s">
        <v>785</v>
      </c>
      <c r="C134" t="str">
        <f t="shared" si="2"/>
        <v>&lt;301 empleados</v>
      </c>
    </row>
    <row r="135" spans="1:3" ht="13.8" x14ac:dyDescent="0.3">
      <c r="A135" s="14" t="s">
        <v>195</v>
      </c>
      <c r="C135" t="str">
        <f t="shared" si="2"/>
        <v>301+ empleados</v>
      </c>
    </row>
    <row r="136" spans="1:3" ht="13.8" x14ac:dyDescent="0.3">
      <c r="A136" s="7" t="s">
        <v>161</v>
      </c>
      <c r="B136" t="s">
        <v>785</v>
      </c>
      <c r="C136" t="str">
        <f t="shared" si="2"/>
        <v>&lt;301 empleados</v>
      </c>
    </row>
    <row r="137" spans="1:3" ht="13.8" x14ac:dyDescent="0.3">
      <c r="A137" s="7" t="s">
        <v>149</v>
      </c>
      <c r="B137" t="s">
        <v>785</v>
      </c>
      <c r="C137" t="str">
        <f t="shared" si="2"/>
        <v>&lt;301 empleados</v>
      </c>
    </row>
    <row r="138" spans="1:3" ht="13.8" x14ac:dyDescent="0.3">
      <c r="A138" s="14" t="s">
        <v>149</v>
      </c>
      <c r="B138" t="s">
        <v>785</v>
      </c>
      <c r="C138" t="str">
        <f t="shared" si="2"/>
        <v>&lt;301 empleados</v>
      </c>
    </row>
    <row r="139" spans="1:3" ht="13.8" x14ac:dyDescent="0.3">
      <c r="A139" s="7" t="s">
        <v>190</v>
      </c>
      <c r="B139" t="s">
        <v>785</v>
      </c>
      <c r="C139" t="str">
        <f t="shared" si="2"/>
        <v>&lt;301 empleados</v>
      </c>
    </row>
    <row r="140" spans="1:3" ht="13.8" x14ac:dyDescent="0.3">
      <c r="A140" s="7" t="s">
        <v>190</v>
      </c>
      <c r="B140" t="s">
        <v>785</v>
      </c>
      <c r="C140" t="str">
        <f t="shared" si="2"/>
        <v>&lt;301 empleados</v>
      </c>
    </row>
    <row r="141" spans="1:3" ht="13.8" x14ac:dyDescent="0.3">
      <c r="A141" s="14" t="s">
        <v>161</v>
      </c>
      <c r="B141" t="s">
        <v>785</v>
      </c>
      <c r="C141" t="str">
        <f t="shared" si="2"/>
        <v>&lt;301 empleados</v>
      </c>
    </row>
    <row r="142" spans="1:3" ht="13.8" x14ac:dyDescent="0.3">
      <c r="A142" s="7" t="s">
        <v>161</v>
      </c>
      <c r="B142" t="s">
        <v>785</v>
      </c>
      <c r="C142" t="str">
        <f t="shared" si="2"/>
        <v>&lt;301 empleados</v>
      </c>
    </row>
    <row r="143" spans="1:3" ht="13.8" x14ac:dyDescent="0.3">
      <c r="A143" s="14" t="s">
        <v>100</v>
      </c>
      <c r="C143" t="str">
        <f t="shared" si="2"/>
        <v>301+ empleados</v>
      </c>
    </row>
    <row r="144" spans="1:3" ht="13.8" x14ac:dyDescent="0.3">
      <c r="A144" s="7" t="s">
        <v>100</v>
      </c>
      <c r="C144" t="str">
        <f t="shared" si="2"/>
        <v>301+ empleados</v>
      </c>
    </row>
    <row r="145" spans="1:3" ht="13.8" x14ac:dyDescent="0.3">
      <c r="A145" s="30" t="s">
        <v>195</v>
      </c>
      <c r="C145" t="str">
        <f t="shared" si="2"/>
        <v>301+ empleados</v>
      </c>
    </row>
    <row r="146" spans="1:3" ht="13.8" x14ac:dyDescent="0.3">
      <c r="A146" s="26" t="s">
        <v>161</v>
      </c>
      <c r="B146" t="s">
        <v>785</v>
      </c>
      <c r="C146" t="str">
        <f t="shared" si="2"/>
        <v>&lt;301 empleados</v>
      </c>
    </row>
    <row r="147" spans="1:3" ht="13.8" x14ac:dyDescent="0.3">
      <c r="A147" s="30" t="s">
        <v>195</v>
      </c>
      <c r="C147" t="str">
        <f t="shared" si="2"/>
        <v>301+ empleados</v>
      </c>
    </row>
    <row r="148" spans="1:3" ht="13.8" x14ac:dyDescent="0.3">
      <c r="A148" s="26" t="s">
        <v>100</v>
      </c>
      <c r="C148" t="str">
        <f t="shared" si="2"/>
        <v>301+ empleados</v>
      </c>
    </row>
    <row r="149" spans="1:3" ht="13.8" x14ac:dyDescent="0.3">
      <c r="A149" s="30" t="s">
        <v>149</v>
      </c>
      <c r="B149" t="s">
        <v>785</v>
      </c>
      <c r="C149" t="str">
        <f t="shared" si="2"/>
        <v>&lt;301 empleados</v>
      </c>
    </row>
    <row r="150" spans="1:3" ht="13.8" x14ac:dyDescent="0.3">
      <c r="A150" s="30" t="s">
        <v>100</v>
      </c>
      <c r="C150" t="str">
        <f t="shared" si="2"/>
        <v>301+ empleados</v>
      </c>
    </row>
    <row r="151" spans="1:3" ht="13.8" x14ac:dyDescent="0.3">
      <c r="A151" s="26" t="s">
        <v>149</v>
      </c>
      <c r="B151" t="s">
        <v>785</v>
      </c>
      <c r="C151" t="str">
        <f t="shared" si="2"/>
        <v>&lt;301 empleados</v>
      </c>
    </row>
    <row r="152" spans="1:3" ht="13.8" x14ac:dyDescent="0.3">
      <c r="A152" s="30" t="s">
        <v>161</v>
      </c>
      <c r="B152" t="s">
        <v>785</v>
      </c>
      <c r="C152" t="str">
        <f t="shared" si="2"/>
        <v>&lt;301 empleados</v>
      </c>
    </row>
    <row r="153" spans="1:3" ht="13.8" x14ac:dyDescent="0.3">
      <c r="A153" s="26" t="s">
        <v>100</v>
      </c>
      <c r="C153" t="str">
        <f t="shared" si="2"/>
        <v>301+ empleados</v>
      </c>
    </row>
    <row r="154" spans="1:3" ht="13.8" x14ac:dyDescent="0.3">
      <c r="A154" s="30" t="s">
        <v>195</v>
      </c>
      <c r="C154" t="str">
        <f t="shared" si="2"/>
        <v>301+ empleados</v>
      </c>
    </row>
    <row r="155" spans="1:3" ht="13.8" x14ac:dyDescent="0.3">
      <c r="A155" s="26" t="s">
        <v>100</v>
      </c>
      <c r="C155" t="str">
        <f t="shared" si="2"/>
        <v>301+ empleados</v>
      </c>
    </row>
    <row r="156" spans="1:3" ht="13.8" x14ac:dyDescent="0.3">
      <c r="A156" s="26" t="s">
        <v>100</v>
      </c>
      <c r="C156" t="str">
        <f t="shared" si="2"/>
        <v>301+ empleados</v>
      </c>
    </row>
    <row r="157" spans="1:3" ht="13.8" x14ac:dyDescent="0.3">
      <c r="A157" s="30" t="s">
        <v>161</v>
      </c>
      <c r="B157" t="s">
        <v>785</v>
      </c>
      <c r="C157" t="str">
        <f t="shared" si="2"/>
        <v>&lt;301 empleados</v>
      </c>
    </row>
    <row r="158" spans="1:3" ht="13.8" x14ac:dyDescent="0.3">
      <c r="A158" s="26" t="s">
        <v>161</v>
      </c>
      <c r="B158" t="s">
        <v>785</v>
      </c>
      <c r="C158" t="str">
        <f t="shared" si="2"/>
        <v>&lt;301 empleados</v>
      </c>
    </row>
    <row r="159" spans="1:3" ht="13.8" x14ac:dyDescent="0.3">
      <c r="A159" s="30" t="s">
        <v>195</v>
      </c>
      <c r="C159" t="str">
        <f t="shared" si="2"/>
        <v>301+ empleados</v>
      </c>
    </row>
    <row r="160" spans="1:3" ht="13.8" x14ac:dyDescent="0.3">
      <c r="A160" s="26" t="s">
        <v>190</v>
      </c>
      <c r="B160" t="s">
        <v>785</v>
      </c>
      <c r="C160" t="str">
        <f t="shared" si="2"/>
        <v>&lt;301 empleados</v>
      </c>
    </row>
    <row r="161" spans="1:3" ht="13.8" x14ac:dyDescent="0.3">
      <c r="A161" s="30" t="s">
        <v>100</v>
      </c>
      <c r="C161" t="str">
        <f t="shared" si="2"/>
        <v>301+ empleados</v>
      </c>
    </row>
    <row r="162" spans="1:3" ht="13.8" x14ac:dyDescent="0.3">
      <c r="A162" s="26" t="s">
        <v>195</v>
      </c>
      <c r="C162" t="str">
        <f t="shared" si="2"/>
        <v>301+ empleados</v>
      </c>
    </row>
    <row r="163" spans="1:3" ht="13.8" x14ac:dyDescent="0.3">
      <c r="A163" s="30" t="s">
        <v>100</v>
      </c>
      <c r="C163" t="str">
        <f t="shared" si="2"/>
        <v>301+ empleados</v>
      </c>
    </row>
    <row r="164" spans="1:3" ht="13.8" x14ac:dyDescent="0.3">
      <c r="A164" s="26" t="s">
        <v>100</v>
      </c>
      <c r="C164" t="str">
        <f t="shared" si="2"/>
        <v>301+ empleados</v>
      </c>
    </row>
    <row r="165" spans="1:3" ht="13.8" x14ac:dyDescent="0.3">
      <c r="A165" s="30" t="s">
        <v>190</v>
      </c>
      <c r="B165" t="s">
        <v>785</v>
      </c>
      <c r="C165" t="str">
        <f t="shared" si="2"/>
        <v>&lt;301 empleados</v>
      </c>
    </row>
    <row r="166" spans="1:3" ht="13.8" x14ac:dyDescent="0.3">
      <c r="A166" s="26" t="s">
        <v>195</v>
      </c>
      <c r="C166" t="str">
        <f t="shared" si="2"/>
        <v>301+ empleados</v>
      </c>
    </row>
    <row r="167" spans="1:3" ht="13.8" x14ac:dyDescent="0.3">
      <c r="A167" s="30" t="s">
        <v>100</v>
      </c>
      <c r="C167" t="str">
        <f t="shared" si="2"/>
        <v>301+ empleados</v>
      </c>
    </row>
    <row r="168" spans="1:3" ht="13.8" x14ac:dyDescent="0.3">
      <c r="A168" s="26" t="s">
        <v>100</v>
      </c>
      <c r="C168" t="str">
        <f t="shared" si="2"/>
        <v>301+ empleados</v>
      </c>
    </row>
    <row r="169" spans="1:3" ht="13.8" x14ac:dyDescent="0.3">
      <c r="A169" s="30" t="s">
        <v>100</v>
      </c>
      <c r="C169" t="str">
        <f t="shared" si="2"/>
        <v>301+ empleados</v>
      </c>
    </row>
    <row r="170" spans="1:3" ht="13.8" x14ac:dyDescent="0.3">
      <c r="A170" s="26" t="s">
        <v>100</v>
      </c>
      <c r="C170" t="str">
        <f t="shared" si="2"/>
        <v>301+ empleados</v>
      </c>
    </row>
    <row r="171" spans="1:3" ht="13.8" x14ac:dyDescent="0.3">
      <c r="A171" s="36" t="s">
        <v>100</v>
      </c>
      <c r="C171" t="str">
        <f t="shared" si="2"/>
        <v>301+ empleados</v>
      </c>
    </row>
    <row r="172" spans="1:3" ht="13.8" x14ac:dyDescent="0.3">
      <c r="A172" s="37" t="s">
        <v>100</v>
      </c>
      <c r="C172" t="str">
        <f t="shared" si="2"/>
        <v>301+ empleados</v>
      </c>
    </row>
    <row r="173" spans="1:3" ht="13.8" x14ac:dyDescent="0.3">
      <c r="A173" s="36" t="s">
        <v>100</v>
      </c>
      <c r="C173" t="str">
        <f t="shared" si="2"/>
        <v>301+ empleados</v>
      </c>
    </row>
    <row r="174" spans="1:3" ht="13.8" x14ac:dyDescent="0.3">
      <c r="A174" s="37" t="s">
        <v>149</v>
      </c>
      <c r="B174" t="s">
        <v>785</v>
      </c>
      <c r="C174" t="str">
        <f t="shared" si="2"/>
        <v>&lt;301 empleados</v>
      </c>
    </row>
    <row r="175" spans="1:3" ht="13.8" x14ac:dyDescent="0.3">
      <c r="A175" s="36" t="s">
        <v>149</v>
      </c>
      <c r="B175" t="s">
        <v>785</v>
      </c>
      <c r="C175" t="str">
        <f t="shared" si="2"/>
        <v>&lt;301 empleados</v>
      </c>
    </row>
    <row r="176" spans="1:3" ht="13.8" x14ac:dyDescent="0.3">
      <c r="A176" s="37" t="s">
        <v>100</v>
      </c>
      <c r="C176" t="str">
        <f t="shared" si="2"/>
        <v>301+ empleados</v>
      </c>
    </row>
    <row r="177" spans="1:3" ht="13.8" x14ac:dyDescent="0.3">
      <c r="A177" s="36" t="s">
        <v>100</v>
      </c>
      <c r="C177" t="str">
        <f t="shared" si="2"/>
        <v>301+ empleados</v>
      </c>
    </row>
    <row r="178" spans="1:3" ht="13.8" x14ac:dyDescent="0.3">
      <c r="A178" s="37" t="s">
        <v>161</v>
      </c>
      <c r="B178" t="s">
        <v>785</v>
      </c>
      <c r="C178" t="str">
        <f t="shared" si="2"/>
        <v>&lt;301 empleados</v>
      </c>
    </row>
    <row r="179" spans="1:3" ht="13.8" x14ac:dyDescent="0.3">
      <c r="A179" s="36" t="s">
        <v>100</v>
      </c>
      <c r="C179" t="str">
        <f t="shared" si="2"/>
        <v>301+ empleados</v>
      </c>
    </row>
    <row r="180" spans="1:3" ht="13.8" x14ac:dyDescent="0.3">
      <c r="A180" s="37" t="s">
        <v>161</v>
      </c>
      <c r="B180" t="s">
        <v>785</v>
      </c>
      <c r="C180" t="str">
        <f t="shared" si="2"/>
        <v>&lt;301 empleados</v>
      </c>
    </row>
    <row r="181" spans="1:3" ht="13.8" x14ac:dyDescent="0.3">
      <c r="A181" s="36" t="s">
        <v>100</v>
      </c>
      <c r="C181" t="str">
        <f t="shared" si="2"/>
        <v>301+ empleados</v>
      </c>
    </row>
    <row r="182" spans="1:3" ht="13.8" x14ac:dyDescent="0.3">
      <c r="A182" s="37" t="s">
        <v>100</v>
      </c>
      <c r="C182" t="str">
        <f t="shared" si="2"/>
        <v>301+ empleados</v>
      </c>
    </row>
    <row r="183" spans="1:3" ht="13.8" x14ac:dyDescent="0.3">
      <c r="A183" s="36" t="s">
        <v>100</v>
      </c>
      <c r="C183" t="str">
        <f t="shared" si="2"/>
        <v>301+ empleados</v>
      </c>
    </row>
    <row r="184" spans="1:3" ht="13.8" x14ac:dyDescent="0.3">
      <c r="A184" s="37" t="s">
        <v>100</v>
      </c>
      <c r="C184" t="str">
        <f t="shared" si="2"/>
        <v>301+ empleados</v>
      </c>
    </row>
    <row r="185" spans="1:3" ht="13.8" x14ac:dyDescent="0.3">
      <c r="A185" s="36" t="s">
        <v>100</v>
      </c>
      <c r="C185" t="str">
        <f t="shared" si="2"/>
        <v>301+ empleados</v>
      </c>
    </row>
    <row r="186" spans="1:3" ht="13.8" x14ac:dyDescent="0.3">
      <c r="A186" s="37" t="s">
        <v>149</v>
      </c>
      <c r="B186" t="s">
        <v>785</v>
      </c>
      <c r="C186" t="str">
        <f t="shared" si="2"/>
        <v>&lt;301 empleados</v>
      </c>
    </row>
    <row r="187" spans="1:3" ht="13.8" x14ac:dyDescent="0.3">
      <c r="A187" s="36" t="s">
        <v>100</v>
      </c>
      <c r="C187" t="str">
        <f t="shared" si="2"/>
        <v>301+ empleados</v>
      </c>
    </row>
    <row r="188" spans="1:3" ht="13.8" x14ac:dyDescent="0.3">
      <c r="A188" s="37" t="s">
        <v>100</v>
      </c>
      <c r="C188" t="str">
        <f t="shared" si="2"/>
        <v>301+ empleados</v>
      </c>
    </row>
    <row r="189" spans="1:3" ht="13.8" x14ac:dyDescent="0.3">
      <c r="A189" s="36" t="s">
        <v>100</v>
      </c>
      <c r="C189" t="str">
        <f t="shared" si="2"/>
        <v>301+ empleados</v>
      </c>
    </row>
    <row r="190" spans="1:3" ht="13.8" x14ac:dyDescent="0.3">
      <c r="A190" s="53" t="s">
        <v>149</v>
      </c>
      <c r="B190" t="s">
        <v>785</v>
      </c>
      <c r="C190" t="str">
        <f t="shared" si="2"/>
        <v>&lt;301 empleados</v>
      </c>
    </row>
    <row r="191" spans="1:3" ht="13.8" x14ac:dyDescent="0.3">
      <c r="A191" s="47" t="s">
        <v>100</v>
      </c>
      <c r="C191" t="str">
        <f t="shared" si="2"/>
        <v>301+ empleados</v>
      </c>
    </row>
    <row r="192" spans="1:3" ht="13.8" x14ac:dyDescent="0.3">
      <c r="A192" s="53" t="s">
        <v>149</v>
      </c>
      <c r="B192" t="s">
        <v>785</v>
      </c>
      <c r="C192" t="str">
        <f t="shared" si="2"/>
        <v>&lt;301 empleados</v>
      </c>
    </row>
    <row r="193" spans="1:3" ht="13.8" x14ac:dyDescent="0.3">
      <c r="A193" s="47" t="s">
        <v>149</v>
      </c>
      <c r="B193" t="s">
        <v>785</v>
      </c>
      <c r="C193" t="str">
        <f t="shared" si="2"/>
        <v>&lt;301 empleados</v>
      </c>
    </row>
    <row r="194" spans="1:3" ht="13.8" x14ac:dyDescent="0.3">
      <c r="A194" s="53" t="s">
        <v>100</v>
      </c>
      <c r="C194" t="str">
        <f t="shared" si="2"/>
        <v>301+ empleados</v>
      </c>
    </row>
    <row r="195" spans="1:3" ht="13.8" x14ac:dyDescent="0.3">
      <c r="A195" s="47" t="s">
        <v>149</v>
      </c>
      <c r="B195" t="s">
        <v>785</v>
      </c>
      <c r="C195" t="str">
        <f t="shared" ref="C195:C233" si="3">IF(B195="&lt;301 empleados","&lt;301 empleados","301+ empleados")</f>
        <v>&lt;301 empleados</v>
      </c>
    </row>
    <row r="196" spans="1:3" ht="13.8" x14ac:dyDescent="0.3">
      <c r="A196" s="53" t="s">
        <v>161</v>
      </c>
      <c r="B196" t="s">
        <v>785</v>
      </c>
      <c r="C196" t="str">
        <f t="shared" si="3"/>
        <v>&lt;301 empleados</v>
      </c>
    </row>
    <row r="197" spans="1:3" ht="13.8" x14ac:dyDescent="0.3">
      <c r="A197" s="47" t="s">
        <v>100</v>
      </c>
      <c r="C197" t="str">
        <f t="shared" si="3"/>
        <v>301+ empleados</v>
      </c>
    </row>
    <row r="198" spans="1:3" ht="13.8" x14ac:dyDescent="0.3">
      <c r="A198" s="53" t="s">
        <v>161</v>
      </c>
      <c r="B198" t="s">
        <v>785</v>
      </c>
      <c r="C198" t="str">
        <f t="shared" si="3"/>
        <v>&lt;301 empleados</v>
      </c>
    </row>
    <row r="199" spans="1:3" ht="13.8" x14ac:dyDescent="0.3">
      <c r="A199" s="47" t="s">
        <v>100</v>
      </c>
      <c r="C199" t="str">
        <f t="shared" si="3"/>
        <v>301+ empleados</v>
      </c>
    </row>
    <row r="200" spans="1:3" ht="13.8" x14ac:dyDescent="0.3">
      <c r="A200" s="53" t="s">
        <v>149</v>
      </c>
      <c r="B200" t="s">
        <v>785</v>
      </c>
      <c r="C200" t="str">
        <f t="shared" si="3"/>
        <v>&lt;301 empleados</v>
      </c>
    </row>
    <row r="201" spans="1:3" ht="13.8" x14ac:dyDescent="0.3">
      <c r="A201" s="47" t="s">
        <v>195</v>
      </c>
      <c r="C201" t="str">
        <f t="shared" si="3"/>
        <v>301+ empleados</v>
      </c>
    </row>
    <row r="202" spans="1:3" ht="13.8" x14ac:dyDescent="0.3">
      <c r="A202" s="53" t="s">
        <v>100</v>
      </c>
      <c r="C202" t="str">
        <f t="shared" si="3"/>
        <v>301+ empleados</v>
      </c>
    </row>
    <row r="203" spans="1:3" ht="13.8" x14ac:dyDescent="0.3">
      <c r="A203" s="47" t="s">
        <v>149</v>
      </c>
      <c r="B203" t="s">
        <v>785</v>
      </c>
      <c r="C203" t="str">
        <f t="shared" si="3"/>
        <v>&lt;301 empleados</v>
      </c>
    </row>
    <row r="204" spans="1:3" ht="13.8" x14ac:dyDescent="0.3">
      <c r="A204" s="53" t="s">
        <v>100</v>
      </c>
      <c r="C204" t="str">
        <f t="shared" si="3"/>
        <v>301+ empleados</v>
      </c>
    </row>
    <row r="205" spans="1:3" ht="13.8" x14ac:dyDescent="0.3">
      <c r="A205" s="47" t="s">
        <v>100</v>
      </c>
      <c r="C205" t="str">
        <f t="shared" si="3"/>
        <v>301+ empleados</v>
      </c>
    </row>
    <row r="206" spans="1:3" ht="13.8" x14ac:dyDescent="0.3">
      <c r="A206" s="53" t="s">
        <v>149</v>
      </c>
      <c r="B206" t="s">
        <v>785</v>
      </c>
      <c r="C206" t="str">
        <f t="shared" si="3"/>
        <v>&lt;301 empleados</v>
      </c>
    </row>
    <row r="207" spans="1:3" ht="13.8" x14ac:dyDescent="0.3">
      <c r="A207" s="53" t="s">
        <v>149</v>
      </c>
      <c r="B207" t="s">
        <v>785</v>
      </c>
      <c r="C207" t="str">
        <f t="shared" si="3"/>
        <v>&lt;301 empleados</v>
      </c>
    </row>
    <row r="208" spans="1:3" ht="13.8" x14ac:dyDescent="0.3">
      <c r="A208" s="47" t="s">
        <v>149</v>
      </c>
      <c r="B208" t="s">
        <v>785</v>
      </c>
      <c r="C208" t="str">
        <f t="shared" si="3"/>
        <v>&lt;301 empleados</v>
      </c>
    </row>
    <row r="209" spans="1:3" ht="13.8" x14ac:dyDescent="0.3">
      <c r="A209" s="53" t="s">
        <v>149</v>
      </c>
      <c r="B209" t="s">
        <v>785</v>
      </c>
      <c r="C209" t="str">
        <f t="shared" si="3"/>
        <v>&lt;301 empleados</v>
      </c>
    </row>
    <row r="210" spans="1:3" ht="13.8" x14ac:dyDescent="0.3">
      <c r="A210" s="47" t="s">
        <v>149</v>
      </c>
      <c r="B210" t="s">
        <v>785</v>
      </c>
      <c r="C210" t="str">
        <f t="shared" si="3"/>
        <v>&lt;301 empleados</v>
      </c>
    </row>
    <row r="211" spans="1:3" ht="13.8" x14ac:dyDescent="0.3">
      <c r="A211" s="53" t="s">
        <v>149</v>
      </c>
      <c r="B211" t="s">
        <v>785</v>
      </c>
      <c r="C211" t="str">
        <f t="shared" si="3"/>
        <v>&lt;301 empleados</v>
      </c>
    </row>
    <row r="212" spans="1:3" ht="13.8" x14ac:dyDescent="0.3">
      <c r="A212" s="47" t="s">
        <v>161</v>
      </c>
      <c r="B212" t="s">
        <v>785</v>
      </c>
      <c r="C212" t="str">
        <f t="shared" si="3"/>
        <v>&lt;301 empleados</v>
      </c>
    </row>
    <row r="213" spans="1:3" ht="13.8" x14ac:dyDescent="0.3">
      <c r="A213" s="53" t="s">
        <v>149</v>
      </c>
      <c r="B213" t="s">
        <v>785</v>
      </c>
      <c r="C213" t="str">
        <f t="shared" si="3"/>
        <v>&lt;301 empleados</v>
      </c>
    </row>
    <row r="214" spans="1:3" ht="13.8" x14ac:dyDescent="0.3">
      <c r="A214" s="47" t="s">
        <v>100</v>
      </c>
      <c r="C214" t="str">
        <f t="shared" si="3"/>
        <v>301+ empleados</v>
      </c>
    </row>
    <row r="215" spans="1:3" ht="13.8" x14ac:dyDescent="0.3">
      <c r="A215" s="53" t="s">
        <v>195</v>
      </c>
      <c r="C215" t="str">
        <f t="shared" si="3"/>
        <v>301+ empleados</v>
      </c>
    </row>
    <row r="216" spans="1:3" ht="13.8" x14ac:dyDescent="0.3">
      <c r="A216" s="47" t="s">
        <v>100</v>
      </c>
      <c r="C216" t="str">
        <f t="shared" si="3"/>
        <v>301+ empleados</v>
      </c>
    </row>
    <row r="217" spans="1:3" ht="13.8" x14ac:dyDescent="0.3">
      <c r="A217" s="53" t="s">
        <v>195</v>
      </c>
      <c r="C217" t="str">
        <f t="shared" si="3"/>
        <v>301+ empleados</v>
      </c>
    </row>
    <row r="218" spans="1:3" ht="13.8" x14ac:dyDescent="0.3">
      <c r="A218" s="47" t="s">
        <v>100</v>
      </c>
      <c r="C218" t="str">
        <f t="shared" si="3"/>
        <v>301+ empleados</v>
      </c>
    </row>
    <row r="219" spans="1:3" ht="13.8" x14ac:dyDescent="0.3">
      <c r="A219" s="53" t="s">
        <v>100</v>
      </c>
      <c r="C219" t="str">
        <f t="shared" si="3"/>
        <v>301+ empleados</v>
      </c>
    </row>
    <row r="220" spans="1:3" ht="13.8" x14ac:dyDescent="0.3">
      <c r="A220" s="47" t="s">
        <v>100</v>
      </c>
      <c r="C220" t="str">
        <f t="shared" si="3"/>
        <v>301+ empleados</v>
      </c>
    </row>
    <row r="221" spans="1:3" ht="13.8" x14ac:dyDescent="0.3">
      <c r="A221" s="53" t="s">
        <v>100</v>
      </c>
      <c r="C221" t="str">
        <f t="shared" si="3"/>
        <v>301+ empleados</v>
      </c>
    </row>
    <row r="222" spans="1:3" ht="13.8" x14ac:dyDescent="0.3">
      <c r="A222" s="47" t="s">
        <v>100</v>
      </c>
      <c r="C222" t="str">
        <f t="shared" si="3"/>
        <v>301+ empleados</v>
      </c>
    </row>
    <row r="223" spans="1:3" ht="13.8" x14ac:dyDescent="0.3">
      <c r="A223" s="53" t="s">
        <v>100</v>
      </c>
      <c r="C223" t="str">
        <f t="shared" si="3"/>
        <v>301+ empleados</v>
      </c>
    </row>
    <row r="224" spans="1:3" ht="13.8" x14ac:dyDescent="0.3">
      <c r="A224" s="47" t="s">
        <v>100</v>
      </c>
      <c r="C224" t="str">
        <f t="shared" si="3"/>
        <v>301+ empleados</v>
      </c>
    </row>
    <row r="225" spans="1:3" ht="13.8" x14ac:dyDescent="0.3">
      <c r="A225" s="53" t="s">
        <v>100</v>
      </c>
      <c r="C225" t="str">
        <f t="shared" si="3"/>
        <v>301+ empleados</v>
      </c>
    </row>
    <row r="226" spans="1:3" ht="13.8" x14ac:dyDescent="0.3">
      <c r="A226" s="47" t="s">
        <v>100</v>
      </c>
      <c r="C226" t="str">
        <f t="shared" si="3"/>
        <v>301+ empleados</v>
      </c>
    </row>
    <row r="227" spans="1:3" ht="13.8" x14ac:dyDescent="0.3">
      <c r="A227" s="53" t="s">
        <v>100</v>
      </c>
      <c r="C227" t="str">
        <f t="shared" si="3"/>
        <v>301+ empleados</v>
      </c>
    </row>
    <row r="228" spans="1:3" ht="13.8" x14ac:dyDescent="0.3">
      <c r="A228" s="47" t="s">
        <v>190</v>
      </c>
      <c r="B228" t="s">
        <v>785</v>
      </c>
      <c r="C228" t="str">
        <f t="shared" si="3"/>
        <v>&lt;301 empleados</v>
      </c>
    </row>
    <row r="229" spans="1:3" ht="13.8" x14ac:dyDescent="0.3">
      <c r="A229" s="53" t="s">
        <v>100</v>
      </c>
      <c r="C229" t="str">
        <f t="shared" si="3"/>
        <v>301+ empleados</v>
      </c>
    </row>
    <row r="230" spans="1:3" ht="13.8" x14ac:dyDescent="0.3">
      <c r="A230" s="47" t="s">
        <v>100</v>
      </c>
      <c r="C230" t="str">
        <f t="shared" si="3"/>
        <v>301+ empleados</v>
      </c>
    </row>
    <row r="231" spans="1:3" ht="13.8" x14ac:dyDescent="0.3">
      <c r="A231" s="53" t="s">
        <v>100</v>
      </c>
      <c r="C231" t="str">
        <f t="shared" si="3"/>
        <v>301+ empleados</v>
      </c>
    </row>
    <row r="232" spans="1:3" ht="13.8" x14ac:dyDescent="0.3">
      <c r="A232" s="47" t="s">
        <v>100</v>
      </c>
      <c r="C232" t="str">
        <f t="shared" si="3"/>
        <v>301+ empleados</v>
      </c>
    </row>
    <row r="233" spans="1:3" ht="13.8" x14ac:dyDescent="0.3">
      <c r="A233" s="53" t="s">
        <v>149</v>
      </c>
      <c r="B233" t="s">
        <v>785</v>
      </c>
      <c r="C233" t="str">
        <f t="shared" si="3"/>
        <v>&lt;301 empleados</v>
      </c>
    </row>
  </sheetData>
  <autoFilter ref="A1:A233" xr:uid="{AC87AC28-56B6-4B3B-A0D2-DE83F9AF818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Sheet2</vt:lpstr>
      <vt:lpstr>Datos</vt:lpstr>
      <vt:lpstr>Sheet4</vt:lpstr>
      <vt:lpstr>Resultados</vt:lpstr>
      <vt:lpstr>Lista Lideres</vt:lpstr>
      <vt:lpstr>Eliminados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Camilo Andres Daza Ramirez</cp:lastModifiedBy>
  <dcterms:modified xsi:type="dcterms:W3CDTF">2025-05-14T11:52:37Z</dcterms:modified>
</cp:coreProperties>
</file>