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ca_daza10_uniandes_edu_co/Documents/2. Universidad Sistemas Full/Semestre 4 ISIS/1. Tesis/03. Wip/Analysis/"/>
    </mc:Choice>
  </mc:AlternateContent>
  <xr:revisionPtr revIDLastSave="155" documentId="8_{6E4DB566-13DB-4C0F-96C4-77C6C7F2512E}" xr6:coauthVersionLast="47" xr6:coauthVersionMax="47" xr10:uidLastSave="{E1C8D8D3-4F17-4590-8690-50F00E7B79F8}"/>
  <bookViews>
    <workbookView xWindow="-108" yWindow="-108" windowWidth="23256" windowHeight="14016" activeTab="1" xr2:uid="{C9C034F8-88B9-46DF-ADEA-8BF60592A328}"/>
  </bookViews>
  <sheets>
    <sheet name="Datos" sheetId="1" r:id="rId1"/>
    <sheet name="Sheet2" sheetId="3" r:id="rId2"/>
  </sheets>
  <definedNames>
    <definedName name="_xlnm._FilterDatabase" localSheetId="0" hidden="1">Datos!$A$1:$CX$58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1" l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2" i="1"/>
  <c r="CY1" i="1" l="1"/>
  <c r="CY2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</calcChain>
</file>

<file path=xl/sharedStrings.xml><?xml version="1.0" encoding="utf-8"?>
<sst xmlns="http://schemas.openxmlformats.org/spreadsheetml/2006/main" count="5738" uniqueCount="546">
  <si>
    <t>&lt;301 empleados</t>
  </si>
  <si>
    <t>Menor que cuando iba todos los días a la oficina</t>
  </si>
  <si>
    <t>Iguales que cuando iba todos los días a la oficina</t>
  </si>
  <si>
    <t>Mucho Mayor que cuando iba todos los días a la oficina</t>
  </si>
  <si>
    <t>Igual que cuando iba todos los días a la oficina</t>
  </si>
  <si>
    <t>Mayor que cuando iba todos los días a la oficina</t>
  </si>
  <si>
    <t>Menores que cuando iba todos los días a la oficina</t>
  </si>
  <si>
    <t>Mucho menor que cuando iba todos los días a la oficina</t>
  </si>
  <si>
    <t>Más que cuando iba todos los días a la oficina</t>
  </si>
  <si>
    <t>No hay diferencias culturales en mi equipo</t>
  </si>
  <si>
    <t>Mas que cuando iba todos los días a la oficina</t>
  </si>
  <si>
    <t>Mucho más que cuando iba todos los días a la oficina</t>
  </si>
  <si>
    <t>No trabajo con personas de distintas culturas</t>
  </si>
  <si>
    <t>No tengo la información para contestar a la pregunta</t>
  </si>
  <si>
    <t>Mejoran mi productividad</t>
  </si>
  <si>
    <t>No me influye</t>
  </si>
  <si>
    <t>Menor cuando iba todos los días a la oficina</t>
  </si>
  <si>
    <t>Mayor que cuando eran en la oficina</t>
  </si>
  <si>
    <t>Todas por videoconferencia</t>
  </si>
  <si>
    <t>En desacuerdo</t>
  </si>
  <si>
    <t>Impuesta por la empresa</t>
  </si>
  <si>
    <t>Híbrida casa (más días en casa que en la oficina)</t>
  </si>
  <si>
    <t xml:space="preserve">Ninguno. </t>
  </si>
  <si>
    <t xml:space="preserve">No recomienda. </t>
  </si>
  <si>
    <t>No me obliga.</t>
  </si>
  <si>
    <t xml:space="preserve">Eventos de la compañia tipo 'Team Building' y sesiones de desarrollo de estrategia. </t>
  </si>
  <si>
    <t>Ninguno</t>
  </si>
  <si>
    <t>4-5 días</t>
  </si>
  <si>
    <t>Alto</t>
  </si>
  <si>
    <t>Frecuentemente</t>
  </si>
  <si>
    <t>Multinacional</t>
  </si>
  <si>
    <t>Fábrica de Software</t>
  </si>
  <si>
    <t>&lt;50 empleados</t>
  </si>
  <si>
    <t>Catapult Labs LLC</t>
  </si>
  <si>
    <t>Growth Lead</t>
  </si>
  <si>
    <t>Trainer</t>
  </si>
  <si>
    <t>5-10 años</t>
  </si>
  <si>
    <t>11-20 años</t>
  </si>
  <si>
    <t>México</t>
  </si>
  <si>
    <t>Como empleado de una empresa</t>
  </si>
  <si>
    <t>Estudiante de Maestría</t>
  </si>
  <si>
    <t>Masculino</t>
  </si>
  <si>
    <t>36+ años</t>
  </si>
  <si>
    <t>301+ empleados</t>
  </si>
  <si>
    <t>MANUELINX@GMAIL.COM</t>
  </si>
  <si>
    <t>Mayores que cuando iba todos los días a la oficina</t>
  </si>
  <si>
    <t>Mejor que cuando iba todos los días a la oficina</t>
  </si>
  <si>
    <t>Mucho mayor que cuando iba todos los días a la oficina</t>
  </si>
  <si>
    <t>Peor que cuando iba todos los días a la oficina</t>
  </si>
  <si>
    <t>Menos que cuando iba todos los días a la oficina</t>
  </si>
  <si>
    <t>Mucho menores que cuando iba todos los días a la oficina</t>
  </si>
  <si>
    <t>Mejoran mucho mi productividad</t>
  </si>
  <si>
    <t>Mejora mucho mi desempeño en el trabajo</t>
  </si>
  <si>
    <t>Mucho Mejor que cuando iba todos los días a la oficina</t>
  </si>
  <si>
    <t>Mucho menor que cuando eran en la oficina</t>
  </si>
  <si>
    <t>Muy diferentes que cuando iba todos los días a la oficina, ahora necesito muchas menos horas para hacer lo mismo</t>
  </si>
  <si>
    <t>X</t>
  </si>
  <si>
    <t>REVISION DE EQUIPO</t>
  </si>
  <si>
    <t>Muy Frecuentemente</t>
  </si>
  <si>
    <t>Empresa que subcontrata (outsourcing) los servicios de otra empresa situada en otro país</t>
  </si>
  <si>
    <t>&gt;500 empleados.</t>
  </si>
  <si>
    <t>CONDUENT</t>
  </si>
  <si>
    <t>SUPERVISOR DE CUENTAS POR COBRAR</t>
  </si>
  <si>
    <t>10-20 años</t>
  </si>
  <si>
    <t>&lt;5 años</t>
  </si>
  <si>
    <t>USA</t>
  </si>
  <si>
    <t>Licenciatura</t>
  </si>
  <si>
    <t>Mucho menos que cuando iba todos los días a la oficina</t>
  </si>
  <si>
    <t>No afectan a mi productividad</t>
  </si>
  <si>
    <t>Negativamente a la hora de desempeñar mi trabajo</t>
  </si>
  <si>
    <t>Menor que cuando eran en la oficina</t>
  </si>
  <si>
    <t>Totalmente de acuerdo</t>
  </si>
  <si>
    <t>Consensuada por las dos partes</t>
  </si>
  <si>
    <t>Remota ( todos los días en casa)</t>
  </si>
  <si>
    <t>Mejora mi desempeño en el trabajo</t>
  </si>
  <si>
    <t>Casi todas por videoconferencia</t>
  </si>
  <si>
    <t>Diferentes que cuando iba todos los días a la oficina, ahora necesito menos horas para hacer lo mismo</t>
  </si>
  <si>
    <t>No sé</t>
  </si>
  <si>
    <t>1-2 días</t>
  </si>
  <si>
    <t>Empresa que subcontrata (outsourcing) los servicios de otra del mismo país</t>
  </si>
  <si>
    <t>Estados Unidos</t>
  </si>
  <si>
    <t>Femenino</t>
  </si>
  <si>
    <t>Mucho Mayores que cuando iba todos los días a la oficina</t>
  </si>
  <si>
    <t>Mucho mas que cuando iba todos los días a la oficina</t>
  </si>
  <si>
    <t>Mucho peor que cuando iba todos los días a la oficina</t>
  </si>
  <si>
    <t>Mucho mayores que cuando iba todos los días a la oficina</t>
  </si>
  <si>
    <t>No trabajo con personas con un horario distinto al mío</t>
  </si>
  <si>
    <t>Totalmente en desacuerdo</t>
  </si>
  <si>
    <t>Para conocer a todo el equipo</t>
  </si>
  <si>
    <t>Cuando el cliente lo solicita</t>
  </si>
  <si>
    <t>Solo cuando hay algun evento del area</t>
  </si>
  <si>
    <t>Empresa que desarrolla software a medida partiendo desde cero</t>
  </si>
  <si>
    <t>Lead enginner</t>
  </si>
  <si>
    <t>Japón</t>
  </si>
  <si>
    <t>marthainesjc17@gmail.com</t>
  </si>
  <si>
    <t>Mejora en las instalaciones, snacks</t>
  </si>
  <si>
    <t>Cada cuatrimestre del año, 5 días consecutivos</t>
  </si>
  <si>
    <t>A veces</t>
  </si>
  <si>
    <t>151-300 empleados</t>
  </si>
  <si>
    <t>Jellyfish</t>
  </si>
  <si>
    <t>Business Intelligence Manager</t>
  </si>
  <si>
    <t>Junior Data Analyst</t>
  </si>
  <si>
    <t>Mexico</t>
  </si>
  <si>
    <t>Maestría</t>
  </si>
  <si>
    <t>Mucho mejor que cuando iba todos los días a la oficina</t>
  </si>
  <si>
    <t>Decidida por ti</t>
  </si>
  <si>
    <t>1 ves cada dos semanas por el puesto de lider</t>
  </si>
  <si>
    <t>MINSAIT</t>
  </si>
  <si>
    <t>Tech Lead  AI Lab</t>
  </si>
  <si>
    <t>Jr, Mid</t>
  </si>
  <si>
    <t>España</t>
  </si>
  <si>
    <t>Maestria</t>
  </si>
  <si>
    <t>Igual que cuando eran en la oficina</t>
  </si>
  <si>
    <t>De acuerdo</t>
  </si>
  <si>
    <t xml:space="preserve">Estados Unidos </t>
  </si>
  <si>
    <t>Diferentes que cuando iba todos los días a la oficina, ahora necesito más horas para hacer lo mismo</t>
  </si>
  <si>
    <t>Ninguna</t>
  </si>
  <si>
    <t>Nunca</t>
  </si>
  <si>
    <t xml:space="preserve">cuando se tiene una reunión con gerencia o el cliente </t>
  </si>
  <si>
    <t>Gerente de Inteligencia de Análisis Datos</t>
  </si>
  <si>
    <t xml:space="preserve">Gerente de Inteligencia de Análisis Datos </t>
  </si>
  <si>
    <t>No</t>
  </si>
  <si>
    <t>Cuando hay temas difíciles a tratar</t>
  </si>
  <si>
    <t>Na</t>
  </si>
  <si>
    <t>Visitas de cliente o personal de corporativo</t>
  </si>
  <si>
    <t>Conduent</t>
  </si>
  <si>
    <t>Gerente de operaciones</t>
  </si>
  <si>
    <t>Gerente de cuenta</t>
  </si>
  <si>
    <t>Estados Unidos de america</t>
  </si>
  <si>
    <t>Un viernes o lunes</t>
  </si>
  <si>
    <t>Solo he ido por reparación de equipo</t>
  </si>
  <si>
    <t>Si</t>
  </si>
  <si>
    <t>Performance test lead/manager</t>
  </si>
  <si>
    <t>Gerente de calidad (qa)</t>
  </si>
  <si>
    <t>Ingenieria</t>
  </si>
  <si>
    <t>No tengo que utilizar diferentes idiomas en mi trabajo</t>
  </si>
  <si>
    <t>Casi Nunca</t>
  </si>
  <si>
    <t>301-500 empleados</t>
  </si>
  <si>
    <t xml:space="preserve">España </t>
  </si>
  <si>
    <t xml:space="preserve">Licenciatura </t>
  </si>
  <si>
    <t>Developer</t>
  </si>
  <si>
    <t>Francia</t>
  </si>
  <si>
    <t>Alemania</t>
  </si>
  <si>
    <t>21-30 años</t>
  </si>
  <si>
    <t>Local</t>
  </si>
  <si>
    <t>De ambas formas</t>
  </si>
  <si>
    <t>51-150 empleados</t>
  </si>
  <si>
    <t>No trabajo con personas con distintos horarios</t>
  </si>
  <si>
    <t>NA</t>
  </si>
  <si>
    <t>De forma autónoma/independiente/freelance</t>
  </si>
  <si>
    <t>No trabajo  con personas que se encuentran geográficamente distribuidas</t>
  </si>
  <si>
    <t xml:space="preserve">Maestría </t>
  </si>
  <si>
    <t>Híbrida oficina (más días en la oficina que en casa)</t>
  </si>
  <si>
    <t xml:space="preserve">México </t>
  </si>
  <si>
    <t>Desarrollador de Software</t>
  </si>
  <si>
    <t>Reuniones presenciales</t>
  </si>
  <si>
    <t>Mucho Mayor que cuando eran en la oficina</t>
  </si>
  <si>
    <t>INDRA</t>
  </si>
  <si>
    <t>Disminuyen mi productividad</t>
  </si>
  <si>
    <t>ninguno</t>
  </si>
  <si>
    <t>Nacional (múltiples sedes en el mismo país)</t>
  </si>
  <si>
    <t>Universitario</t>
  </si>
  <si>
    <t>La Mitad por videoconferencia y la mitad presencial</t>
  </si>
  <si>
    <t>victornoriega7@gmail.com</t>
  </si>
  <si>
    <t>Fiestas</t>
  </si>
  <si>
    <t>Eviden</t>
  </si>
  <si>
    <t>Lider tecnico</t>
  </si>
  <si>
    <t>Cientifico de datos</t>
  </si>
  <si>
    <t>laygrenot@gmail.com</t>
  </si>
  <si>
    <t>Orbitware</t>
  </si>
  <si>
    <t>Supervisor de informes en tecnología empresarial (Report Monitoring, BI)</t>
  </si>
  <si>
    <t>Analista en Inteligencia de negocios</t>
  </si>
  <si>
    <t>Nivel Superior</t>
  </si>
  <si>
    <t>Postgrado</t>
  </si>
  <si>
    <t xml:space="preserve"> N/A</t>
  </si>
  <si>
    <t>JUNTAS DE ESTRATEGIA O ESPECIALES</t>
  </si>
  <si>
    <t>CATAPULT LABS</t>
  </si>
  <si>
    <t>GERENTE DE ADMINISTRACION Y OPERACIONES</t>
  </si>
  <si>
    <t>ADMINISTRACION DE PROYECTOS</t>
  </si>
  <si>
    <t>MEXICO-USA</t>
  </si>
  <si>
    <t>MAESTRIA</t>
  </si>
  <si>
    <t>Reuniones puntuales</t>
  </si>
  <si>
    <t>Posgrado</t>
  </si>
  <si>
    <t>Visita cliente</t>
  </si>
  <si>
    <t>1 dia a la semana, sobre todo si hay visita de cliente</t>
  </si>
  <si>
    <t>Nttdata</t>
  </si>
  <si>
    <t>Service manager</t>
  </si>
  <si>
    <t>Tecnico it y responsable equipos</t>
  </si>
  <si>
    <t>Ciclo formativo superior</t>
  </si>
  <si>
    <t>team building</t>
  </si>
  <si>
    <t>Presentaciones</t>
  </si>
  <si>
    <t>Proyect Manager</t>
  </si>
  <si>
    <t>Técnico</t>
  </si>
  <si>
    <t>Ciudad Real</t>
  </si>
  <si>
    <t>Ingeniero Informatico</t>
  </si>
  <si>
    <t>20-30 años</t>
  </si>
  <si>
    <t>Consultor</t>
  </si>
  <si>
    <t>Parking</t>
  </si>
  <si>
    <t>Reuniones de equipo puntuales</t>
  </si>
  <si>
    <t>Director Técnico</t>
  </si>
  <si>
    <t>Ingeniero Superior y Doctor</t>
  </si>
  <si>
    <t>N/A</t>
  </si>
  <si>
    <t>Doctorado</t>
  </si>
  <si>
    <t>Analista</t>
  </si>
  <si>
    <t xml:space="preserve">Colombia </t>
  </si>
  <si>
    <t>Colombia</t>
  </si>
  <si>
    <t>Ninguno actualmente estoy 100%</t>
  </si>
  <si>
    <t>Planeacion estrategica, roadpmaps, etc</t>
  </si>
  <si>
    <t>No me han obligado, siempre es un acuerdo, con las que era hibrido, a veces iba a veces no</t>
  </si>
  <si>
    <t xml:space="preserve">De momento, no pero trabaje en Rocketfy 100% virtual e iba a la oficina una vez por año para temas estrategicos </t>
  </si>
  <si>
    <t>Alegra</t>
  </si>
  <si>
    <t>Product Manager</t>
  </si>
  <si>
    <t>No he trabajado de forma precial al 100%, he trabajado hibrido en terpel (4 meses) como agile project manager y en Sumer (2 meses) como product Manager</t>
  </si>
  <si>
    <t>Cursando Maestria</t>
  </si>
  <si>
    <t>Master</t>
  </si>
  <si>
    <t>arielqs@gmail.com</t>
  </si>
  <si>
    <t>No me obligan</t>
  </si>
  <si>
    <t>Reuniones específicas</t>
  </si>
  <si>
    <t>Automundial</t>
  </si>
  <si>
    <t>Gerente de Innovación y Tecnología</t>
  </si>
  <si>
    <t>Instructor</t>
  </si>
  <si>
    <t>Universidad de los Andes</t>
  </si>
  <si>
    <t>Magister</t>
  </si>
  <si>
    <t>john.osorioc@outlook.com</t>
  </si>
  <si>
    <t xml:space="preserve">para encuentros de toda la empresa </t>
  </si>
  <si>
    <t>Director de desarrollo de soluciones</t>
  </si>
  <si>
    <t>Ingeniero de desarrollo de software</t>
  </si>
  <si>
    <t>cv.hernandez10@uniandes.edu.co</t>
  </si>
  <si>
    <t>Integraciones de equipo, Reuniones con foco estratégico, Reuniones con equipo interdisciplinar no solo el área de TI.</t>
  </si>
  <si>
    <t>Coordinadora Equipo de Desarrollo de Software</t>
  </si>
  <si>
    <t>Ingeniera de desarrollo de software Senior</t>
  </si>
  <si>
    <t>Seguimiento de proyectos importantes</t>
  </si>
  <si>
    <t>Reuniones con clientes</t>
  </si>
  <si>
    <t>Spring review</t>
  </si>
  <si>
    <t>Software Colombia S.A.S.</t>
  </si>
  <si>
    <t>Ceo</t>
  </si>
  <si>
    <t>Gerente de TI</t>
  </si>
  <si>
    <t>Phd</t>
  </si>
  <si>
    <t>Profesional</t>
  </si>
  <si>
    <t>Bogota</t>
  </si>
  <si>
    <t>Presencial (todos los días en la oficina)</t>
  </si>
  <si>
    <t>NO</t>
  </si>
  <si>
    <t xml:space="preserve">TODOS LOS DIAS </t>
  </si>
  <si>
    <t>TODOS LOS DIAS</t>
  </si>
  <si>
    <t>&gt;5 días</t>
  </si>
  <si>
    <t>HUSI</t>
  </si>
  <si>
    <t>COORDINADOR DE DATA CLINICAL ANALYTICS</t>
  </si>
  <si>
    <t>COORDINADOR MEDICO</t>
  </si>
  <si>
    <t>BOGOTA</t>
  </si>
  <si>
    <t>POSTGRADOS</t>
  </si>
  <si>
    <t xml:space="preserve">Universitario </t>
  </si>
  <si>
    <t>Argentina</t>
  </si>
  <si>
    <t>Reuniones</t>
  </si>
  <si>
    <t>&lt;35 años</t>
  </si>
  <si>
    <t>nada</t>
  </si>
  <si>
    <t>2 dias a la semana</t>
  </si>
  <si>
    <t>3-4 días</t>
  </si>
  <si>
    <t>Cognizant</t>
  </si>
  <si>
    <t>Engineering Manager</t>
  </si>
  <si>
    <t>Technical Lead</t>
  </si>
  <si>
    <t>Se nos pide cumplir con 3 días a la semana de manera regular</t>
  </si>
  <si>
    <t>Internet Brands</t>
  </si>
  <si>
    <t>Lead SDET</t>
  </si>
  <si>
    <t>Senior QA Engineer</t>
  </si>
  <si>
    <t>gallo9nitsuga@gmail.com</t>
  </si>
  <si>
    <t>Reuniones de seguimiento</t>
  </si>
  <si>
    <t>Reuniones, cliente o integración</t>
  </si>
  <si>
    <t>Minsait</t>
  </si>
  <si>
    <t>Manager de IA</t>
  </si>
  <si>
    <t>Project Manager Jr</t>
  </si>
  <si>
    <t>Reuniones todo el personal</t>
  </si>
  <si>
    <t>Direccion</t>
  </si>
  <si>
    <t>Gerencia</t>
  </si>
  <si>
    <t xml:space="preserve">Maestria </t>
  </si>
  <si>
    <t>no</t>
  </si>
  <si>
    <t>Senior Developer/ Project Manager</t>
  </si>
  <si>
    <t>Junior/Senior Developer</t>
  </si>
  <si>
    <t>Ingeniero informático</t>
  </si>
  <si>
    <t>Suiza</t>
  </si>
  <si>
    <t>lllmarivi@gmail.com</t>
  </si>
  <si>
    <t>Reuniones y coordinacion</t>
  </si>
  <si>
    <t>Atos</t>
  </si>
  <si>
    <t>Gestor de proyectos</t>
  </si>
  <si>
    <t xml:space="preserve">Gestor de proyectos </t>
  </si>
  <si>
    <t>NTT Data</t>
  </si>
  <si>
    <t>Universitarios</t>
  </si>
  <si>
    <t xml:space="preserve">Ninguno </t>
  </si>
  <si>
    <t xml:space="preserve">Anuncios, visitas de cliente y trabajo colaborativo </t>
  </si>
  <si>
    <t>Para reuniones importantes anuncios</t>
  </si>
  <si>
    <t xml:space="preserve">Director of technology </t>
  </si>
  <si>
    <t xml:space="preserve">Senior software developer </t>
  </si>
  <si>
    <t>irobayab@banrep.gov.co</t>
  </si>
  <si>
    <t>No.</t>
  </si>
  <si>
    <t>Para una reunión con la alta gerencia.</t>
  </si>
  <si>
    <t>Solo 1 día a la semana. Trabajo con mi equipo.</t>
  </si>
  <si>
    <t>Banrep</t>
  </si>
  <si>
    <t>Chief Architecture and Innovation Officer</t>
  </si>
  <si>
    <t>Director de Arquitectura e Innovación</t>
  </si>
  <si>
    <t>danimorenod92@gmail.com</t>
  </si>
  <si>
    <t>visitas al cliente, reuniones de venta</t>
  </si>
  <si>
    <t>evaluaciones de desempeño</t>
  </si>
  <si>
    <t xml:space="preserve">reuniones, visitas </t>
  </si>
  <si>
    <t>MS</t>
  </si>
  <si>
    <t>Gerente</t>
  </si>
  <si>
    <t>Consultor Jr</t>
  </si>
  <si>
    <t>Comités Directivos, Reuniones de alto impacto</t>
  </si>
  <si>
    <t>Reuniones, eventos.</t>
  </si>
  <si>
    <t>Project Manager</t>
  </si>
  <si>
    <t>Consultor HCM</t>
  </si>
  <si>
    <t>Especialización</t>
  </si>
  <si>
    <t>pentacool+andes@gmail.com</t>
  </si>
  <si>
    <t>Eventos</t>
  </si>
  <si>
    <t>Por obligación</t>
  </si>
  <si>
    <t>Líder técnico</t>
  </si>
  <si>
    <t>Bajo</t>
  </si>
  <si>
    <t>CAFFENIO</t>
  </si>
  <si>
    <t>victor.ibarra.encinas@gmail.com</t>
  </si>
  <si>
    <t>La mayoría presenciales</t>
  </si>
  <si>
    <t>Parking, alimentacion</t>
  </si>
  <si>
    <t>Asuntos urgentes</t>
  </si>
  <si>
    <t>Director</t>
  </si>
  <si>
    <t xml:space="preserve">celiahc823@gmail.com </t>
  </si>
  <si>
    <t xml:space="preserve">Bonos semestrales, crecimiento </t>
  </si>
  <si>
    <t xml:space="preserve">Para asistir a reuniones con Dirección </t>
  </si>
  <si>
    <t>Gerente de Arquitectura</t>
  </si>
  <si>
    <t xml:space="preserve">Coordinador business intelligence </t>
  </si>
  <si>
    <t>josel.espinosa@ubotica.com</t>
  </si>
  <si>
    <t>Nada específico</t>
  </si>
  <si>
    <t>Cuando hay que utilizar hardware específico</t>
  </si>
  <si>
    <t>Principal Engineer</t>
  </si>
  <si>
    <t>Irlanda</t>
  </si>
  <si>
    <t>Manager</t>
  </si>
  <si>
    <t>Ingeniero + MBA</t>
  </si>
  <si>
    <t>angel.suarezbarcena@gmail.com</t>
  </si>
  <si>
    <t>Las tenemos vayamos o no</t>
  </si>
  <si>
    <t>Las mismas</t>
  </si>
  <si>
    <t>Reuniones presenciales, situaciones especiales o problemas complejos</t>
  </si>
  <si>
    <t>Telefónica</t>
  </si>
  <si>
    <t>Director de Proyecto</t>
  </si>
  <si>
    <t>Ingeniero superior</t>
  </si>
  <si>
    <t>Cris.ie91@gmail.com</t>
  </si>
  <si>
    <t>Parking, comida, guarderia, gimnasio, buenas instalaciones, lanzaderas de bus</t>
  </si>
  <si>
    <t>El 70%</t>
  </si>
  <si>
    <t>Grupo Santander</t>
  </si>
  <si>
    <t>Technical lead</t>
  </si>
  <si>
    <t>Analyst</t>
  </si>
  <si>
    <t>Grado y máster</t>
  </si>
  <si>
    <t>danserrano@gmail.com</t>
  </si>
  <si>
    <t>crodriguez@asesoftware.com</t>
  </si>
  <si>
    <t>Visitas con clientes; Sesiones de gerencia mensual</t>
  </si>
  <si>
    <t>Asesoftware</t>
  </si>
  <si>
    <t>Director de ingeniería</t>
  </si>
  <si>
    <t>Nada</t>
  </si>
  <si>
    <t>vmadrigalguevara@gmail.com</t>
  </si>
  <si>
    <t xml:space="preserve">Nunca </t>
  </si>
  <si>
    <t xml:space="preserve">UENI </t>
  </si>
  <si>
    <t xml:space="preserve">Marketing Expert - Account Manager </t>
  </si>
  <si>
    <t xml:space="preserve">Marketing Director </t>
  </si>
  <si>
    <t>United Kingdom</t>
  </si>
  <si>
    <t>clubdecinecc@gmail.com</t>
  </si>
  <si>
    <t>Creative Director</t>
  </si>
  <si>
    <t>Front End Junior</t>
  </si>
  <si>
    <t>andresbernalc@live.com.mx</t>
  </si>
  <si>
    <t xml:space="preserve">Cuando una persona en específico lo requiere </t>
  </si>
  <si>
    <t xml:space="preserve">Para renovar algún dato, recoger equipo o visita del cliente </t>
  </si>
  <si>
    <t xml:space="preserve">Cuando es necesario y no existe otra opción </t>
  </si>
  <si>
    <t xml:space="preserve">Gerente </t>
  </si>
  <si>
    <t xml:space="preserve">Analista de Transformación </t>
  </si>
  <si>
    <t xml:space="preserve">Universidad </t>
  </si>
  <si>
    <t>Farruza@gmail.com</t>
  </si>
  <si>
    <t>Reuniones puntuales, ejemplo: comité de dirección.</t>
  </si>
  <si>
    <t xml:space="preserve">Celering Smart Mobility Services </t>
  </si>
  <si>
    <t>Tech Lead</t>
  </si>
  <si>
    <t xml:space="preserve">Gerente de Desarrollo </t>
  </si>
  <si>
    <t>Corre con todos los gastos de desplazamiento y dietas</t>
  </si>
  <si>
    <t>--</t>
  </si>
  <si>
    <t>Voy una vez al mes a la reunión mensual de alineamiento</t>
  </si>
  <si>
    <t>NETEX Learning</t>
  </si>
  <si>
    <t>Head of Engineering</t>
  </si>
  <si>
    <t>Senior Project Manager</t>
  </si>
  <si>
    <t>cafe gratis y desayunos</t>
  </si>
  <si>
    <t>cuando concilie uno mejor</t>
  </si>
  <si>
    <t>lo planifico cuando yo puedo</t>
  </si>
  <si>
    <t>Temas importantes puntuales</t>
  </si>
  <si>
    <t>Ingenieria en informatica</t>
  </si>
  <si>
    <t>superiores</t>
  </si>
  <si>
    <t>joseanmp@gmail.com</t>
  </si>
  <si>
    <t>Sportradar</t>
  </si>
  <si>
    <t>Agile Coach / Delivery Manager</t>
  </si>
  <si>
    <t>Desarrollador, Project Manager, Agile Coach</t>
  </si>
  <si>
    <t>encuestauniandes@estebandalelr.co</t>
  </si>
  <si>
    <t>No tienen oficinas</t>
  </si>
  <si>
    <t>Edgen AI</t>
  </si>
  <si>
    <t>CTO</t>
  </si>
  <si>
    <t>Web Team Lead</t>
  </si>
  <si>
    <t>EEUU</t>
  </si>
  <si>
    <t>dxcorzo@gmail.com</t>
  </si>
  <si>
    <t>Eventos de Integración</t>
  </si>
  <si>
    <t>GlobalLogic</t>
  </si>
  <si>
    <t>Technical Manager</t>
  </si>
  <si>
    <t>Japon</t>
  </si>
  <si>
    <t>gcarrillo@sinerware.com</t>
  </si>
  <si>
    <t>Eventos de aprendizaje o comerciales</t>
  </si>
  <si>
    <t>Sinerware</t>
  </si>
  <si>
    <t>Gerente general</t>
  </si>
  <si>
    <t>Bogotá</t>
  </si>
  <si>
    <t>na.rodriguez2@uniandes.edu.co</t>
  </si>
  <si>
    <t>Reuniones del área, reuniones con clientes, recibir o entregar dispositivos</t>
  </si>
  <si>
    <t>Líder Técnico</t>
  </si>
  <si>
    <t xml:space="preserve">Maestria - Terminando  </t>
  </si>
  <si>
    <t>Parqueadero gratuito, mejora en bono alimenticio y horario flexible</t>
  </si>
  <si>
    <t>Dos veces a la semana a trabajar regularmente</t>
  </si>
  <si>
    <t>Para eventos especiales y reuniones de equipo</t>
  </si>
  <si>
    <t xml:space="preserve">Trabajo esporádico </t>
  </si>
  <si>
    <t xml:space="preserve">Gerente de Ingeniería  </t>
  </si>
  <si>
    <t>Desarrolladora y gerente de ingeniería</t>
  </si>
  <si>
    <t>Estado Unidos</t>
  </si>
  <si>
    <t>miguel.vega.ruiz@gmail.com</t>
  </si>
  <si>
    <t>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</t>
  </si>
  <si>
    <t>No, sin embargo me solicitan ir en momentos extremadamente necesario</t>
  </si>
  <si>
    <t>Crediestado</t>
  </si>
  <si>
    <t>Director de Tecnología y Desarrollo de Software</t>
  </si>
  <si>
    <t>Desarrollador Senior y Líder Técnico</t>
  </si>
  <si>
    <t>xavigonpa@gmail.com</t>
  </si>
  <si>
    <t>Reuniones de seguimiento o con cliente</t>
  </si>
  <si>
    <t>Reuniones con cliente</t>
  </si>
  <si>
    <t>de.escobarc1@uniandes.edu.co</t>
  </si>
  <si>
    <t>A integraciones de trabajo</t>
  </si>
  <si>
    <t>Lulo bank</t>
  </si>
  <si>
    <t>Líder técnico de desarrollo</t>
  </si>
  <si>
    <t>Desarollador junior</t>
  </si>
  <si>
    <t xml:space="preserve">Bogotá </t>
  </si>
  <si>
    <t>baeza.natalia@gmail.com</t>
  </si>
  <si>
    <t>Reuniones de equipo, lo deja a discreciónd el equipo</t>
  </si>
  <si>
    <t>Encuentros del equipo, reuniones gerenciales o con cliente</t>
  </si>
  <si>
    <t>COO</t>
  </si>
  <si>
    <t>Referente IT</t>
  </si>
  <si>
    <t>universitario</t>
  </si>
  <si>
    <t>juan.delafuente@fi.uncoma.edu.ar</t>
  </si>
  <si>
    <t>Parking gratuito, descuentos en accesorios electrónicos de uso personal si se adquiere en la sede</t>
  </si>
  <si>
    <t>Se me solicita ir a una sede una vez cada 3 meses aproximadamente</t>
  </si>
  <si>
    <t xml:space="preserve">Líder Técnico </t>
  </si>
  <si>
    <t>Universitarios completo</t>
  </si>
  <si>
    <t>Lead</t>
  </si>
  <si>
    <t>Tam_Empresa</t>
  </si>
  <si>
    <t>Correo electrónico para recibir resultados (opcional)</t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</si>
  <si>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creatividad </t>
    </r>
    <r>
      <rPr>
        <sz val="10"/>
        <color rgb="FFFFFFFF"/>
        <rFont val="Arial"/>
      </rPr>
      <t>es:</t>
    </r>
  </si>
  <si>
    <r>
      <rPr>
        <sz val="10"/>
        <color rgb="FFFFFFFF"/>
        <rFont val="Aptos Narrow"/>
      </rPr>
      <t xml:space="preserve">El sentimiento de </t>
    </r>
    <r>
      <rPr>
        <b/>
        <sz val="10"/>
        <color rgb="FFFFFFFF"/>
        <rFont val="Arial"/>
      </rPr>
      <t xml:space="preserve">pertenencia </t>
    </r>
    <r>
      <rPr>
        <sz val="10"/>
        <color rgb="FFFFFFFF"/>
        <rFont val="Arial"/>
      </rPr>
      <t xml:space="preserve">a mi </t>
    </r>
    <r>
      <rPr>
        <b/>
        <sz val="10"/>
        <color rgb="FFFFFFFF"/>
        <rFont val="Arial"/>
      </rPr>
      <t>empresa</t>
    </r>
    <r>
      <rPr>
        <sz val="10"/>
        <color rgb="FFFFFFFF"/>
        <rFont val="Arial"/>
      </rPr>
      <t xml:space="preserve"> es ahora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</si>
  <si>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relacionados con el </t>
    </r>
    <r>
      <rPr>
        <b/>
        <sz val="10"/>
        <color rgb="FFFFFFFF"/>
        <rFont val="Arial"/>
      </rPr>
      <t>liderazgo compartido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</si>
  <si>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relaciones conflictivas</t>
    </r>
    <r>
      <rPr>
        <sz val="10"/>
        <color rgb="FFFFFFFF"/>
        <rFont val="Arial"/>
      </rPr>
      <t xml:space="preserve"> entre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es </t>
    </r>
    <r>
      <rPr>
        <b/>
        <sz val="10"/>
        <color rgb="FFFFFFFF"/>
        <rFont val="Arial"/>
      </rPr>
      <t>ahora: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</si>
  <si>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 xml:space="preserve">autonomía </t>
    </r>
    <r>
      <rPr>
        <sz val="10"/>
        <color rgb="FFFFFFFF"/>
        <rFont val="Arial"/>
      </rPr>
      <t xml:space="preserve">en el trabajo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</si>
  <si>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participación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 xml:space="preserve">miembros </t>
    </r>
    <r>
      <rPr>
        <sz val="10"/>
        <color rgb="FFFFFFFF"/>
        <rFont val="Arial"/>
      </rPr>
      <t>en los proyectos de mi equipo es ahora: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</si>
  <si>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facilidad para desarrollar 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trabajo es ahora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</si>
  <si>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 xml:space="preserve">influencia </t>
    </r>
    <r>
      <rPr>
        <sz val="10"/>
        <color rgb="FFFFFFFF"/>
        <rFont val="Arial"/>
      </rPr>
      <t xml:space="preserve">en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de trabajo es ahora: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</si>
  <si>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 xml:space="preserve">ambiente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</si>
  <si>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miedo </t>
    </r>
    <r>
      <rPr>
        <sz val="10"/>
        <color rgb="FFFFFFFF"/>
        <rFont val="Arial"/>
      </rPr>
      <t>a</t>
    </r>
    <r>
      <rPr>
        <b/>
        <sz val="10"/>
        <color rgb="FFFFFFFF"/>
        <rFont val="Arial"/>
      </rPr>
      <t xml:space="preserve"> perder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</si>
  <si>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 xml:space="preserve">atención </t>
    </r>
    <r>
      <rPr>
        <sz val="10"/>
        <color rgb="FFFFFFFF"/>
        <rFont val="Arial"/>
      </rPr>
      <t xml:space="preserve">a </t>
    </r>
    <r>
      <rPr>
        <b/>
        <sz val="10"/>
        <color rgb="FFFFFFFF"/>
        <rFont val="Arial"/>
      </rPr>
      <t>cada individuo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</si>
  <si>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aburrimiento en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</si>
  <si>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ahora la </t>
    </r>
    <r>
      <rPr>
        <b/>
        <sz val="10"/>
        <color rgb="FFFFFFFF"/>
        <rFont val="Arial"/>
      </rPr>
      <t>retroalimentación</t>
    </r>
    <r>
      <rPr>
        <sz val="10"/>
        <color rgb="FFFFFFFF"/>
        <rFont val="Arial"/>
      </rPr>
      <t xml:space="preserve"> que recibo por parte de mis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y </t>
    </r>
    <r>
      <rPr>
        <b/>
        <sz val="10"/>
        <color rgb="FFFFFFFF"/>
        <rFont val="Arial"/>
      </rPr>
      <t>superiores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</si>
  <si>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equilibrio vida personal -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</si>
  <si>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calidad</t>
    </r>
    <r>
      <rPr>
        <sz val="10"/>
        <color rgb="FFFFFFFF"/>
        <rFont val="Arial"/>
      </rPr>
      <t xml:space="preserve"> del </t>
    </r>
    <r>
      <rPr>
        <b/>
        <sz val="10"/>
        <color rgb="FFFFFFFF"/>
        <rFont val="Arial"/>
      </rPr>
      <t>desarrollo de software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</si>
  <si>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las acciones de </t>
    </r>
    <r>
      <rPr>
        <b/>
        <sz val="10"/>
        <color rgb="FFFFFFFF"/>
        <rFont val="Arial"/>
      </rPr>
      <t xml:space="preserve">motivación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personal de mi empresa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</si>
  <si>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mi empresa</t>
    </r>
    <r>
      <rPr>
        <sz val="10"/>
        <color rgb="FFFFFFFF"/>
        <rFont val="Arial"/>
      </rPr>
      <t xml:space="preserve"> me </t>
    </r>
    <r>
      <rPr>
        <b/>
        <sz val="10"/>
        <color rgb="FFFFFFFF"/>
        <rFont val="Arial"/>
      </rPr>
      <t>aprecia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</si>
  <si>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conocimiento</t>
    </r>
    <r>
      <rPr>
        <sz val="10"/>
        <color rgb="FFFFFFFF"/>
        <rFont val="Arial"/>
      </rPr>
      <t xml:space="preserve"> sobre el </t>
    </r>
    <r>
      <rPr>
        <b/>
        <sz val="10"/>
        <color rgb="FFFFFFFF"/>
        <rFont val="Arial"/>
      </rPr>
      <t xml:space="preserve">rol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cada miembro</t>
    </r>
    <r>
      <rPr>
        <sz val="10"/>
        <color rgb="FFFFFFFF"/>
        <rFont val="Arial"/>
      </rPr>
      <t xml:space="preserve"> del equipo ahora es: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</si>
  <si>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nivel de interés</t>
    </r>
    <r>
      <rPr>
        <sz val="10"/>
        <color rgb="FFFFFFFF"/>
        <rFont val="Arial"/>
      </rPr>
      <t xml:space="preserve"> hacia mi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</si>
  <si>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En términos de </t>
    </r>
    <r>
      <rPr>
        <b/>
        <sz val="10"/>
        <color rgb="FFFFFFFF"/>
        <rFont val="Arial"/>
      </rPr>
      <t>disfrute en el trabajo</t>
    </r>
    <r>
      <rPr>
        <sz val="10"/>
        <color rgb="FFFFFFFF"/>
        <rFont val="Arial"/>
      </rPr>
      <t xml:space="preserve"> siento que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</si>
  <si>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habilidad </t>
    </r>
    <r>
      <rPr>
        <sz val="10"/>
        <color rgb="FFFFFFFF"/>
        <rFont val="Arial"/>
      </rPr>
      <t xml:space="preserve">para </t>
    </r>
    <r>
      <rPr>
        <b/>
        <sz val="10"/>
        <color rgb="FFFFFFFF"/>
        <rFont val="Arial"/>
      </rPr>
      <t>resolver problemas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</si>
  <si>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hacer </t>
    </r>
    <r>
      <rPr>
        <b/>
        <sz val="10"/>
        <color rgb="FFFFFFFF"/>
        <rFont val="Arial"/>
      </rPr>
      <t>preguntas</t>
    </r>
    <r>
      <rPr>
        <sz val="10"/>
        <color rgb="FFFFFFFF"/>
        <rFont val="Arial"/>
      </rPr>
      <t xml:space="preserve"> a un </t>
    </r>
    <r>
      <rPr>
        <b/>
        <sz val="10"/>
        <color rgb="FFFFFFFF"/>
        <rFont val="Arial"/>
      </rPr>
      <t xml:space="preserve">superior </t>
    </r>
    <r>
      <rPr>
        <sz val="10"/>
        <color rgb="FFFFFFFF"/>
        <rFont val="Arial"/>
      </rPr>
      <t>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</si>
  <si>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seguridad/ confianza</t>
    </r>
    <r>
      <rPr>
        <sz val="10"/>
        <color rgb="FFFFFFFF"/>
        <rFont val="Arial"/>
      </rPr>
      <t xml:space="preserve"> a la hora de</t>
    </r>
    <r>
      <rPr>
        <b/>
        <sz val="10"/>
        <color rgb="FFFFFFFF"/>
        <rFont val="Arial"/>
      </rPr>
      <t xml:space="preserve"> preguntar </t>
    </r>
    <r>
      <rPr>
        <sz val="10"/>
        <color rgb="FFFFFFFF"/>
        <rFont val="Arial"/>
      </rPr>
      <t xml:space="preserve">a un </t>
    </r>
    <r>
      <rPr>
        <b/>
        <sz val="10"/>
        <color rgb="FFFFFFFF"/>
        <rFont val="Arial"/>
      </rPr>
      <t>compañero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</si>
  <si>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comodidad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</si>
  <si>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concentración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</si>
  <si>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 de motivación</t>
    </r>
    <r>
      <rPr>
        <sz val="10"/>
        <color rgb="FFFFFFFF"/>
        <rFont val="Arial"/>
      </rPr>
      <t xml:space="preserve"> en el trabajo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</si>
  <si>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asignación de tareas</t>
    </r>
    <r>
      <rPr>
        <sz val="10"/>
        <color rgb="FFFFFFFF"/>
        <rFont val="Arial"/>
      </rPr>
      <t xml:space="preserve"> entre los miembros del equipo </t>
    </r>
    <r>
      <rPr>
        <b/>
        <sz val="10"/>
        <color rgb="FFFFFFFF"/>
        <rFont val="Arial"/>
      </rPr>
      <t xml:space="preserve">ahora </t>
    </r>
    <r>
      <rPr>
        <sz val="10"/>
        <color rgb="FFFFFFFF"/>
        <rFont val="Arial"/>
      </rPr>
      <t>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</si>
  <si>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vinculados con la </t>
    </r>
    <r>
      <rPr>
        <b/>
        <sz val="10"/>
        <color rgb="FFFFFFFF"/>
        <rFont val="Arial"/>
      </rPr>
      <t xml:space="preserve">gestión del proyecto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</si>
  <si>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coordinación</t>
    </r>
    <r>
      <rPr>
        <sz val="10"/>
        <color rgb="FFFFFFFF"/>
        <rFont val="Arial"/>
      </rPr>
      <t xml:space="preserve"> afectan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</si>
  <si>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compañerismo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</si>
  <si>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ahora mi manejo del tiempo</t>
    </r>
    <r>
      <rPr>
        <sz val="10"/>
        <color rgb="FFFFFFFF"/>
        <rFont val="Arial"/>
      </rPr>
      <t xml:space="preserve"> en general es:</t>
    </r>
  </si>
  <si>
    <r>
      <rPr>
        <sz val="10"/>
        <color rgb="FFFFFFFF"/>
        <rFont val="Aptos Narrow"/>
      </rPr>
      <t xml:space="preserve">Siento que las interrupciones </t>
    </r>
    <r>
      <rPr>
        <b/>
        <sz val="10"/>
        <color rgb="FFFFFFFF"/>
        <rFont val="Arial"/>
      </rPr>
      <t xml:space="preserve">externas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</si>
  <si>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generación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</si>
  <si>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</si>
  <si>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por usar </t>
    </r>
    <r>
      <rPr>
        <b/>
        <sz val="10"/>
        <color rgb="FFFFFFFF"/>
        <rFont val="Arial"/>
      </rPr>
      <t xml:space="preserve">distintos idiomas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</si>
  <si>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comunicación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</si>
  <si>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la aplicación de </t>
    </r>
    <r>
      <rPr>
        <b/>
        <sz val="10"/>
        <color rgb="FFFFFFFF"/>
        <rFont val="Arial"/>
      </rPr>
      <t>metodología ágiles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</si>
  <si>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que aparecen por las </t>
    </r>
    <r>
      <rPr>
        <b/>
        <sz val="10"/>
        <color rgb="FFFFFFFF"/>
        <rFont val="Arial"/>
      </rPr>
      <t>diferencias culturales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</si>
  <si>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facilidad </t>
    </r>
    <r>
      <rPr>
        <sz val="10"/>
        <color rgb="FFFFFFFF"/>
        <rFont val="Arial"/>
      </rPr>
      <t xml:space="preserve">para trabajar en </t>
    </r>
    <r>
      <rPr>
        <b/>
        <sz val="10"/>
        <color rgb="FFFFFFFF"/>
        <rFont val="Arial"/>
      </rPr>
      <t>equipos distribuidos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</si>
  <si>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>Siento que los</t>
    </r>
    <r>
      <rPr>
        <b/>
        <sz val="10"/>
        <color rgb="FFFFFFFF"/>
        <rFont val="Arial"/>
      </rPr>
      <t xml:space="preserve"> problemas tecnológicos ahora </t>
    </r>
    <r>
      <rPr>
        <sz val="10"/>
        <color rgb="FFFFFFFF"/>
        <rFont val="Arial"/>
      </rPr>
      <t>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</si>
  <si>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flexibilidad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trabajo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</si>
  <si>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presión</t>
    </r>
    <r>
      <rPr>
        <sz val="10"/>
        <color rgb="FFFFFFFF"/>
        <rFont val="Arial"/>
      </rPr>
      <t xml:space="preserve"> por </t>
    </r>
    <r>
      <rPr>
        <b/>
        <sz val="10"/>
        <color rgb="FFFFFFFF"/>
        <rFont val="Arial"/>
      </rPr>
      <t>terminar las tareas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</si>
  <si>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frustración</t>
    </r>
    <r>
      <rPr>
        <sz val="10"/>
        <color rgb="FFFFFFFF"/>
        <rFont val="Arial"/>
      </rPr>
      <t xml:space="preserve"> con relación al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</si>
  <si>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Siento que mis </t>
    </r>
    <r>
      <rPr>
        <b/>
        <sz val="10"/>
        <color rgb="FFFFFFFF"/>
        <rFont val="Arial"/>
      </rPr>
      <t>reacciones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enojo o molestia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</si>
  <si>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nivel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enfrentarme a los retos del trabajo es: </t>
    </r>
  </si>
  <si>
    <r>
      <rPr>
        <sz val="10"/>
        <color rgb="FFFF0000"/>
        <rFont val="Arial"/>
      </rPr>
      <t xml:space="preserve">Siento que mi </t>
    </r>
    <r>
      <rPr>
        <b/>
        <sz val="10"/>
        <color rgb="FFFF0000"/>
        <rFont val="Arial"/>
      </rPr>
      <t>nivel de estrés</t>
    </r>
    <r>
      <rPr>
        <sz val="10"/>
        <color rgb="FFFF0000"/>
        <rFont val="Arial"/>
      </rPr>
      <t xml:space="preserve">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</si>
  <si>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cantidad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personal cualificado </t>
    </r>
    <r>
      <rPr>
        <sz val="10"/>
        <color rgb="FFFFFFFF"/>
        <rFont val="Arial"/>
      </rPr>
      <t xml:space="preserve">en la empresa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</si>
  <si>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control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>cambios de los requisitos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</si>
  <si>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nivel de la </t>
    </r>
    <r>
      <rPr>
        <b/>
        <sz val="10"/>
        <color rgb="FFFFFFFF"/>
        <rFont val="Arial"/>
      </rPr>
      <t>definición de los requisitos de software y su calidad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</si>
  <si>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liderazgo</t>
    </r>
    <r>
      <rPr>
        <sz val="10"/>
        <color rgb="FFFFFFFF"/>
        <rFont val="Arial"/>
      </rPr>
      <t xml:space="preserve"> afectan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</si>
  <si>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falta de cohesión</t>
    </r>
    <r>
      <rPr>
        <sz val="10"/>
        <color rgb="FFFFFFFF"/>
        <rFont val="Arial"/>
      </rPr>
      <t xml:space="preserve"> y de </t>
    </r>
    <r>
      <rPr>
        <b/>
        <sz val="10"/>
        <color rgb="FFFFFFFF"/>
        <rFont val="Arial"/>
      </rPr>
      <t>espíritu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grupo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</si>
  <si>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</si>
  <si>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colaboración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</si>
  <si>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</si>
  <si>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hecho de trabajar con personas que se </t>
    </r>
    <r>
      <rPr>
        <b/>
        <sz val="10"/>
        <color rgb="FFFFFFFF"/>
        <rFont val="Arial"/>
      </rPr>
      <t>encuentran geográficamente distribuidas afecta a la productividad: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</si>
  <si>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</si>
  <si>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hecho de trabajar con personas de </t>
    </r>
    <r>
      <rPr>
        <b/>
        <sz val="10"/>
        <color rgb="FFFFFFFF"/>
        <rFont val="Arial"/>
      </rPr>
      <t>distintas culturas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</si>
  <si>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compromiso</t>
    </r>
    <r>
      <rPr>
        <sz val="10"/>
        <color rgb="FFFFFFFF"/>
        <rFont val="Arial"/>
      </rPr>
      <t xml:space="preserve"> por parte de los </t>
    </r>
    <r>
      <rPr>
        <b/>
        <sz val="10"/>
        <color rgb="FFFFFFFF"/>
        <rFont val="Arial"/>
      </rPr>
      <t>empleados</t>
    </r>
    <r>
      <rPr>
        <sz val="10"/>
        <color rgb="FFFFFFFF"/>
        <rFont val="Arial"/>
      </rPr>
      <t xml:space="preserve">,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</si>
  <si>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impacto de la </t>
    </r>
    <r>
      <rPr>
        <b/>
        <sz val="10"/>
        <color rgb="FFFFFFFF"/>
        <rFont val="Arial"/>
      </rPr>
      <t xml:space="preserve">rotación </t>
    </r>
    <r>
      <rPr>
        <sz val="10"/>
        <color rgb="FFFFFFFF"/>
        <rFont val="Arial"/>
      </rPr>
      <t xml:space="preserve">de personal en la empresa </t>
    </r>
    <r>
      <rPr>
        <b/>
        <sz val="10"/>
        <color rgb="FFFFFFFF"/>
        <rFont val="Arial"/>
      </rPr>
      <t>ahora es</t>
    </r>
    <r>
      <rPr>
        <sz val="10"/>
        <color rgb="FFFFFFFF"/>
        <rFont val="Arial"/>
      </rPr>
      <t xml:space="preserve">: 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</si>
  <si>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facilidad</t>
    </r>
    <r>
      <rPr>
        <sz val="10"/>
        <color rgb="FFFFFFFF"/>
        <rFont val="Arial"/>
      </rPr>
      <t xml:space="preserve"> para </t>
    </r>
    <r>
      <rPr>
        <b/>
        <sz val="10"/>
        <color rgb="FFFFFFFF"/>
        <rFont val="Arial"/>
      </rPr>
      <t>compartir conocimiento 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</si>
  <si>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Las </t>
    </r>
    <r>
      <rPr>
        <b/>
        <sz val="10"/>
        <color rgb="FFFFFFFF"/>
        <rFont val="Arial"/>
      </rPr>
      <t xml:space="preserve">herramientas de comunicación </t>
    </r>
    <r>
      <rPr>
        <sz val="10"/>
        <color rgb="FFFFFFFF"/>
        <rFont val="Arial"/>
      </rPr>
      <t xml:space="preserve">(Teams, Zoom, Slack,...) utilizadas </t>
    </r>
    <r>
      <rPr>
        <b/>
        <sz val="10"/>
        <color rgb="FFFFFFFF"/>
        <rFont val="Arial"/>
      </rPr>
      <t>por mi empresa</t>
    </r>
    <r>
      <rPr>
        <sz val="10"/>
        <color rgb="FFFFFFFF"/>
        <rFont val="Arial"/>
      </rPr>
      <t xml:space="preserve">, desde </t>
    </r>
    <r>
      <rPr>
        <b/>
        <sz val="10"/>
        <color rgb="FFFFFFFF"/>
        <rFont val="Arial"/>
      </rPr>
      <t>casa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</si>
  <si>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eficiencia </t>
    </r>
    <r>
      <rPr>
        <sz val="10"/>
        <color rgb="FFFFFFFF"/>
        <rFont val="Arial"/>
      </rPr>
      <t xml:space="preserve">de la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me influye: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</si>
  <si>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velocidad</t>
    </r>
    <r>
      <rPr>
        <sz val="10"/>
        <color rgb="FFFFFFFF"/>
        <rFont val="Arial"/>
      </rPr>
      <t xml:space="preserve"> de mi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es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</si>
  <si>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concentración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</si>
  <si>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capacidad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para cumplir hitos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</si>
  <si>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productividad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</si>
  <si>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mi rendimiento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</si>
  <si>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El </t>
    </r>
    <r>
      <rPr>
        <b/>
        <sz val="10"/>
        <color rgb="FFFFFFFF"/>
        <rFont val="Arial"/>
      </rPr>
      <t xml:space="preserve">cansancio </t>
    </r>
    <r>
      <rPr>
        <sz val="10"/>
        <color rgb="FFFFFFFF"/>
        <rFont val="Arial"/>
      </rPr>
      <t xml:space="preserve">después de una </t>
    </r>
    <r>
      <rPr>
        <b/>
        <sz val="10"/>
        <color rgb="FFFFFFFF"/>
        <rFont val="Arial"/>
      </rPr>
      <t>reunión online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</si>
  <si>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Mis </t>
    </r>
    <r>
      <rPr>
        <b/>
        <sz val="10"/>
        <color rgb="FFFFFFFF"/>
        <rFont val="Arial"/>
      </rPr>
      <t>reuniones 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</si>
  <si>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Tus </t>
    </r>
    <r>
      <rPr>
        <b/>
        <sz val="10"/>
        <color rgb="FFFFFFFF"/>
        <rFont val="Arial"/>
      </rPr>
      <t xml:space="preserve">horarios </t>
    </r>
    <r>
      <rPr>
        <sz val="10"/>
        <color rgb="FFFFFFFF"/>
        <rFont val="Arial"/>
      </rPr>
      <t xml:space="preserve">de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</si>
  <si>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 xml:space="preserve">comunicación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jefes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</si>
  <si>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comunicación en general con mis compañeros de proyecto es ahora</t>
    </r>
  </si>
  <si>
    <r>
      <rPr>
        <sz val="10"/>
        <color rgb="FFFFFFFF"/>
        <rFont val="Aptos Narrow"/>
      </rPr>
      <t>El</t>
    </r>
    <r>
      <rPr>
        <b/>
        <sz val="10"/>
        <color rgb="FFFFFFFF"/>
        <rFont val="Arial"/>
      </rPr>
      <t xml:space="preserve"> intercambio de conocimiento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proyecto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</si>
  <si>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Trabajo la </t>
    </r>
    <r>
      <rPr>
        <b/>
        <sz val="10"/>
        <color rgb="FFFFFFFF"/>
        <rFont val="Arial"/>
      </rPr>
      <t>misma cantidad de horas</t>
    </r>
    <r>
      <rPr>
        <sz val="10"/>
        <color rgb="FFFFFFFF"/>
        <rFont val="Arial"/>
      </rPr>
      <t xml:space="preserve"> que cuando </t>
    </r>
    <r>
      <rPr>
        <b/>
        <sz val="10"/>
        <color rgb="FFFFFFFF"/>
        <rFont val="Arial"/>
      </rPr>
      <t>trabajaba todos los días en la oficina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</si>
  <si>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modalidad</t>
    </r>
    <r>
      <rPr>
        <sz val="10"/>
        <color rgb="FFFFFFFF"/>
        <rFont val="Arial"/>
      </rPr>
      <t xml:space="preserve"> que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tienes </t>
    </r>
    <r>
      <rPr>
        <b/>
        <sz val="10"/>
        <color rgb="FFFFFFFF"/>
        <rFont val="Arial"/>
      </rPr>
      <t>fue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</si>
  <si>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¿Qué modalidad de trabajo </t>
    </r>
    <r>
      <rPr>
        <b/>
        <sz val="10"/>
        <color rgb="FFFFFFFF"/>
        <rFont val="Arial"/>
      </rPr>
      <t>prefieres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</si>
  <si>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Si te ofrece tu empresa alguna clase de </t>
    </r>
    <r>
      <rPr>
        <b/>
        <sz val="10"/>
        <color rgb="FFFFFFFF"/>
        <rFont val="Arial"/>
      </rPr>
      <t>recompensa por ir a la oficina</t>
    </r>
    <r>
      <rPr>
        <sz val="10"/>
        <color rgb="FFFFFFFF"/>
        <rFont val="Arial"/>
      </rPr>
      <t xml:space="preserve"> (parking gratuito, tickets para comidas, mejora en las instalaciones.), indica cuáles son:</t>
    </r>
  </si>
  <si>
    <r>
      <rPr>
        <sz val="10"/>
        <color rgb="FFFFFFFF"/>
        <rFont val="Aptos Narrow"/>
      </rPr>
      <t xml:space="preserve">En el caso de que tu empresa te </t>
    </r>
    <r>
      <rPr>
        <b/>
        <sz val="10"/>
        <color rgb="FFFFFFFF"/>
        <rFont val="Arial"/>
      </rPr>
      <t xml:space="preserve">recomiende </t>
    </r>
    <r>
      <rPr>
        <sz val="10"/>
        <color rgb="FFFFFFFF"/>
        <rFont val="Arial"/>
      </rPr>
      <t xml:space="preserve">a ir a la oficina algún día a la semana,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se te ha solicitado:</t>
    </r>
  </si>
  <si>
    <r>
      <rPr>
        <sz val="10"/>
        <color rgb="FFFFFFFF"/>
        <rFont val="Aptos Narrow"/>
      </rPr>
      <t xml:space="preserve">En el caso de que tu empresa te </t>
    </r>
    <r>
      <rPr>
        <b/>
        <sz val="10"/>
        <color rgb="FFFFFFFF"/>
        <rFont val="Arial"/>
      </rPr>
      <t xml:space="preserve">obligue </t>
    </r>
    <r>
      <rPr>
        <sz val="10"/>
        <color rgb="FFFFFFFF"/>
        <rFont val="Arial"/>
      </rPr>
      <t xml:space="preserve">a ir a la oficina algún día a la semana,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has tenido que asistir:</t>
    </r>
  </si>
  <si>
    <r>
      <rPr>
        <sz val="10"/>
        <color rgb="FFFFFFFF"/>
        <rFont val="Aptos Narrow"/>
      </rPr>
      <t xml:space="preserve">¿Si tu contrato </t>
    </r>
    <r>
      <rPr>
        <b/>
        <sz val="10"/>
        <color rgb="FFFFFFFF"/>
        <rFont val="Arial"/>
      </rPr>
      <t>no te obliga</t>
    </r>
    <r>
      <rPr>
        <sz val="10"/>
        <color rgb="FFFFFFFF"/>
        <rFont val="Arial"/>
      </rPr>
      <t xml:space="preserve"> a ir a la oficina ningún día a la semana indica </t>
    </r>
    <r>
      <rPr>
        <b/>
        <sz val="10"/>
        <color rgb="FFFFFFFF"/>
        <rFont val="Arial"/>
      </rPr>
      <t>en qué ocasiones</t>
    </r>
    <r>
      <rPr>
        <sz val="10"/>
        <color rgb="FFFFFFFF"/>
        <rFont val="Arial"/>
      </rPr>
      <t xml:space="preserve"> se te ha solicitado ir a la oficina?</t>
    </r>
  </si>
  <si>
    <r>
      <rPr>
        <sz val="10"/>
        <color rgb="FFFFFFFF"/>
        <rFont val="Aptos Narrow"/>
      </rPr>
      <t xml:space="preserve">¿Cuántos días a la semana </t>
    </r>
    <r>
      <rPr>
        <b/>
        <sz val="10"/>
        <color rgb="FFFFFFFF"/>
        <rFont val="Arial"/>
      </rPr>
      <t>vas a la oficina actualmente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</si>
  <si>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¿Cuántos días a la semana trabajas </t>
    </r>
    <r>
      <rPr>
        <b/>
        <sz val="10"/>
        <color rgb="FFFFFFFF"/>
        <rFont val="Arial"/>
      </rPr>
      <t>desde casa actualmente</t>
    </r>
    <r>
      <rPr>
        <sz val="10"/>
        <color rgb="FFFFFFFF"/>
        <rFont val="Arial"/>
      </rPr>
      <t>?</t>
    </r>
  </si>
  <si>
    <t>NIVEL HOMEOFFICE</t>
  </si>
  <si>
    <t>¿En tu trabajo te comunicas con personas de distintos países?</t>
  </si>
  <si>
    <t>Tu empresa es:</t>
  </si>
  <si>
    <t>Tipo de empresa:</t>
  </si>
  <si>
    <t>Tamaño de la compañía</t>
  </si>
  <si>
    <t>Nombre de la compañía (opcional):</t>
  </si>
  <si>
    <r>
      <rPr>
        <sz val="10"/>
        <color rgb="FFFFFFFF"/>
        <rFont val="Aptos Narrow"/>
      </rPr>
      <t xml:space="preserve">Por favor indica el puesto que ocupas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en la empresa:</t>
    </r>
  </si>
  <si>
    <r>
      <rPr>
        <sz val="10"/>
        <color rgb="FFFFFFFF"/>
        <rFont val="Aptos Narrow"/>
      </rPr>
      <t xml:space="preserve">Por favor indica el puesto que ocupabas </t>
    </r>
    <r>
      <rPr>
        <b/>
        <sz val="10"/>
        <color rgb="FFFFFFFF"/>
        <rFont val="Arial"/>
      </rPr>
      <t>cuando trabajabas presencialmente</t>
    </r>
    <r>
      <rPr>
        <sz val="10"/>
        <color rgb="FFFFFFFF"/>
        <rFont val="Arial"/>
      </rPr>
      <t xml:space="preserve"> en la empresa:</t>
    </r>
  </si>
  <si>
    <r>
      <rPr>
        <sz val="10"/>
        <color rgb="FFFFFFFF"/>
        <rFont val="Aptos Narrow"/>
      </rPr>
      <t xml:space="preserve">Indica los años que has trabajado de forma </t>
    </r>
    <r>
      <rPr>
        <b/>
        <sz val="10"/>
        <color rgb="FFFFFFFF"/>
        <rFont val="Arial"/>
      </rPr>
      <t>presencial</t>
    </r>
  </si>
  <si>
    <t>Indica los años de experiencia trabajando en empresas de desarrollo de software:</t>
  </si>
  <si>
    <r>
      <rPr>
        <sz val="10"/>
        <color rgb="FFFFFFFF"/>
        <rFont val="Aptos Narrow"/>
      </rPr>
      <t xml:space="preserve">En el caso de trabajar para una empresa, indica en qué país está su </t>
    </r>
    <r>
      <rPr>
        <b/>
        <sz val="10"/>
        <color rgb="FFFFFFFF"/>
        <rFont val="Arial"/>
      </rPr>
      <t>sede principal</t>
    </r>
    <r>
      <rPr>
        <sz val="10"/>
        <color rgb="FFFFFFFF"/>
        <rFont val="Arial"/>
      </rPr>
      <t>:</t>
    </r>
  </si>
  <si>
    <t>Actualmente trabajas:</t>
  </si>
  <si>
    <t>Indica tu nivel de estudios:</t>
  </si>
  <si>
    <t>¿Tu género es?</t>
  </si>
  <si>
    <t>Tu edad está dentro del rango:</t>
  </si>
  <si>
    <t>¿En qué país resides?</t>
  </si>
  <si>
    <t>Marca temporal</t>
  </si>
  <si>
    <t>Por favor indica el puesto que ocupas actualmente en la empresa: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</si>
</sst>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1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0"/>
      <color rgb="FFFFFFFF"/>
      <name val="Aptos Narrow"/>
    </font>
    <font>
      <b/>
      <sz val="10"/>
      <color rgb="FFFFFFFF"/>
      <name val="Arial"/>
    </font>
    <font>
      <sz val="10"/>
      <color rgb="FFFFFFFF"/>
      <name val="Arial"/>
    </font>
    <font>
      <sz val="10"/>
      <color rgb="FFFF0000"/>
      <name val="Aptos Narrow"/>
    </font>
    <font>
      <sz val="10"/>
      <color rgb="FFFF0000"/>
      <name val="Arial"/>
    </font>
    <font>
      <b/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5B3F86"/>
        <bgColor rgb="FF5B3F8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3" fillId="5" borderId="1" xfId="0" applyFont="1" applyFill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0" xfId="0" applyFont="1" applyFill="1"/>
    <xf numFmtId="0" fontId="4" fillId="4" borderId="1" xfId="0" applyFont="1" applyFill="1" applyBorder="1" applyAlignment="1">
      <alignment horizontal="center"/>
    </xf>
    <xf numFmtId="0" fontId="3" fillId="5" borderId="2" xfId="0" applyFont="1" applyFill="1" applyBorder="1"/>
    <xf numFmtId="164" fontId="3" fillId="5" borderId="3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4" fontId="3" fillId="5" borderId="4" xfId="0" applyNumberFormat="1" applyFont="1" applyFill="1" applyBorder="1" applyAlignment="1">
      <alignment horizontal="right"/>
    </xf>
    <xf numFmtId="0" fontId="2" fillId="5" borderId="5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3" fillId="5" borderId="6" xfId="0" applyFont="1" applyFill="1" applyBorder="1"/>
    <xf numFmtId="0" fontId="2" fillId="5" borderId="6" xfId="0" applyFont="1" applyFill="1" applyBorder="1"/>
    <xf numFmtId="0" fontId="3" fillId="5" borderId="5" xfId="0" applyFont="1" applyFill="1" applyBorder="1"/>
    <xf numFmtId="0" fontId="2" fillId="6" borderId="6" xfId="0" applyFont="1" applyFill="1" applyBorder="1"/>
    <xf numFmtId="0" fontId="3" fillId="6" borderId="2" xfId="0" applyFont="1" applyFill="1" applyBorder="1"/>
    <xf numFmtId="0" fontId="3" fillId="6" borderId="0" xfId="0" applyFont="1" applyFill="1"/>
    <xf numFmtId="164" fontId="3" fillId="6" borderId="4" xfId="0" applyNumberFormat="1" applyFont="1" applyFill="1" applyBorder="1" applyAlignment="1">
      <alignment horizontal="right"/>
    </xf>
    <xf numFmtId="0" fontId="2" fillId="6" borderId="0" xfId="0" applyFont="1" applyFill="1"/>
    <xf numFmtId="0" fontId="3" fillId="6" borderId="1" xfId="0" applyFont="1" applyFill="1" applyBorder="1"/>
    <xf numFmtId="0" fontId="2" fillId="6" borderId="1" xfId="0" applyFont="1" applyFill="1" applyBorder="1"/>
    <xf numFmtId="164" fontId="3" fillId="6" borderId="3" xfId="0" applyNumberFormat="1" applyFont="1" applyFill="1" applyBorder="1" applyAlignment="1">
      <alignment horizontal="right"/>
    </xf>
    <xf numFmtId="0" fontId="2" fillId="6" borderId="2" xfId="0" applyFont="1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3" fillId="6" borderId="6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2" fillId="7" borderId="0" xfId="0" applyFont="1" applyFill="1"/>
    <xf numFmtId="0" fontId="3" fillId="7" borderId="2" xfId="0" applyFont="1" applyFill="1" applyBorder="1"/>
    <xf numFmtId="164" fontId="3" fillId="7" borderId="3" xfId="0" applyNumberFormat="1" applyFont="1" applyFill="1" applyBorder="1" applyAlignment="1">
      <alignment horizontal="right"/>
    </xf>
    <xf numFmtId="0" fontId="2" fillId="7" borderId="2" xfId="0" applyFont="1" applyFill="1" applyBorder="1"/>
    <xf numFmtId="164" fontId="3" fillId="7" borderId="4" xfId="0" applyNumberFormat="1" applyFont="1" applyFill="1" applyBorder="1" applyAlignment="1">
      <alignment horizontal="right"/>
    </xf>
    <xf numFmtId="0" fontId="2" fillId="7" borderId="1" xfId="0" applyFont="1" applyFill="1" applyBorder="1"/>
    <xf numFmtId="0" fontId="2" fillId="7" borderId="6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164" fontId="3" fillId="8" borderId="3" xfId="0" applyNumberFormat="1" applyFont="1" applyFill="1" applyBorder="1" applyAlignment="1">
      <alignment horizontal="right"/>
    </xf>
    <xf numFmtId="0" fontId="3" fillId="8" borderId="5" xfId="0" applyFont="1" applyFill="1" applyBorder="1"/>
    <xf numFmtId="0" fontId="4" fillId="4" borderId="2" xfId="0" applyFont="1" applyFill="1" applyBorder="1" applyAlignment="1">
      <alignment horizontal="center"/>
    </xf>
    <xf numFmtId="0" fontId="5" fillId="9" borderId="7" xfId="0" applyFont="1" applyFill="1" applyBorder="1"/>
    <xf numFmtId="0" fontId="5" fillId="9" borderId="8" xfId="0" applyFont="1" applyFill="1" applyBorder="1"/>
    <xf numFmtId="0" fontId="5" fillId="2" borderId="8" xfId="0" applyFont="1" applyFill="1" applyBorder="1"/>
    <xf numFmtId="0" fontId="5" fillId="3" borderId="8" xfId="0" applyFont="1" applyFill="1" applyBorder="1"/>
    <xf numFmtId="0" fontId="8" fillId="4" borderId="8" xfId="0" applyFont="1" applyFill="1" applyBorder="1"/>
    <xf numFmtId="0" fontId="7" fillId="4" borderId="8" xfId="0" applyFont="1" applyFill="1" applyBorder="1" applyAlignment="1">
      <alignment horizontal="center"/>
    </xf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3E50"/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14AF-3336-426F-823B-86F57DB0C370}">
  <sheetPr>
    <outlinePr summaryBelow="0" summaryRight="0"/>
  </sheetPr>
  <dimension ref="A1:CY825"/>
  <sheetViews>
    <sheetView topLeftCell="CL1" workbookViewId="0">
      <pane ySplit="1" topLeftCell="A2" activePane="bottomLeft" state="frozen"/>
      <selection pane="bottomLeft" activeCell="CX2" sqref="CX2:CX58"/>
    </sheetView>
  </sheetViews>
  <sheetFormatPr defaultColWidth="12.6640625" defaultRowHeight="15.75" customHeight="1" x14ac:dyDescent="0.3"/>
  <cols>
    <col min="1" max="1" width="17.5546875" bestFit="1" customWidth="1"/>
    <col min="2" max="2" width="10" customWidth="1"/>
    <col min="3" max="3" width="10.44140625" customWidth="1"/>
    <col min="4" max="4" width="9.21875" customWidth="1"/>
    <col min="14" max="14" width="70.109375" bestFit="1" customWidth="1"/>
    <col min="17" max="17" width="10.109375" customWidth="1"/>
    <col min="99" max="99" width="42.33203125" customWidth="1"/>
    <col min="102" max="102" width="15.44140625" customWidth="1"/>
  </cols>
  <sheetData>
    <row r="1" spans="1:103" ht="15.75" customHeight="1" x14ac:dyDescent="0.3">
      <c r="A1" s="53" t="s">
        <v>544</v>
      </c>
      <c r="B1" s="53" t="s">
        <v>543</v>
      </c>
      <c r="C1" s="53" t="s">
        <v>542</v>
      </c>
      <c r="D1" s="53" t="s">
        <v>541</v>
      </c>
      <c r="E1" s="53" t="s">
        <v>540</v>
      </c>
      <c r="F1" s="53" t="s">
        <v>539</v>
      </c>
      <c r="G1" s="53" t="s">
        <v>538</v>
      </c>
      <c r="H1" s="53" t="s">
        <v>537</v>
      </c>
      <c r="I1" s="53" t="s">
        <v>536</v>
      </c>
      <c r="J1" s="53" t="s">
        <v>535</v>
      </c>
      <c r="K1" s="53" t="s">
        <v>534</v>
      </c>
      <c r="L1" s="53" t="s">
        <v>533</v>
      </c>
      <c r="M1" s="53" t="s">
        <v>532</v>
      </c>
      <c r="N1" s="53" t="s">
        <v>531</v>
      </c>
      <c r="O1" s="53" t="s">
        <v>530</v>
      </c>
      <c r="P1" s="53" t="s">
        <v>529</v>
      </c>
      <c r="Q1" s="57" t="s">
        <v>528</v>
      </c>
      <c r="R1" s="53" t="s">
        <v>527</v>
      </c>
      <c r="S1" s="53" t="s">
        <v>526</v>
      </c>
      <c r="T1" s="53" t="s">
        <v>525</v>
      </c>
      <c r="U1" s="53" t="s">
        <v>524</v>
      </c>
      <c r="V1" s="53" t="s">
        <v>523</v>
      </c>
      <c r="W1" s="53" t="s">
        <v>522</v>
      </c>
      <c r="X1" s="53" t="s">
        <v>521</v>
      </c>
      <c r="Y1" s="53" t="s">
        <v>520</v>
      </c>
      <c r="Z1" s="53" t="s">
        <v>519</v>
      </c>
      <c r="AA1" s="53" t="s">
        <v>518</v>
      </c>
      <c r="AB1" s="53" t="s">
        <v>517</v>
      </c>
      <c r="AC1" s="53" t="s">
        <v>516</v>
      </c>
      <c r="AD1" s="53" t="s">
        <v>515</v>
      </c>
      <c r="AE1" s="53" t="s">
        <v>514</v>
      </c>
      <c r="AF1" s="53" t="s">
        <v>513</v>
      </c>
      <c r="AG1" s="53" t="s">
        <v>512</v>
      </c>
      <c r="AH1" s="53" t="s">
        <v>511</v>
      </c>
      <c r="AI1" s="53" t="s">
        <v>510</v>
      </c>
      <c r="AJ1" s="53" t="s">
        <v>509</v>
      </c>
      <c r="AK1" s="53" t="s">
        <v>508</v>
      </c>
      <c r="AL1" s="53" t="s">
        <v>507</v>
      </c>
      <c r="AM1" s="53" t="s">
        <v>506</v>
      </c>
      <c r="AN1" s="53" t="s">
        <v>505</v>
      </c>
      <c r="AO1" s="53" t="s">
        <v>504</v>
      </c>
      <c r="AP1" s="53" t="s">
        <v>503</v>
      </c>
      <c r="AQ1" s="53" t="s">
        <v>502</v>
      </c>
      <c r="AR1" s="53" t="s">
        <v>501</v>
      </c>
      <c r="AS1" s="53" t="s">
        <v>500</v>
      </c>
      <c r="AT1" s="53" t="s">
        <v>499</v>
      </c>
      <c r="AU1" s="53" t="s">
        <v>498</v>
      </c>
      <c r="AV1" s="53" t="s">
        <v>497</v>
      </c>
      <c r="AW1" s="53" t="s">
        <v>496</v>
      </c>
      <c r="AX1" s="53" t="s">
        <v>495</v>
      </c>
      <c r="AY1" s="53" t="s">
        <v>494</v>
      </c>
      <c r="AZ1" s="53" t="s">
        <v>493</v>
      </c>
      <c r="BA1" s="53" t="s">
        <v>492</v>
      </c>
      <c r="BB1" s="56" t="s">
        <v>491</v>
      </c>
      <c r="BC1" s="55" t="s">
        <v>490</v>
      </c>
      <c r="BD1" s="53" t="s">
        <v>489</v>
      </c>
      <c r="BE1" s="53" t="s">
        <v>488</v>
      </c>
      <c r="BF1" s="53" t="s">
        <v>487</v>
      </c>
      <c r="BG1" s="53" t="s">
        <v>486</v>
      </c>
      <c r="BH1" s="53" t="s">
        <v>485</v>
      </c>
      <c r="BI1" s="53" t="s">
        <v>484</v>
      </c>
      <c r="BJ1" s="53" t="s">
        <v>483</v>
      </c>
      <c r="BK1" s="53" t="s">
        <v>482</v>
      </c>
      <c r="BL1" s="53" t="s">
        <v>481</v>
      </c>
      <c r="BM1" s="53" t="s">
        <v>480</v>
      </c>
      <c r="BN1" s="53" t="s">
        <v>479</v>
      </c>
      <c r="BO1" s="53" t="s">
        <v>478</v>
      </c>
      <c r="BP1" s="53" t="s">
        <v>477</v>
      </c>
      <c r="BQ1" s="53" t="s">
        <v>476</v>
      </c>
      <c r="BR1" s="53" t="s">
        <v>475</v>
      </c>
      <c r="BS1" s="53" t="s">
        <v>474</v>
      </c>
      <c r="BT1" s="53" t="s">
        <v>473</v>
      </c>
      <c r="BU1" s="53" t="s">
        <v>472</v>
      </c>
      <c r="BV1" s="54" t="s">
        <v>471</v>
      </c>
      <c r="BW1" s="53" t="s">
        <v>470</v>
      </c>
      <c r="BX1" s="53" t="s">
        <v>469</v>
      </c>
      <c r="BY1" s="53" t="s">
        <v>468</v>
      </c>
      <c r="BZ1" s="53" t="s">
        <v>467</v>
      </c>
      <c r="CA1" s="53" t="s">
        <v>466</v>
      </c>
      <c r="CB1" s="53" t="s">
        <v>465</v>
      </c>
      <c r="CC1" s="53" t="s">
        <v>464</v>
      </c>
      <c r="CD1" s="53" t="s">
        <v>463</v>
      </c>
      <c r="CE1" s="53" t="s">
        <v>462</v>
      </c>
      <c r="CF1" s="53" t="s">
        <v>461</v>
      </c>
      <c r="CG1" s="53" t="s">
        <v>460</v>
      </c>
      <c r="CH1" s="53" t="s">
        <v>459</v>
      </c>
      <c r="CI1" s="53" t="s">
        <v>458</v>
      </c>
      <c r="CJ1" s="53" t="s">
        <v>457</v>
      </c>
      <c r="CK1" s="53" t="s">
        <v>456</v>
      </c>
      <c r="CL1" s="53" t="s">
        <v>455</v>
      </c>
      <c r="CM1" s="53" t="s">
        <v>454</v>
      </c>
      <c r="CN1" s="53" t="s">
        <v>453</v>
      </c>
      <c r="CO1" s="53" t="s">
        <v>452</v>
      </c>
      <c r="CP1" s="53" t="s">
        <v>451</v>
      </c>
      <c r="CQ1" s="53" t="s">
        <v>450</v>
      </c>
      <c r="CR1" s="53" t="s">
        <v>449</v>
      </c>
      <c r="CS1" s="53" t="s">
        <v>448</v>
      </c>
      <c r="CT1" s="53" t="s">
        <v>447</v>
      </c>
      <c r="CU1" s="53" t="s">
        <v>446</v>
      </c>
      <c r="CV1" s="53" t="s">
        <v>445</v>
      </c>
      <c r="CW1" s="52" t="s">
        <v>444</v>
      </c>
      <c r="CX1" s="52" t="s">
        <v>443</v>
      </c>
      <c r="CY1" t="str">
        <f>_xlfn.TEXTJOIN(",",FALSE,A1:CX1)</f>
        <v>Marca temporal,¿En qué país resides?,Tu edad está dentro del rango:,¿Tu género es?,Indica tu nivel de estudios:,Actualmente trabajas:,En el caso de trabajar para una empresa, indica en qué país está su sede principal:,Indica los años de experiencia trabajando en empresas de desarrollo de software:,Indica los años que has trabajado de forma presencial,Por favor indica el puesto que ocupabas cuando trabajabas presencialmente en la empresa:,Por favor indica el puesto que ocupas actualmente en la empresa:,Nombre de la compañía (opcional):,Tamaño de la compañía,Tipo de empresa:,Tu empresa es:,¿En tu trabajo te comunicas con personas de distintos países?,NIVEL HOMEOFFICE,¿Cuántos días a la semana trabajas desde casa actualmente?,¿Cuántos días a la semana vas a la oficina actualmente?,¿Si tu contrato no te obliga a ir a la oficina ningún día a la semana indica en qué ocasiones se te ha solicitado ir a la oficina?,En el caso de que tu empresa te obligue a ir a la oficina algún día a la semana, indica en qué ocasiones has tenido que asistir:,En el caso de que tu empresa te recomiende a ir a la oficina algún día a la semana, indica en qué ocasiones se te ha solicitado:,Si te ofrece tu empresa alguna clase de recompensa por ir a la oficina (parking gratuito, tickets para comidas, mejora en las instalaciones.), indica cuáles son:,¿Qué modalidad de trabajo prefieres?,La modalidad que actualmente tienes fue:,Trabajo la misma cantidad de horas que cuando trabajaba todos los días en la oficina,El intercambio de conocimiento con mis compañeros de proyecto es ahora:,La comunicación en general con mis compañeros de proyecto es ahora,La comunicación con mis jefes es ahora,Tus horarios de trabajo ahora son:,Mis reuniones ahora son:,El cansancio después de una reunión online es ahora:,Siento que mi rendimiento ahora es:,Siento que la productividad de mi equipo es:,Siento que la capacidad de mi equipo para cumplir hitos es:,Siento que mi concentración cuando estoy trabajando es:,Siento que la velocidad de mi conexión a Internet es,Siento que la eficiencia de la conexión a Internet me influye:,Las herramientas de comunicación (Teams, Zoom, Slack,...) utilizadas por mi empresa, desde casa:,Siento que la facilidad para compartir conocimiento ahora es: ,Siento que el impacto de la rotación de personal en la empresa ahora es: ,Siento que la falta de compromiso por parte de los empleados, afecta a la productividad:,Siento que el hecho de trabajar con personas de distintas culturas afecta a la productividad:,Siento que el hecho de trabajar con personas que tienen otros horarios afecta a la productividad,Siento que el hecho de trabajar con personas que se encuentran geográficamente distribuidas afecta a la productividad:,Siento que la falta de confianza entre los miembros del equipo afecta la productividad,Siento que la falta de colaboración entre los miembros del equipo afecta la productividad:,Siento que la falta de relaciones personales entre los miembros del equipo afecta la productividad:,Siento que la falta de cohesión y de espíritu de grupo afecta la productividad,Siento que los problemas de liderazgo afectan la productividad,Siento que el nivel de la definición de los requisitos de software y su calidad son ahora:,Siento que el control de los cambios de los requisitos es ahora:,Siento que la cantidad de personal cualificado en la empresa es ahora:,Siento que mi nivel de estrés es:,Siento que mi nivel de confianza para enfrentarme a los retos del trabajo es: ,Siento que mis reacciones de enojo o molestia ahora son:,Siento que mi nivel de frustración con relación al trabajo es: ,Siento que el nivel de presión por terminar las tareas ahora es:,Siento que la flexibilidad de mi trabajo ahora es:,Siento que los problemas tecnológicos ahora son:,Siento que la facilidad para trabajar en equipos distribuidos es:,Siento que los problemas que aparecen por las diferencias culturales ahora son:,Siento que la aplicación de metodología ágiles ahora es:,Siento que los problemas de comunicación ahora son:,Siento que los problemas por usar distintos idiomas ahora son:,Siento que el hecho de trabajar con personas que tienen otros horarios afecta a mi estrés:,Siento que la generación de confianza entre los miembros del equipo ahora es:,Siento que las interrupciones externas ahora son:,Siento que ahora mi manejo del tiempo en general es:,Siento que la falta de compañerismo ahora es:,Siento que los problemas de coordinación afectan a mi estrés:,Siento que los problemas vinculados con la gestión del proyecto ahora son:,Siento que la asignación de tareas entre los miembros del equipo ahora es:,Siento que mi nivel de motivación en el trabajo es:,Mi concentración ahora cuando estoy trabajando es:,Mi comodidad ahora cuando estoy trabajando es:,Mi seguridad/ confianza a la hora de preguntar a un compañero ahora es:,Mi confianza para hacer preguntas a un superior ahora es:,Mi habilidad para resolver problemas ahora es:,En términos de disfrute en el trabajo siento que ahora es:,Siento que el nivel de interés hacia mi trabajo ahora es: ,Siento que la falta de conocimiento sobre el rol de cada miembro del equipo ahora es:,Siento que mi empresa me aprecia:,Siento que las acciones de motivación de personal de mi empresa son:,Siento que la calidad del desarrollo de software es ahora:,Siento que el equilibrio vida personal - trabajo es ahora:,Siento que ahora la retroalimentación que recibo por parte de mis compañeros y superiores es:,Siento que mi nivel de aburrimiento en el trabajo es ahora:,Siento que mi nivel de atención a cada individuo es ahora:,Siento que mi miedo a perder el trabajo es ahora:,Siento que el ambiente de trabajo ahora es:,Siento que mi nivel de influencia en mi equipo de trabajo es ahora:,Siento que la facilidad para desarrollar relaciones personales entre los compañeros de trabajo es ahora,Siento que la participación de los miembros en los proyectos de mi equipo es ahora:,Siento que el nivel de autonomía en el trabajo es ahora,Siento que el nivel de relaciones conflictivas entre compañeros es ahora:,Siento que los problemas relacionados con el liderazgo compartido son ahora:,El sentimiento de pertenencia a mi empresa es ahora,Siento que mi creatividad es:,Correo electrónico para recibir resultados (opcional),Tam_Empresa,Lead</v>
      </c>
    </row>
    <row r="2" spans="1:103" ht="15.75" customHeight="1" x14ac:dyDescent="0.3">
      <c r="A2" s="49">
        <v>45594.110789398153</v>
      </c>
      <c r="B2" s="47" t="s">
        <v>251</v>
      </c>
      <c r="C2" s="47" t="s">
        <v>253</v>
      </c>
      <c r="D2" s="47" t="s">
        <v>41</v>
      </c>
      <c r="E2" s="47" t="s">
        <v>442</v>
      </c>
      <c r="F2" s="47" t="s">
        <v>39</v>
      </c>
      <c r="G2" s="47" t="s">
        <v>251</v>
      </c>
      <c r="H2" s="47" t="s">
        <v>36</v>
      </c>
      <c r="I2" s="47" t="s">
        <v>64</v>
      </c>
      <c r="J2" s="47" t="s">
        <v>154</v>
      </c>
      <c r="K2" s="47" t="s">
        <v>441</v>
      </c>
      <c r="L2" s="48"/>
      <c r="M2" s="47" t="s">
        <v>60</v>
      </c>
      <c r="N2" s="47" t="s">
        <v>91</v>
      </c>
      <c r="O2" s="47" t="s">
        <v>30</v>
      </c>
      <c r="P2" s="47" t="s">
        <v>58</v>
      </c>
      <c r="Q2" s="11" t="s">
        <v>28</v>
      </c>
      <c r="R2" s="47" t="s">
        <v>244</v>
      </c>
      <c r="S2" s="47" t="s">
        <v>26</v>
      </c>
      <c r="T2" s="47" t="s">
        <v>440</v>
      </c>
      <c r="U2" s="48"/>
      <c r="V2" s="48"/>
      <c r="W2" s="47" t="s">
        <v>439</v>
      </c>
      <c r="X2" s="47" t="s">
        <v>73</v>
      </c>
      <c r="Y2" s="47" t="s">
        <v>72</v>
      </c>
      <c r="Z2" s="47" t="s">
        <v>19</v>
      </c>
      <c r="AA2" s="47" t="s">
        <v>4</v>
      </c>
      <c r="AB2" s="47" t="s">
        <v>4</v>
      </c>
      <c r="AC2" s="47" t="s">
        <v>5</v>
      </c>
      <c r="AD2" s="47" t="s">
        <v>76</v>
      </c>
      <c r="AE2" s="47" t="s">
        <v>18</v>
      </c>
      <c r="AF2" s="47" t="s">
        <v>112</v>
      </c>
      <c r="AG2" s="47" t="s">
        <v>5</v>
      </c>
      <c r="AH2" s="47" t="s">
        <v>5</v>
      </c>
      <c r="AI2" s="47" t="s">
        <v>5</v>
      </c>
      <c r="AJ2" s="47" t="s">
        <v>3</v>
      </c>
      <c r="AK2" s="47" t="s">
        <v>53</v>
      </c>
      <c r="AL2" s="47" t="s">
        <v>52</v>
      </c>
      <c r="AM2" s="47" t="s">
        <v>14</v>
      </c>
      <c r="AN2" s="47" t="s">
        <v>1</v>
      </c>
      <c r="AO2" s="47" t="s">
        <v>47</v>
      </c>
      <c r="AP2" s="47" t="s">
        <v>4</v>
      </c>
      <c r="AQ2" s="47" t="s">
        <v>4</v>
      </c>
      <c r="AR2" s="47" t="s">
        <v>67</v>
      </c>
      <c r="AS2" s="47" t="s">
        <v>67</v>
      </c>
      <c r="AT2" s="47" t="s">
        <v>8</v>
      </c>
      <c r="AU2" s="47" t="s">
        <v>4</v>
      </c>
      <c r="AV2" s="47" t="s">
        <v>10</v>
      </c>
      <c r="AW2" s="47" t="s">
        <v>4</v>
      </c>
      <c r="AX2" s="47" t="s">
        <v>10</v>
      </c>
      <c r="AY2" s="47" t="s">
        <v>45</v>
      </c>
      <c r="AZ2" s="47" t="s">
        <v>3</v>
      </c>
      <c r="BA2" s="47" t="s">
        <v>3</v>
      </c>
      <c r="BB2" s="9" t="s">
        <v>4</v>
      </c>
      <c r="BC2" s="8" t="s">
        <v>5</v>
      </c>
      <c r="BD2" s="47" t="s">
        <v>1</v>
      </c>
      <c r="BE2" s="47" t="s">
        <v>1</v>
      </c>
      <c r="BF2" s="47" t="s">
        <v>5</v>
      </c>
      <c r="BG2" s="47" t="s">
        <v>47</v>
      </c>
      <c r="BH2" s="47" t="s">
        <v>6</v>
      </c>
      <c r="BI2" s="47" t="s">
        <v>47</v>
      </c>
      <c r="BJ2" s="47" t="s">
        <v>2</v>
      </c>
      <c r="BK2" s="47" t="s">
        <v>47</v>
      </c>
      <c r="BL2" s="47" t="s">
        <v>6</v>
      </c>
      <c r="BM2" s="47" t="s">
        <v>6</v>
      </c>
      <c r="BN2" s="47" t="s">
        <v>4</v>
      </c>
      <c r="BO2" s="47" t="s">
        <v>1</v>
      </c>
      <c r="BP2" s="47" t="s">
        <v>45</v>
      </c>
      <c r="BQ2" s="47" t="s">
        <v>47</v>
      </c>
      <c r="BR2" s="47" t="s">
        <v>1</v>
      </c>
      <c r="BS2" s="47" t="s">
        <v>4</v>
      </c>
      <c r="BT2" s="47" t="s">
        <v>2</v>
      </c>
      <c r="BU2" s="47" t="s">
        <v>46</v>
      </c>
      <c r="BV2" s="7" t="s">
        <v>3</v>
      </c>
      <c r="BW2" s="47" t="s">
        <v>5</v>
      </c>
      <c r="BX2" s="47" t="s">
        <v>5</v>
      </c>
      <c r="BY2" s="47" t="s">
        <v>1</v>
      </c>
      <c r="BZ2" s="47" t="s">
        <v>5</v>
      </c>
      <c r="CA2" s="47" t="s">
        <v>4</v>
      </c>
      <c r="CB2" s="47" t="s">
        <v>3</v>
      </c>
      <c r="CC2" s="47" t="s">
        <v>4</v>
      </c>
      <c r="CD2" s="47" t="s">
        <v>5</v>
      </c>
      <c r="CE2" s="47" t="s">
        <v>49</v>
      </c>
      <c r="CF2" s="47" t="s">
        <v>2</v>
      </c>
      <c r="CG2" s="47" t="s">
        <v>5</v>
      </c>
      <c r="CH2" s="47" t="s">
        <v>3</v>
      </c>
      <c r="CI2" s="47" t="s">
        <v>5</v>
      </c>
      <c r="CJ2" s="47" t="s">
        <v>1</v>
      </c>
      <c r="CK2" s="47" t="s">
        <v>5</v>
      </c>
      <c r="CL2" s="47" t="s">
        <v>5</v>
      </c>
      <c r="CM2" s="47" t="s">
        <v>4</v>
      </c>
      <c r="CN2" s="47" t="s">
        <v>1</v>
      </c>
      <c r="CO2" s="47" t="s">
        <v>1</v>
      </c>
      <c r="CP2" s="47" t="s">
        <v>5</v>
      </c>
      <c r="CQ2" s="47" t="s">
        <v>3</v>
      </c>
      <c r="CR2" s="47" t="s">
        <v>7</v>
      </c>
      <c r="CS2" s="47" t="s">
        <v>6</v>
      </c>
      <c r="CT2" s="47" t="s">
        <v>4</v>
      </c>
      <c r="CU2" s="47" t="s">
        <v>4</v>
      </c>
      <c r="CV2" s="50" t="s">
        <v>438</v>
      </c>
      <c r="CW2" t="s">
        <v>43</v>
      </c>
      <c r="CX2">
        <f>VLOOKUP(K2,Sheet2!$A$2:$B$58,2,0)</f>
        <v>0</v>
      </c>
      <c r="CY2" t="str">
        <f t="shared" ref="CY2:CY19" si="0">_xlfn.TEXTJOIN(",",FALSE,A2:CX2)</f>
        <v>45594,1107893982,Argentina,&lt;35 años,Masculino,Universitarios completo,Como empleado de una empresa,Argentina,5-10 años,&lt;5 años,Desarrollador de Software,Líder Técnico ,,&gt;500 empleados.,Empresa que desarrolla software a medida partiendo desde cero,Multinacional,Muy Frecuentemente,Alto,&gt;5 días,Ninguno,Se me solicita ir a una sede una vez cada 3 meses aproximadamente,,,Parking gratuito, descuentos en accesorios electrónicos de uso personal si se adquiere en la sede,Remota ( todos los días en casa),Consensuada por las dos partes,En desacuerdo,Igual que cuando iba todos los días a la oficina,Igual que cuando iba todos los días a la oficina,Mayor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oficina,Mucho Mayor que cuando iba todos los días a la oficina,Mucho Mejor que cuando iba todos los días a la oficina,Mejora mucho mi desempeño en el trabajo,Mejoran mi productividad,Menor que cuando iba todos los días a la oficina,Mucho mayor que cuando iba todos los días a la oficina,Igual que cuando iba todos los días a la oficina,Igual que cuando iba todos los días a la oficina,Mucho menos que cuando iba todos los días a la oficina,Mucho menos que cuando iba todos los días a la oficina,Más que cuando iba todos los días a la oficina,Igual que cuando iba todos los días a la oficina,Mas que cuando iba todos los días a la oficina,Igual que cuando iba todos los días a la oficina,Mas que cuando iba todos los días a la oficina,Mayores que cuando iba todos los días a la oficina,Mucho Mayor que cuando iba todos los días a la oficina,Mucho Mayor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oficina,Mucho mayor que cuando iba todos los días a la oficina,Menores que cuando iba todos los días a la oficina,Mucho mayor que cuando iba todos los días a la oficina,Iguales que cuando iba todos los días a la oficina,Mucho mayor que cuando iba todos los días a la oficina,Menores que cuando iba todos los días a la oficina,Menores que cuando iba todos los días a la oficina,Igual que cuando iba todos los días a la oficina,Menor que cuando iba todos los días a la oficina,Mayores que cuando iba todos los días a la oficina,Mucho mayor que cuando iba todos los días a la oficina,Menor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oficina,Igual que cuando iba todos los días a la oficina,Igual que cuando iba todos los días a la oficina,juan.delafuente@fi.uncoma.edu.ar,301+ empleados,0</v>
      </c>
    </row>
    <row r="3" spans="1:103" ht="15.75" customHeight="1" x14ac:dyDescent="0.3">
      <c r="A3" s="49">
        <v>45572.097800243057</v>
      </c>
      <c r="B3" s="47" t="s">
        <v>251</v>
      </c>
      <c r="C3" s="47" t="s">
        <v>253</v>
      </c>
      <c r="D3" s="47" t="s">
        <v>81</v>
      </c>
      <c r="E3" s="47" t="s">
        <v>437</v>
      </c>
      <c r="F3" s="47" t="s">
        <v>145</v>
      </c>
      <c r="G3" s="47" t="s">
        <v>251</v>
      </c>
      <c r="H3" s="47" t="s">
        <v>143</v>
      </c>
      <c r="I3" s="47" t="s">
        <v>36</v>
      </c>
      <c r="J3" s="47" t="s">
        <v>436</v>
      </c>
      <c r="K3" s="47" t="s">
        <v>435</v>
      </c>
      <c r="L3" s="48"/>
      <c r="M3" s="47" t="s">
        <v>32</v>
      </c>
      <c r="N3" s="47" t="s">
        <v>91</v>
      </c>
      <c r="O3" s="47" t="s">
        <v>30</v>
      </c>
      <c r="P3" s="47" t="s">
        <v>136</v>
      </c>
      <c r="Q3" s="11" t="s">
        <v>28</v>
      </c>
      <c r="R3" s="47" t="s">
        <v>244</v>
      </c>
      <c r="S3" s="47" t="s">
        <v>26</v>
      </c>
      <c r="T3" s="47" t="s">
        <v>434</v>
      </c>
      <c r="U3" s="48"/>
      <c r="V3" s="47" t="s">
        <v>433</v>
      </c>
      <c r="W3" s="48"/>
      <c r="X3" s="47" t="s">
        <v>73</v>
      </c>
      <c r="Y3" s="47" t="s">
        <v>105</v>
      </c>
      <c r="Z3" s="47" t="s">
        <v>19</v>
      </c>
      <c r="AA3" s="47" t="s">
        <v>5</v>
      </c>
      <c r="AB3" s="47" t="s">
        <v>5</v>
      </c>
      <c r="AC3" s="47" t="s">
        <v>5</v>
      </c>
      <c r="AD3" s="47" t="s">
        <v>76</v>
      </c>
      <c r="AE3" s="47" t="s">
        <v>75</v>
      </c>
      <c r="AF3" s="47" t="s">
        <v>70</v>
      </c>
      <c r="AG3" s="47" t="s">
        <v>5</v>
      </c>
      <c r="AH3" s="47" t="s">
        <v>3</v>
      </c>
      <c r="AI3" s="47" t="s">
        <v>3</v>
      </c>
      <c r="AJ3" s="47" t="s">
        <v>5</v>
      </c>
      <c r="AK3" s="47" t="s">
        <v>53</v>
      </c>
      <c r="AL3" s="47" t="s">
        <v>52</v>
      </c>
      <c r="AM3" s="47" t="s">
        <v>68</v>
      </c>
      <c r="AN3" s="47" t="s">
        <v>4</v>
      </c>
      <c r="AO3" s="47" t="s">
        <v>4</v>
      </c>
      <c r="AP3" s="47" t="s">
        <v>4</v>
      </c>
      <c r="AQ3" s="47" t="s">
        <v>12</v>
      </c>
      <c r="AR3" s="47" t="s">
        <v>67</v>
      </c>
      <c r="AS3" s="47" t="s">
        <v>67</v>
      </c>
      <c r="AT3" s="47" t="s">
        <v>4</v>
      </c>
      <c r="AU3" s="47" t="s">
        <v>4</v>
      </c>
      <c r="AV3" s="47" t="s">
        <v>4</v>
      </c>
      <c r="AW3" s="47" t="s">
        <v>4</v>
      </c>
      <c r="AX3" s="47" t="s">
        <v>4</v>
      </c>
      <c r="AY3" s="47" t="s">
        <v>6</v>
      </c>
      <c r="AZ3" s="47" t="s">
        <v>4</v>
      </c>
      <c r="BA3" s="47" t="s">
        <v>4</v>
      </c>
      <c r="BB3" s="9" t="s">
        <v>7</v>
      </c>
      <c r="BC3" s="8" t="s">
        <v>4</v>
      </c>
      <c r="BD3" s="47" t="s">
        <v>4</v>
      </c>
      <c r="BE3" s="47" t="s">
        <v>4</v>
      </c>
      <c r="BF3" s="47" t="s">
        <v>4</v>
      </c>
      <c r="BG3" s="47" t="s">
        <v>47</v>
      </c>
      <c r="BH3" s="47" t="s">
        <v>50</v>
      </c>
      <c r="BI3" s="47" t="s">
        <v>7</v>
      </c>
      <c r="BJ3" s="47" t="s">
        <v>9</v>
      </c>
      <c r="BK3" s="47" t="s">
        <v>5</v>
      </c>
      <c r="BL3" s="47" t="s">
        <v>2</v>
      </c>
      <c r="BM3" s="47" t="s">
        <v>135</v>
      </c>
      <c r="BN3" s="47" t="s">
        <v>49</v>
      </c>
      <c r="BO3" s="47" t="s">
        <v>4</v>
      </c>
      <c r="BP3" s="47" t="s">
        <v>50</v>
      </c>
      <c r="BQ3" s="47" t="s">
        <v>47</v>
      </c>
      <c r="BR3" s="47" t="s">
        <v>1</v>
      </c>
      <c r="BS3" s="47" t="s">
        <v>49</v>
      </c>
      <c r="BT3" s="47" t="s">
        <v>6</v>
      </c>
      <c r="BU3" s="47" t="s">
        <v>4</v>
      </c>
      <c r="BV3" s="7" t="s">
        <v>5</v>
      </c>
      <c r="BW3" s="47" t="s">
        <v>5</v>
      </c>
      <c r="BX3" s="47" t="s">
        <v>5</v>
      </c>
      <c r="BY3" s="47" t="s">
        <v>4</v>
      </c>
      <c r="BZ3" s="47" t="s">
        <v>4</v>
      </c>
      <c r="CA3" s="47" t="s">
        <v>4</v>
      </c>
      <c r="CB3" s="47" t="s">
        <v>5</v>
      </c>
      <c r="CC3" s="47" t="s">
        <v>4</v>
      </c>
      <c r="CD3" s="47" t="s">
        <v>4</v>
      </c>
      <c r="CE3" s="47" t="s">
        <v>49</v>
      </c>
      <c r="CF3" s="47" t="s">
        <v>2</v>
      </c>
      <c r="CG3" s="47" t="s">
        <v>5</v>
      </c>
      <c r="CH3" s="47" t="s">
        <v>3</v>
      </c>
      <c r="CI3" s="47" t="s">
        <v>5</v>
      </c>
      <c r="CJ3" s="47" t="s">
        <v>1</v>
      </c>
      <c r="CK3" s="47" t="s">
        <v>1</v>
      </c>
      <c r="CL3" s="47" t="s">
        <v>1</v>
      </c>
      <c r="CM3" s="47" t="s">
        <v>46</v>
      </c>
      <c r="CN3" s="47" t="s">
        <v>5</v>
      </c>
      <c r="CO3" s="47" t="s">
        <v>4</v>
      </c>
      <c r="CP3" s="47" t="s">
        <v>5</v>
      </c>
      <c r="CQ3" s="47" t="s">
        <v>5</v>
      </c>
      <c r="CR3" s="47" t="s">
        <v>1</v>
      </c>
      <c r="CS3" s="47" t="s">
        <v>6</v>
      </c>
      <c r="CT3" s="47" t="s">
        <v>1</v>
      </c>
      <c r="CU3" s="47" t="s">
        <v>5</v>
      </c>
      <c r="CV3" s="50" t="s">
        <v>432</v>
      </c>
      <c r="CW3" t="s">
        <v>0</v>
      </c>
      <c r="CX3">
        <f>VLOOKUP(K3,Sheet2!$A$2:$B$58,2,0)</f>
        <v>1</v>
      </c>
      <c r="CY3" t="str">
        <f t="shared" si="0"/>
        <v>45572,0978002431,Argentina,&lt;35 años,Femenino,universitario,De ambas formas,Argentina,21-30 años,5-10 años,Referente IT,COO,,&lt;50 empleados,Empresa que desarrolla software a medida partiendo desde cero,Multinacional,Casi Nunca,Alto,&gt;5 días,Ninguno,Encuentros del equipo, reuniones gerenciales o con cliente,,Reuniones de equipo, lo deja a discreciónd el equipo,,Remota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mucho mi desempeño en el trabajo,No afectan a mi productividad,Igual que cuando iba todos los días a la oficina,Igual que cuando iba todos los días a la oficina,Igual que cuando iba todos los días a la oficina,No trabajo con personas de distintas culturas,Mucho menos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oficina,Mucho menor que cuando iba todos los días a la oficina,No hay diferencias culturales en mi equipo,Mayor que cuando iba todos los días a la oficina,Iguales que cuando iba todos los días a la oficina,No tengo que utilizar diferentes idiomas en mi trabajo,Menos que cuando iba todos los días a la oficina,Igual que cuando iba todos los días a la oficina,Mucho menores que cuando iba todos los días a la oficina,Mucho mayor que cuando iba todos los días a la oficina,Menor que cuando iba todos los días a la oficina,Menos que cuando iba todos los días a la oficina,Menores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oficina,Menos que cuando iba todos los días a la oficina,Iguales que cuando iba todos los días a la oficina,Mayor que cuando iba todos los días a la oficina,Mucho Mayor que cuando iba todos los días a la oficina,Mayor que cuando iba todos los días a la oficina,Menor que cuando iba todos los días a la oficina,Menor que cuando iba todos los días a la oficina,Menor que cuando iba todos los días a la oficina,Mejor que cuando iba todos los días a la oficina,Mayor que cuando iba todos los días a la oficina,Igual que cuando iba todos los días a la oficina,Mayor que cuando iba todos los días a la oficina,Mayor que cuando iba todos los días a la oficina,Menor que cuando iba todos los días a la oficina,Menores que cuando iba todos los días a la oficina,Menor que cuando iba todos los días a la oficina,Mayor que cuando iba todos los días a la oficina,baeza.natalia@gmail.com,&lt;301 empleados,1</v>
      </c>
    </row>
    <row r="4" spans="1:103" ht="15.75" customHeight="1" x14ac:dyDescent="0.3">
      <c r="A4" s="40">
        <v>45573.063303043979</v>
      </c>
      <c r="B4" s="37" t="s">
        <v>205</v>
      </c>
      <c r="C4" s="37" t="s">
        <v>253</v>
      </c>
      <c r="D4" s="37" t="s">
        <v>41</v>
      </c>
      <c r="E4" s="37" t="s">
        <v>238</v>
      </c>
      <c r="F4" s="37" t="s">
        <v>39</v>
      </c>
      <c r="G4" s="37" t="s">
        <v>431</v>
      </c>
      <c r="H4" s="37" t="s">
        <v>36</v>
      </c>
      <c r="I4" s="37" t="s">
        <v>36</v>
      </c>
      <c r="J4" s="37" t="s">
        <v>430</v>
      </c>
      <c r="K4" s="37" t="s">
        <v>429</v>
      </c>
      <c r="L4" s="37" t="s">
        <v>428</v>
      </c>
      <c r="M4" s="37" t="s">
        <v>98</v>
      </c>
      <c r="N4" s="37" t="s">
        <v>91</v>
      </c>
      <c r="O4" s="37" t="s">
        <v>144</v>
      </c>
      <c r="P4" s="37" t="s">
        <v>136</v>
      </c>
      <c r="Q4" s="11" t="s">
        <v>28</v>
      </c>
      <c r="R4" s="37" t="s">
        <v>244</v>
      </c>
      <c r="S4" s="37" t="s">
        <v>26</v>
      </c>
      <c r="T4" s="37" t="s">
        <v>427</v>
      </c>
      <c r="U4" s="38"/>
      <c r="V4" s="38"/>
      <c r="W4" s="38"/>
      <c r="X4" s="37" t="s">
        <v>73</v>
      </c>
      <c r="Y4" s="37" t="s">
        <v>20</v>
      </c>
      <c r="Z4" s="37" t="s">
        <v>87</v>
      </c>
      <c r="AA4" s="37" t="s">
        <v>4</v>
      </c>
      <c r="AB4" s="37" t="s">
        <v>4</v>
      </c>
      <c r="AC4" s="37" t="s">
        <v>4</v>
      </c>
      <c r="AD4" s="37" t="s">
        <v>2</v>
      </c>
      <c r="AE4" s="37" t="s">
        <v>18</v>
      </c>
      <c r="AF4" s="37" t="s">
        <v>112</v>
      </c>
      <c r="AG4" s="37" t="s">
        <v>5</v>
      </c>
      <c r="AH4" s="37" t="s">
        <v>3</v>
      </c>
      <c r="AI4" s="37" t="s">
        <v>5</v>
      </c>
      <c r="AJ4" s="37" t="s">
        <v>5</v>
      </c>
      <c r="AK4" s="37" t="s">
        <v>4</v>
      </c>
      <c r="AL4" s="37" t="s">
        <v>74</v>
      </c>
      <c r="AM4" s="37" t="s">
        <v>14</v>
      </c>
      <c r="AN4" s="37" t="s">
        <v>4</v>
      </c>
      <c r="AO4" s="37" t="s">
        <v>4</v>
      </c>
      <c r="AP4" s="37" t="s">
        <v>4</v>
      </c>
      <c r="AQ4" s="37" t="s">
        <v>4</v>
      </c>
      <c r="AR4" s="37" t="s">
        <v>4</v>
      </c>
      <c r="AS4" s="37" t="s">
        <v>4</v>
      </c>
      <c r="AT4" s="37" t="s">
        <v>4</v>
      </c>
      <c r="AU4" s="37" t="s">
        <v>4</v>
      </c>
      <c r="AV4" s="37" t="s">
        <v>4</v>
      </c>
      <c r="AW4" s="37" t="s">
        <v>4</v>
      </c>
      <c r="AX4" s="37" t="s">
        <v>4</v>
      </c>
      <c r="AY4" s="37" t="s">
        <v>2</v>
      </c>
      <c r="AZ4" s="37" t="s">
        <v>4</v>
      </c>
      <c r="BA4" s="37" t="s">
        <v>4</v>
      </c>
      <c r="BB4" s="9" t="s">
        <v>4</v>
      </c>
      <c r="BC4" s="8" t="s">
        <v>4</v>
      </c>
      <c r="BD4" s="37" t="s">
        <v>4</v>
      </c>
      <c r="BE4" s="37" t="s">
        <v>4</v>
      </c>
      <c r="BF4" s="37" t="s">
        <v>4</v>
      </c>
      <c r="BG4" s="37" t="s">
        <v>4</v>
      </c>
      <c r="BH4" s="37" t="s">
        <v>2</v>
      </c>
      <c r="BI4" s="37" t="s">
        <v>4</v>
      </c>
      <c r="BJ4" s="37" t="s">
        <v>2</v>
      </c>
      <c r="BK4" s="37" t="s">
        <v>5</v>
      </c>
      <c r="BL4" s="37" t="s">
        <v>2</v>
      </c>
      <c r="BM4" s="37" t="s">
        <v>2</v>
      </c>
      <c r="BN4" s="37" t="s">
        <v>4</v>
      </c>
      <c r="BO4" s="37" t="s">
        <v>4</v>
      </c>
      <c r="BP4" s="37" t="s">
        <v>2</v>
      </c>
      <c r="BQ4" s="37" t="s">
        <v>4</v>
      </c>
      <c r="BR4" s="37" t="s">
        <v>4</v>
      </c>
      <c r="BS4" s="37" t="s">
        <v>4</v>
      </c>
      <c r="BT4" s="37" t="s">
        <v>2</v>
      </c>
      <c r="BU4" s="37" t="s">
        <v>4</v>
      </c>
      <c r="BV4" s="7" t="s">
        <v>4</v>
      </c>
      <c r="BW4" s="37" t="s">
        <v>5</v>
      </c>
      <c r="BX4" s="37" t="s">
        <v>5</v>
      </c>
      <c r="BY4" s="37" t="s">
        <v>4</v>
      </c>
      <c r="BZ4" s="37" t="s">
        <v>4</v>
      </c>
      <c r="CA4" s="37" t="s">
        <v>4</v>
      </c>
      <c r="CB4" s="37" t="s">
        <v>4</v>
      </c>
      <c r="CC4" s="37" t="s">
        <v>4</v>
      </c>
      <c r="CD4" s="37" t="s">
        <v>4</v>
      </c>
      <c r="CE4" s="37" t="s">
        <v>4</v>
      </c>
      <c r="CF4" s="37" t="s">
        <v>2</v>
      </c>
      <c r="CG4" s="37" t="s">
        <v>4</v>
      </c>
      <c r="CH4" s="37" t="s">
        <v>4</v>
      </c>
      <c r="CI4" s="37" t="s">
        <v>4</v>
      </c>
      <c r="CJ4" s="37" t="s">
        <v>4</v>
      </c>
      <c r="CK4" s="37" t="s">
        <v>4</v>
      </c>
      <c r="CL4" s="37" t="s">
        <v>4</v>
      </c>
      <c r="CM4" s="37" t="s">
        <v>4</v>
      </c>
      <c r="CN4" s="37" t="s">
        <v>4</v>
      </c>
      <c r="CO4" s="37" t="s">
        <v>4</v>
      </c>
      <c r="CP4" s="37" t="s">
        <v>4</v>
      </c>
      <c r="CQ4" s="37" t="s">
        <v>4</v>
      </c>
      <c r="CR4" s="37" t="s">
        <v>4</v>
      </c>
      <c r="CS4" s="37" t="s">
        <v>2</v>
      </c>
      <c r="CT4" s="37" t="s">
        <v>4</v>
      </c>
      <c r="CU4" s="37" t="s">
        <v>4</v>
      </c>
      <c r="CV4" s="45" t="s">
        <v>426</v>
      </c>
      <c r="CW4" t="s">
        <v>0</v>
      </c>
      <c r="CX4">
        <f>VLOOKUP(K4,Sheet2!$A$2:$B$58,2,0)</f>
        <v>0</v>
      </c>
      <c r="CY4" t="str">
        <f t="shared" si="0"/>
        <v>45573,063303044,Colombia,&lt;35 años,Masculino,Profesional,Como empleado de una empresa,Bogotá ,5-10 años,5-10 años,Desarollador junior,Líder técnico de desarrollo,Lulo bank,151-300 empleados,Empresa que desarrolla software a medida partiendo desde cero,Local,Casi Nunca,Alto,&gt;5 días,Ninguno,A integraciones de trabajo,,,,Remota ( todos los días en casa),Impuesta por la empresa,Totalmente en desacuerdo,Igual que cuando iba todos los días a la oficina,Igual que cuando iba todos los días a la oficina,Igual que cuando iba todos los días a la oficina,Iguales que cuando iba todos los días a la oficina,Todas por videoconferencia,Igual que cuando eran en la oficina,Mayor que cuando iba todos los días a la oficina,Mucho Mayor que cuando iba todos los días a la oficina,Mayor que cuando iba todos los días a la oficina,Mayor que cuando iba todos los días a la oficina,Igual que cuando iba todos los días a la oficina,Mejora mi desempeño en el trabajo,Mejoran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oficina,de.escobarc1@uniandes.edu.co,&lt;301 empleados,0</v>
      </c>
    </row>
    <row r="5" spans="1:103" ht="15.75" customHeight="1" x14ac:dyDescent="0.3">
      <c r="A5" s="42">
        <v>45562.000754305554</v>
      </c>
      <c r="B5" s="37" t="s">
        <v>205</v>
      </c>
      <c r="C5" s="39" t="s">
        <v>253</v>
      </c>
      <c r="D5" s="39" t="s">
        <v>41</v>
      </c>
      <c r="E5" s="39" t="s">
        <v>173</v>
      </c>
      <c r="F5" s="39" t="s">
        <v>39</v>
      </c>
      <c r="G5" s="39" t="s">
        <v>205</v>
      </c>
      <c r="H5" s="39" t="s">
        <v>36</v>
      </c>
      <c r="I5" s="39" t="s">
        <v>64</v>
      </c>
      <c r="J5" s="39" t="s">
        <v>154</v>
      </c>
      <c r="K5" s="39" t="s">
        <v>372</v>
      </c>
      <c r="L5" s="36" t="s">
        <v>350</v>
      </c>
      <c r="M5" s="39" t="s">
        <v>137</v>
      </c>
      <c r="N5" s="39" t="s">
        <v>31</v>
      </c>
      <c r="O5" s="39" t="s">
        <v>144</v>
      </c>
      <c r="P5" s="39" t="s">
        <v>136</v>
      </c>
      <c r="Q5" s="11" t="s">
        <v>28</v>
      </c>
      <c r="R5" s="39" t="s">
        <v>244</v>
      </c>
      <c r="S5" s="39" t="s">
        <v>26</v>
      </c>
      <c r="T5" s="39" t="s">
        <v>425</v>
      </c>
      <c r="U5" s="38"/>
      <c r="V5" s="36" t="s">
        <v>424</v>
      </c>
      <c r="W5" s="41"/>
      <c r="X5" s="39" t="s">
        <v>73</v>
      </c>
      <c r="Y5" s="39" t="s">
        <v>72</v>
      </c>
      <c r="Z5" s="39" t="s">
        <v>113</v>
      </c>
      <c r="AA5" s="39" t="s">
        <v>4</v>
      </c>
      <c r="AB5" s="39" t="s">
        <v>4</v>
      </c>
      <c r="AC5" s="39" t="s">
        <v>4</v>
      </c>
      <c r="AD5" s="39" t="s">
        <v>2</v>
      </c>
      <c r="AE5" s="39" t="s">
        <v>75</v>
      </c>
      <c r="AF5" s="39" t="s">
        <v>70</v>
      </c>
      <c r="AG5" s="39" t="s">
        <v>5</v>
      </c>
      <c r="AH5" s="39" t="s">
        <v>4</v>
      </c>
      <c r="AI5" s="39" t="s">
        <v>4</v>
      </c>
      <c r="AJ5" s="39" t="s">
        <v>4</v>
      </c>
      <c r="AK5" s="39" t="s">
        <v>53</v>
      </c>
      <c r="AL5" s="39" t="s">
        <v>74</v>
      </c>
      <c r="AM5" s="39" t="s">
        <v>68</v>
      </c>
      <c r="AN5" s="39" t="s">
        <v>4</v>
      </c>
      <c r="AO5" s="39" t="s">
        <v>1</v>
      </c>
      <c r="AP5" s="39" t="s">
        <v>4</v>
      </c>
      <c r="AQ5" s="39" t="s">
        <v>4</v>
      </c>
      <c r="AR5" s="39" t="s">
        <v>86</v>
      </c>
      <c r="AS5" s="39" t="s">
        <v>4</v>
      </c>
      <c r="AT5" s="39" t="s">
        <v>13</v>
      </c>
      <c r="AU5" s="39" t="s">
        <v>49</v>
      </c>
      <c r="AV5" s="39" t="s">
        <v>4</v>
      </c>
      <c r="AW5" s="39" t="s">
        <v>4</v>
      </c>
      <c r="AX5" s="39" t="s">
        <v>4</v>
      </c>
      <c r="AY5" s="39" t="s">
        <v>2</v>
      </c>
      <c r="AZ5" s="39" t="s">
        <v>4</v>
      </c>
      <c r="BA5" s="39" t="s">
        <v>4</v>
      </c>
      <c r="BB5" s="16" t="s">
        <v>1</v>
      </c>
      <c r="BC5" s="15" t="s">
        <v>5</v>
      </c>
      <c r="BD5" s="39" t="s">
        <v>1</v>
      </c>
      <c r="BE5" s="39" t="s">
        <v>1</v>
      </c>
      <c r="BF5" s="39" t="s">
        <v>4</v>
      </c>
      <c r="BG5" s="39" t="s">
        <v>47</v>
      </c>
      <c r="BH5" s="39" t="s">
        <v>50</v>
      </c>
      <c r="BI5" s="39" t="s">
        <v>4</v>
      </c>
      <c r="BJ5" s="39" t="s">
        <v>9</v>
      </c>
      <c r="BK5" s="39" t="s">
        <v>4</v>
      </c>
      <c r="BL5" s="39" t="s">
        <v>2</v>
      </c>
      <c r="BM5" s="39" t="s">
        <v>135</v>
      </c>
      <c r="BN5" s="39" t="s">
        <v>147</v>
      </c>
      <c r="BO5" s="39" t="s">
        <v>4</v>
      </c>
      <c r="BP5" s="39" t="s">
        <v>50</v>
      </c>
      <c r="BQ5" s="39" t="s">
        <v>47</v>
      </c>
      <c r="BR5" s="39" t="s">
        <v>4</v>
      </c>
      <c r="BS5" s="39" t="s">
        <v>13</v>
      </c>
      <c r="BT5" s="39" t="s">
        <v>2</v>
      </c>
      <c r="BU5" s="39" t="s">
        <v>4</v>
      </c>
      <c r="BV5" s="14" t="s">
        <v>3</v>
      </c>
      <c r="BW5" s="39" t="s">
        <v>3</v>
      </c>
      <c r="BX5" s="39" t="s">
        <v>47</v>
      </c>
      <c r="BY5" s="39" t="s">
        <v>5</v>
      </c>
      <c r="BZ5" s="39" t="s">
        <v>4</v>
      </c>
      <c r="CA5" s="39" t="s">
        <v>5</v>
      </c>
      <c r="CB5" s="39" t="s">
        <v>3</v>
      </c>
      <c r="CC5" s="39" t="s">
        <v>3</v>
      </c>
      <c r="CD5" s="39" t="s">
        <v>4</v>
      </c>
      <c r="CE5" s="39" t="s">
        <v>4</v>
      </c>
      <c r="CF5" s="39" t="s">
        <v>6</v>
      </c>
      <c r="CG5" s="39" t="s">
        <v>4</v>
      </c>
      <c r="CH5" s="39" t="s">
        <v>5</v>
      </c>
      <c r="CI5" s="39" t="s">
        <v>4</v>
      </c>
      <c r="CJ5" s="39" t="s">
        <v>1</v>
      </c>
      <c r="CK5" s="39" t="s">
        <v>4</v>
      </c>
      <c r="CL5" s="39" t="s">
        <v>4</v>
      </c>
      <c r="CM5" s="39" t="s">
        <v>46</v>
      </c>
      <c r="CN5" s="39" t="s">
        <v>4</v>
      </c>
      <c r="CO5" s="39" t="s">
        <v>4</v>
      </c>
      <c r="CP5" s="39" t="s">
        <v>4</v>
      </c>
      <c r="CQ5" s="39" t="s">
        <v>3</v>
      </c>
      <c r="CR5" s="39" t="s">
        <v>7</v>
      </c>
      <c r="CS5" s="39" t="s">
        <v>2</v>
      </c>
      <c r="CT5" s="39" t="s">
        <v>4</v>
      </c>
      <c r="CU5" s="39" t="s">
        <v>47</v>
      </c>
      <c r="CV5" s="36" t="s">
        <v>423</v>
      </c>
      <c r="CW5" t="s">
        <v>43</v>
      </c>
      <c r="CX5">
        <f>VLOOKUP(K5,Sheet2!$A$2:$B$58,2,0)</f>
        <v>0</v>
      </c>
      <c r="CY5" t="str">
        <f t="shared" si="0"/>
        <v>45562,0007543056,Colombia,&lt;35 años,Masculino,Postgrado,Como empleado de una empresa,Colombia,5-10 años,&lt;5 años,Desarrollador de Software,Tech Lead,Asesoftware,301-500 empleados,Fábrica de Software,Local,Casi Nunca,Alto,&gt;5 días,Ninguno,Reuniones con cliente,,Reuniones de seguimiento o con cliente,,Remota ( todos los días en casa),Consensuada por las dos partes,De acuerdo,Igual que cuando iba todos los días a la oficina,Igual que cuando iba todos los días a la oficina,Igual que cuando iba todos los días a la oficina,Iguales que cuando iba todos los días a la oficina,Casi todas por videoconferencia,Menor que cuando eran en la oficina,Mayor que cuando iba todos los días a la oficina,Igual que cuando iba todos los días a la oficina,Igual que cuando iba todos los días a la oficina,Igual que cuando iba todos los días a la oficina,Mucho Mejor que cuando iba todos los días a la oficina,Mejora mi desempeño en el trabajo,No afectan a mi productividad,Igual que cuando iba todos los días a la oficina,Menor que cuando iba todos los días a la oficina,Igual que cuando iba todos los días a la oficina,Igual que cuando iba todos los días a la oficina,No trabajo con personas con un horario distinto al mío,Igual que cuando iba todos los días a la oficina,No tengo la información para contestar a la pregunta,Menos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oficina,Mucho menores que cuando iba todos los días a la oficina,Igual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oficina,No tengo la información para contestar a la pregunta,Iguales que cuando iba todos los días a la oficina,Igual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oficina,Mayor que cuando iba todos los días a la oficina,Mucho Mayor que cuando iba todos los días a la oficina,Mucho 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oficina,xavigonpa@gmail.com,301+ empleados,0</v>
      </c>
    </row>
    <row r="6" spans="1:103" ht="15.75" customHeight="1" x14ac:dyDescent="0.3">
      <c r="A6" s="40">
        <v>45564.760375729165</v>
      </c>
      <c r="B6" s="37" t="s">
        <v>205</v>
      </c>
      <c r="C6" s="37" t="s">
        <v>253</v>
      </c>
      <c r="D6" s="37" t="s">
        <v>41</v>
      </c>
      <c r="E6" s="37" t="s">
        <v>238</v>
      </c>
      <c r="F6" s="37" t="s">
        <v>39</v>
      </c>
      <c r="G6" s="37" t="s">
        <v>205</v>
      </c>
      <c r="H6" s="37" t="s">
        <v>37</v>
      </c>
      <c r="I6" s="37" t="s">
        <v>36</v>
      </c>
      <c r="J6" s="37" t="s">
        <v>422</v>
      </c>
      <c r="K6" s="37" t="s">
        <v>421</v>
      </c>
      <c r="L6" s="36" t="s">
        <v>420</v>
      </c>
      <c r="M6" s="37" t="s">
        <v>32</v>
      </c>
      <c r="N6" s="37" t="s">
        <v>91</v>
      </c>
      <c r="O6" s="37" t="s">
        <v>160</v>
      </c>
      <c r="P6" s="37" t="s">
        <v>117</v>
      </c>
      <c r="Q6" s="11" t="s">
        <v>28</v>
      </c>
      <c r="R6" s="37" t="s">
        <v>244</v>
      </c>
      <c r="S6" s="37" t="s">
        <v>26</v>
      </c>
      <c r="T6" s="36" t="s">
        <v>419</v>
      </c>
      <c r="U6" s="38"/>
      <c r="V6" s="38"/>
      <c r="W6" s="36" t="s">
        <v>418</v>
      </c>
      <c r="X6" s="37" t="s">
        <v>73</v>
      </c>
      <c r="Y6" s="37" t="s">
        <v>72</v>
      </c>
      <c r="Z6" s="37" t="s">
        <v>19</v>
      </c>
      <c r="AA6" s="37" t="s">
        <v>47</v>
      </c>
      <c r="AB6" s="37" t="s">
        <v>5</v>
      </c>
      <c r="AC6" s="37" t="s">
        <v>4</v>
      </c>
      <c r="AD6" s="37" t="s">
        <v>76</v>
      </c>
      <c r="AE6" s="37" t="s">
        <v>18</v>
      </c>
      <c r="AF6" s="37" t="s">
        <v>54</v>
      </c>
      <c r="AG6" s="37" t="s">
        <v>5</v>
      </c>
      <c r="AH6" s="37" t="s">
        <v>3</v>
      </c>
      <c r="AI6" s="37" t="s">
        <v>3</v>
      </c>
      <c r="AJ6" s="37" t="s">
        <v>5</v>
      </c>
      <c r="AK6" s="37" t="s">
        <v>4</v>
      </c>
      <c r="AL6" s="37" t="s">
        <v>74</v>
      </c>
      <c r="AM6" s="37" t="s">
        <v>68</v>
      </c>
      <c r="AN6" s="37" t="s">
        <v>5</v>
      </c>
      <c r="AO6" s="37" t="s">
        <v>7</v>
      </c>
      <c r="AP6" s="37" t="s">
        <v>67</v>
      </c>
      <c r="AQ6" s="37" t="s">
        <v>12</v>
      </c>
      <c r="AR6" s="37" t="s">
        <v>86</v>
      </c>
      <c r="AS6" s="37" t="s">
        <v>150</v>
      </c>
      <c r="AT6" s="37" t="s">
        <v>49</v>
      </c>
      <c r="AU6" s="37" t="s">
        <v>49</v>
      </c>
      <c r="AV6" s="37" t="s">
        <v>13</v>
      </c>
      <c r="AW6" s="37" t="s">
        <v>49</v>
      </c>
      <c r="AX6" s="37" t="s">
        <v>49</v>
      </c>
      <c r="AY6" s="37" t="s">
        <v>45</v>
      </c>
      <c r="AZ6" s="37" t="s">
        <v>5</v>
      </c>
      <c r="BA6" s="37" t="s">
        <v>3</v>
      </c>
      <c r="BB6" s="9" t="s">
        <v>1</v>
      </c>
      <c r="BC6" s="8" t="s">
        <v>5</v>
      </c>
      <c r="BD6" s="37" t="s">
        <v>1</v>
      </c>
      <c r="BE6" s="37" t="s">
        <v>1</v>
      </c>
      <c r="BF6" s="37" t="s">
        <v>1</v>
      </c>
      <c r="BG6" s="37" t="s">
        <v>47</v>
      </c>
      <c r="BH6" s="37" t="s">
        <v>2</v>
      </c>
      <c r="BI6" s="37" t="s">
        <v>5</v>
      </c>
      <c r="BJ6" s="37" t="s">
        <v>9</v>
      </c>
      <c r="BK6" s="37" t="s">
        <v>5</v>
      </c>
      <c r="BL6" s="37" t="s">
        <v>6</v>
      </c>
      <c r="BM6" s="37" t="s">
        <v>135</v>
      </c>
      <c r="BN6" s="37" t="s">
        <v>147</v>
      </c>
      <c r="BO6" s="37" t="s">
        <v>47</v>
      </c>
      <c r="BP6" s="37" t="s">
        <v>6</v>
      </c>
      <c r="BQ6" s="37" t="s">
        <v>47</v>
      </c>
      <c r="BR6" s="37" t="s">
        <v>1</v>
      </c>
      <c r="BS6" s="37" t="s">
        <v>49</v>
      </c>
      <c r="BT6" s="37" t="s">
        <v>6</v>
      </c>
      <c r="BU6" s="37" t="s">
        <v>46</v>
      </c>
      <c r="BV6" s="7" t="s">
        <v>3</v>
      </c>
      <c r="BW6" s="37" t="s">
        <v>5</v>
      </c>
      <c r="BX6" s="37" t="s">
        <v>5</v>
      </c>
      <c r="BY6" s="37" t="s">
        <v>4</v>
      </c>
      <c r="BZ6" s="37" t="s">
        <v>4</v>
      </c>
      <c r="CA6" s="37" t="s">
        <v>5</v>
      </c>
      <c r="CB6" s="37" t="s">
        <v>3</v>
      </c>
      <c r="CC6" s="37" t="s">
        <v>5</v>
      </c>
      <c r="CD6" s="37" t="s">
        <v>1</v>
      </c>
      <c r="CE6" s="37" t="s">
        <v>10</v>
      </c>
      <c r="CF6" s="37" t="s">
        <v>2</v>
      </c>
      <c r="CG6" s="37" t="s">
        <v>5</v>
      </c>
      <c r="CH6" s="37" t="s">
        <v>3</v>
      </c>
      <c r="CI6" s="37" t="s">
        <v>5</v>
      </c>
      <c r="CJ6" s="37" t="s">
        <v>7</v>
      </c>
      <c r="CK6" s="37" t="s">
        <v>5</v>
      </c>
      <c r="CL6" s="37" t="s">
        <v>4</v>
      </c>
      <c r="CM6" s="37" t="s">
        <v>46</v>
      </c>
      <c r="CN6" s="37" t="s">
        <v>3</v>
      </c>
      <c r="CO6" s="37" t="s">
        <v>5</v>
      </c>
      <c r="CP6" s="37" t="s">
        <v>5</v>
      </c>
      <c r="CQ6" s="37" t="s">
        <v>3</v>
      </c>
      <c r="CR6" s="37" t="s">
        <v>1</v>
      </c>
      <c r="CS6" s="37" t="s">
        <v>6</v>
      </c>
      <c r="CT6" s="37" t="s">
        <v>3</v>
      </c>
      <c r="CU6" s="37" t="s">
        <v>5</v>
      </c>
      <c r="CV6" s="45" t="s">
        <v>417</v>
      </c>
      <c r="CW6" t="s">
        <v>0</v>
      </c>
      <c r="CX6">
        <f>VLOOKUP(K6,Sheet2!$A$2:$B$58,2,0)</f>
        <v>0</v>
      </c>
      <c r="CY6" t="str">
        <f t="shared" si="0"/>
        <v>45564,7603757292,Colombia,&lt;35 años,Masculino,Profesional,Como empleado de una empresa,Colombia,11-20 años,5-10 años,Desarrollador Senior y Líder Técnico,Director de Tecnología y Desarrollo de Software,Crediestado,&lt;50 empleados,Empresa que desarrolla software a medida partiendo desde cero,Nacional (múltiples sedes en el mismo país),Nunca,Alto,&gt;5 días,Ninguno,No, sin embargo me solicitan ir en momentos extremadamente necesario,,,Considero que sería complejo, en casa soy feliz y tengo más tiempo para dedicar a mi trabajo y en unos pocos minutos hacer cambio a mis actividades personales. En el caso extremo de tener que asistir a la oficina, esperaría tener una oficina bonita, parqueadero, y una buena cafetería para asistir.,Remota ( todos los días en casa),Consensuada por las dos partes,En desacuerdo,Mucho mayor que cuando iba todos los días a la oficina,Mayor que cuando iba todos los días a la oficina,Igual que cuando iba todos los días a la oficina,Diferentes que cuando iba todos los días a la oficina, ahora necesito menos horas para hacer lo mismo,Todas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trabajo,No afectan a mi productividad,Mayor que cuando iba todos los días a la oficina,Mucho menor que cuando iba todos los días a la oficina,Mucho menos que cuando iba todos los días a la oficina,No trabajo con personas de distintas culturas,No trabajo con personas con un horario distinto al mío,No trabajo  con personas que se encuentran geográficamente distribuidas,Menos que cuando iba todos los días a la oficina,Menos que cuando iba todos los días a la oficina,No tengo la información para contestar a la pregunta,Menos que cuando iba todos los días a la oficina,Menos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oficina,Menores que cuando iba todos los días a la oficina,No tengo que utilizar diferentes idiomas en mi trabajo,No trabajo con personas con distintos horarios,Mucho mayor que cuando iba todos los días a la oficina,Menores que cuando iba todos los días a la oficina,Mucho mayor que cuando iba todos los días a la oficina,Menor que cuando iba todos los días a la oficina,Menos que cuando iba todos los días a la oficina,Menores que cuando iba todos los días a la oficina,Mejor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oficina,Mayor que cuando iba todos los días a la oficina,Mucho menor que cuando iba todos los días a la oficina,Mayor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oficina,Mucho Mayor que cuando iba todos los días a la oficina,Menor que cuando iba todos los días a la oficina,Menores que cuando iba todos los días a la oficina,Mucho Mayor que cuando iba todos los días a la oficina,Mayor que cuando iba todos los días a la oficina,miguel.vega.ruiz@gmail.com,&lt;301 empleados,0</v>
      </c>
    </row>
    <row r="7" spans="1:103" ht="15.75" customHeight="1" x14ac:dyDescent="0.3">
      <c r="A7" s="42">
        <v>45561.740925509264</v>
      </c>
      <c r="B7" s="37" t="s">
        <v>205</v>
      </c>
      <c r="C7" s="39" t="s">
        <v>253</v>
      </c>
      <c r="D7" s="39" t="s">
        <v>81</v>
      </c>
      <c r="E7" s="39" t="s">
        <v>238</v>
      </c>
      <c r="F7" s="39" t="s">
        <v>39</v>
      </c>
      <c r="G7" s="39" t="s">
        <v>416</v>
      </c>
      <c r="H7" s="39" t="s">
        <v>36</v>
      </c>
      <c r="I7" s="39" t="s">
        <v>64</v>
      </c>
      <c r="J7" s="39" t="s">
        <v>415</v>
      </c>
      <c r="K7" s="39" t="s">
        <v>414</v>
      </c>
      <c r="L7" s="38"/>
      <c r="M7" s="39" t="s">
        <v>60</v>
      </c>
      <c r="N7" s="39" t="s">
        <v>31</v>
      </c>
      <c r="O7" s="39" t="s">
        <v>30</v>
      </c>
      <c r="P7" s="39" t="s">
        <v>58</v>
      </c>
      <c r="Q7" s="11" t="s">
        <v>28</v>
      </c>
      <c r="R7" s="39" t="s">
        <v>244</v>
      </c>
      <c r="S7" s="39" t="s">
        <v>26</v>
      </c>
      <c r="T7" s="39" t="s">
        <v>413</v>
      </c>
      <c r="U7" s="36" t="s">
        <v>412</v>
      </c>
      <c r="V7" s="36" t="s">
        <v>411</v>
      </c>
      <c r="W7" s="39" t="s">
        <v>410</v>
      </c>
      <c r="X7" s="39" t="s">
        <v>73</v>
      </c>
      <c r="Y7" s="39" t="s">
        <v>72</v>
      </c>
      <c r="Z7" s="39" t="s">
        <v>113</v>
      </c>
      <c r="AA7" s="39" t="s">
        <v>1</v>
      </c>
      <c r="AB7" s="39" t="s">
        <v>4</v>
      </c>
      <c r="AC7" s="39" t="s">
        <v>1</v>
      </c>
      <c r="AD7" s="39" t="s">
        <v>2</v>
      </c>
      <c r="AE7" s="39" t="s">
        <v>18</v>
      </c>
      <c r="AF7" s="39" t="s">
        <v>112</v>
      </c>
      <c r="AG7" s="39" t="s">
        <v>4</v>
      </c>
      <c r="AH7" s="39" t="s">
        <v>4</v>
      </c>
      <c r="AI7" s="39" t="s">
        <v>4</v>
      </c>
      <c r="AJ7" s="39" t="s">
        <v>1</v>
      </c>
      <c r="AK7" s="39" t="s">
        <v>1</v>
      </c>
      <c r="AL7" s="39" t="s">
        <v>69</v>
      </c>
      <c r="AM7" s="39" t="s">
        <v>14</v>
      </c>
      <c r="AN7" s="39" t="s">
        <v>1</v>
      </c>
      <c r="AO7" s="39" t="s">
        <v>4</v>
      </c>
      <c r="AP7" s="39" t="s">
        <v>13</v>
      </c>
      <c r="AQ7" s="39" t="s">
        <v>4</v>
      </c>
      <c r="AR7" s="39" t="s">
        <v>49</v>
      </c>
      <c r="AS7" s="39" t="s">
        <v>49</v>
      </c>
      <c r="AT7" s="39" t="s">
        <v>8</v>
      </c>
      <c r="AU7" s="39" t="s">
        <v>4</v>
      </c>
      <c r="AV7" s="39" t="s">
        <v>10</v>
      </c>
      <c r="AW7" s="39" t="s">
        <v>10</v>
      </c>
      <c r="AX7" s="39" t="s">
        <v>10</v>
      </c>
      <c r="AY7" s="39" t="s">
        <v>6</v>
      </c>
      <c r="AZ7" s="39" t="s">
        <v>1</v>
      </c>
      <c r="BA7" s="39" t="s">
        <v>4</v>
      </c>
      <c r="BB7" s="16" t="s">
        <v>5</v>
      </c>
      <c r="BC7" s="15" t="s">
        <v>5</v>
      </c>
      <c r="BD7" s="39" t="s">
        <v>5</v>
      </c>
      <c r="BE7" s="39" t="s">
        <v>5</v>
      </c>
      <c r="BF7" s="39" t="s">
        <v>4</v>
      </c>
      <c r="BG7" s="39" t="s">
        <v>5</v>
      </c>
      <c r="BH7" s="39" t="s">
        <v>2</v>
      </c>
      <c r="BI7" s="39" t="s">
        <v>4</v>
      </c>
      <c r="BJ7" s="39" t="s">
        <v>2</v>
      </c>
      <c r="BK7" s="39" t="s">
        <v>4</v>
      </c>
      <c r="BL7" s="39" t="s">
        <v>45</v>
      </c>
      <c r="BM7" s="39" t="s">
        <v>2</v>
      </c>
      <c r="BN7" s="39" t="s">
        <v>4</v>
      </c>
      <c r="BO7" s="39" t="s">
        <v>1</v>
      </c>
      <c r="BP7" s="39" t="s">
        <v>45</v>
      </c>
      <c r="BQ7" s="39" t="s">
        <v>1</v>
      </c>
      <c r="BR7" s="39" t="s">
        <v>5</v>
      </c>
      <c r="BS7" s="39" t="s">
        <v>8</v>
      </c>
      <c r="BT7" s="39" t="s">
        <v>2</v>
      </c>
      <c r="BU7" s="39" t="s">
        <v>4</v>
      </c>
      <c r="BV7" s="14" t="s">
        <v>1</v>
      </c>
      <c r="BW7" s="39" t="s">
        <v>1</v>
      </c>
      <c r="BX7" s="39" t="s">
        <v>5</v>
      </c>
      <c r="BY7" s="39" t="s">
        <v>4</v>
      </c>
      <c r="BZ7" s="39" t="s">
        <v>4</v>
      </c>
      <c r="CA7" s="39" t="s">
        <v>4</v>
      </c>
      <c r="CB7" s="39" t="s">
        <v>1</v>
      </c>
      <c r="CC7" s="39" t="s">
        <v>1</v>
      </c>
      <c r="CD7" s="39" t="s">
        <v>4</v>
      </c>
      <c r="CE7" s="39" t="s">
        <v>49</v>
      </c>
      <c r="CF7" s="39" t="s">
        <v>2</v>
      </c>
      <c r="CG7" s="39" t="s">
        <v>4</v>
      </c>
      <c r="CH7" s="39" t="s">
        <v>5</v>
      </c>
      <c r="CI7" s="39" t="s">
        <v>1</v>
      </c>
      <c r="CJ7" s="39" t="s">
        <v>5</v>
      </c>
      <c r="CK7" s="39" t="s">
        <v>1</v>
      </c>
      <c r="CL7" s="39" t="s">
        <v>5</v>
      </c>
      <c r="CM7" s="39" t="s">
        <v>48</v>
      </c>
      <c r="CN7" s="39" t="s">
        <v>1</v>
      </c>
      <c r="CO7" s="39" t="s">
        <v>1</v>
      </c>
      <c r="CP7" s="39" t="s">
        <v>4</v>
      </c>
      <c r="CQ7" s="39" t="s">
        <v>4</v>
      </c>
      <c r="CR7" s="39" t="s">
        <v>4</v>
      </c>
      <c r="CS7" s="39" t="s">
        <v>45</v>
      </c>
      <c r="CT7" s="39" t="s">
        <v>7</v>
      </c>
      <c r="CU7" s="39" t="s">
        <v>1</v>
      </c>
      <c r="CV7" s="38"/>
      <c r="CW7" t="s">
        <v>43</v>
      </c>
      <c r="CX7">
        <f>VLOOKUP(K7,Sheet2!$A$2:$B$58,2,0)</f>
        <v>0</v>
      </c>
      <c r="CY7" t="str">
        <f t="shared" si="0"/>
        <v>45561,7409255093,Colombia,&lt;35 años,Femenino,Profesional,Como empleado de una empresa,Estado Unidos,5-10 años,&lt;5 años,Desarrolladora y gerente de ingeniería,Gerente de Ingeniería  ,,&gt;500 empleados.,Fábrica de Software,Multinacional,Muy Frecuentemente,Alto,&gt;5 días,Ninguno,Trabajo esporádico ,Para eventos especiales y reuniones de equipo,Dos veces a la semana a trabajar regularmente,Parqueadero gratuito, mejora en bono alimenticio y horario flexible,Remota ( todos los días en casa),Consensuada por las dos partes,De acuerdo,Menor que cuando iba todos los días a la oficina,Igual que cuando iba todos los días a la oficina,Menor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oficina,Negativamente a la hora de desempeñar mi trabajo,Mejoran mi productividad,Menor que cuando iba todos los días a la oficina,Igual que cuando iba todos los días a la oficina,No tengo la información para contestar a la pregunta,Igual que cuando iba todos los días a la oficina,Menos que cuando iba todos los días a la oficina,Menos que cuando iba todos los días a la oficina,Más que cuando iba todos los días a la oficina,Igual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oficina,Mayores que cuando iba todos los días a la oficina,Mucho menor que cuando iba todos los días a la oficina,Menor que cuando iba todos los días a la oficina,,301+ empleados,0</v>
      </c>
    </row>
    <row r="8" spans="1:103" ht="15.75" customHeight="1" x14ac:dyDescent="0.3">
      <c r="A8" s="40">
        <v>45564.733372303243</v>
      </c>
      <c r="B8" s="37" t="s">
        <v>205</v>
      </c>
      <c r="C8" s="37" t="s">
        <v>253</v>
      </c>
      <c r="D8" s="37" t="s">
        <v>41</v>
      </c>
      <c r="E8" s="37" t="s">
        <v>409</v>
      </c>
      <c r="F8" s="37" t="s">
        <v>39</v>
      </c>
      <c r="G8" s="37" t="s">
        <v>205</v>
      </c>
      <c r="H8" s="37" t="s">
        <v>36</v>
      </c>
      <c r="I8" s="37" t="s">
        <v>64</v>
      </c>
      <c r="J8" s="37" t="s">
        <v>140</v>
      </c>
      <c r="K8" s="37" t="s">
        <v>408</v>
      </c>
      <c r="L8" s="43"/>
      <c r="M8" s="37" t="s">
        <v>60</v>
      </c>
      <c r="N8" s="37" t="s">
        <v>91</v>
      </c>
      <c r="O8" s="37" t="s">
        <v>160</v>
      </c>
      <c r="P8" s="37" t="s">
        <v>117</v>
      </c>
      <c r="Q8" s="11" t="s">
        <v>28</v>
      </c>
      <c r="R8" s="37" t="s">
        <v>244</v>
      </c>
      <c r="S8" s="37" t="s">
        <v>26</v>
      </c>
      <c r="T8" s="37" t="s">
        <v>407</v>
      </c>
      <c r="U8" s="38"/>
      <c r="V8" s="37" t="s">
        <v>252</v>
      </c>
      <c r="W8" s="37" t="s">
        <v>352</v>
      </c>
      <c r="X8" s="37" t="s">
        <v>21</v>
      </c>
      <c r="Y8" s="37" t="s">
        <v>20</v>
      </c>
      <c r="Z8" s="37" t="s">
        <v>19</v>
      </c>
      <c r="AA8" s="37" t="s">
        <v>1</v>
      </c>
      <c r="AB8" s="37" t="s">
        <v>1</v>
      </c>
      <c r="AC8" s="37" t="s">
        <v>1</v>
      </c>
      <c r="AD8" s="37" t="s">
        <v>76</v>
      </c>
      <c r="AE8" s="37" t="s">
        <v>75</v>
      </c>
      <c r="AF8" s="37" t="s">
        <v>54</v>
      </c>
      <c r="AG8" s="37" t="s">
        <v>5</v>
      </c>
      <c r="AH8" s="37" t="s">
        <v>1</v>
      </c>
      <c r="AI8" s="37" t="s">
        <v>5</v>
      </c>
      <c r="AJ8" s="37" t="s">
        <v>3</v>
      </c>
      <c r="AK8" s="37" t="s">
        <v>53</v>
      </c>
      <c r="AL8" s="37" t="s">
        <v>52</v>
      </c>
      <c r="AM8" s="37" t="s">
        <v>158</v>
      </c>
      <c r="AN8" s="37" t="s">
        <v>1</v>
      </c>
      <c r="AO8" s="37" t="s">
        <v>5</v>
      </c>
      <c r="AP8" s="37" t="s">
        <v>11</v>
      </c>
      <c r="AQ8" s="37" t="s">
        <v>12</v>
      </c>
      <c r="AR8" s="37" t="s">
        <v>86</v>
      </c>
      <c r="AS8" s="37" t="s">
        <v>150</v>
      </c>
      <c r="AT8" s="37" t="s">
        <v>11</v>
      </c>
      <c r="AU8" s="37" t="s">
        <v>10</v>
      </c>
      <c r="AV8" s="37" t="s">
        <v>10</v>
      </c>
      <c r="AW8" s="37" t="s">
        <v>10</v>
      </c>
      <c r="AX8" s="37" t="s">
        <v>10</v>
      </c>
      <c r="AY8" s="37" t="s">
        <v>6</v>
      </c>
      <c r="AZ8" s="37" t="s">
        <v>5</v>
      </c>
      <c r="BA8" s="37" t="s">
        <v>4</v>
      </c>
      <c r="BB8" s="9" t="s">
        <v>7</v>
      </c>
      <c r="BC8" s="8" t="s">
        <v>5</v>
      </c>
      <c r="BD8" s="37" t="s">
        <v>1</v>
      </c>
      <c r="BE8" s="37" t="s">
        <v>1</v>
      </c>
      <c r="BF8" s="37" t="s">
        <v>1</v>
      </c>
      <c r="BG8" s="37" t="s">
        <v>5</v>
      </c>
      <c r="BH8" s="37" t="s">
        <v>50</v>
      </c>
      <c r="BI8" s="37" t="s">
        <v>47</v>
      </c>
      <c r="BJ8" s="37" t="s">
        <v>9</v>
      </c>
      <c r="BK8" s="37" t="s">
        <v>7</v>
      </c>
      <c r="BL8" s="37" t="s">
        <v>85</v>
      </c>
      <c r="BM8" s="37" t="s">
        <v>135</v>
      </c>
      <c r="BN8" s="37" t="s">
        <v>147</v>
      </c>
      <c r="BO8" s="37" t="s">
        <v>1</v>
      </c>
      <c r="BP8" s="37" t="s">
        <v>6</v>
      </c>
      <c r="BQ8" s="37" t="s">
        <v>5</v>
      </c>
      <c r="BR8" s="37" t="s">
        <v>47</v>
      </c>
      <c r="BS8" s="37" t="s">
        <v>8</v>
      </c>
      <c r="BT8" s="37" t="s">
        <v>85</v>
      </c>
      <c r="BU8" s="37" t="s">
        <v>46</v>
      </c>
      <c r="BV8" s="7" t="s">
        <v>5</v>
      </c>
      <c r="BW8" s="37" t="s">
        <v>3</v>
      </c>
      <c r="BX8" s="37" t="s">
        <v>47</v>
      </c>
      <c r="BY8" s="37" t="s">
        <v>4</v>
      </c>
      <c r="BZ8" s="37" t="s">
        <v>5</v>
      </c>
      <c r="CA8" s="37" t="s">
        <v>5</v>
      </c>
      <c r="CB8" s="37" t="s">
        <v>5</v>
      </c>
      <c r="CC8" s="37" t="s">
        <v>5</v>
      </c>
      <c r="CD8" s="37" t="s">
        <v>1</v>
      </c>
      <c r="CE8" s="37" t="s">
        <v>4</v>
      </c>
      <c r="CF8" s="37" t="s">
        <v>50</v>
      </c>
      <c r="CG8" s="37" t="s">
        <v>1</v>
      </c>
      <c r="CH8" s="37" t="s">
        <v>5</v>
      </c>
      <c r="CI8" s="37" t="s">
        <v>7</v>
      </c>
      <c r="CJ8" s="37" t="s">
        <v>7</v>
      </c>
      <c r="CK8" s="37" t="s">
        <v>1</v>
      </c>
      <c r="CL8" s="37" t="s">
        <v>7</v>
      </c>
      <c r="CM8" s="37" t="s">
        <v>48</v>
      </c>
      <c r="CN8" s="37" t="s">
        <v>5</v>
      </c>
      <c r="CO8" s="37" t="s">
        <v>7</v>
      </c>
      <c r="CP8" s="37" t="s">
        <v>1</v>
      </c>
      <c r="CQ8" s="37" t="s">
        <v>1</v>
      </c>
      <c r="CR8" s="37" t="s">
        <v>7</v>
      </c>
      <c r="CS8" s="37" t="s">
        <v>45</v>
      </c>
      <c r="CT8" s="37" t="s">
        <v>5</v>
      </c>
      <c r="CU8" s="37" t="s">
        <v>47</v>
      </c>
      <c r="CV8" s="45" t="s">
        <v>406</v>
      </c>
      <c r="CW8" t="s">
        <v>43</v>
      </c>
      <c r="CX8">
        <f>VLOOKUP(K8,Sheet2!$A$2:$B$58,2,0)</f>
        <v>0</v>
      </c>
      <c r="CY8" t="str">
        <f t="shared" si="0"/>
        <v>45564,7333723032,Colombia,&lt;35 años,Masculino,Maestria - Terminando  ,Como empleado de una empresa,Colombia,5-10 años,&lt;5 años,Developer,Líder Técnico,,&gt;500 empleados.,Empresa que desarrolla software a medida partiendo desde cero,Nacional (múltiples sedes en el mismo país),Nunca,Alto,&gt;5 días,Ninguno,Reuniones del área, reuniones con clientes, recibir o entregar dispositivos,,Reuniones,Nada,Híbrida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videoconferencia,Mucho menor que cuando eran en la oficina,Mayor que cuando iba todos los días a la oficina,Menor que cuando iba todos los días a la oficina,Mayor que cuando iba todos los días a la oficina,Mucho Mayor que cuando iba todos los días a la oficina,Mucho Mejor que cuando iba todos los días a la oficina,Mejora mucho mi desempeño en el trabajo,Disminuyen mi productividad,Menor que cuando iba todos los días a la oficina,Mayor que cuando iba todos los días a la oficina,Mucho más que cuando iba todos los días a la oficina,No trabajo con personas de distintas culturas,No trabajo con personas con un horario distinto al mío,No trabajo  con personas que se encuentran geográficamente distribuidas,Mucho 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menor que cuando iba todos los días a la oficina,Mayor que cuando iba todos los días a la oficina,Menor que cuando iba todos los días a la oficina,Menor que cuando iba todos los días a la oficina,Menor que cuando iba todos los días a la oficina,Mayor que cuando iba todos los días a la oficina,Mucho menores que cuando iba todos los días a la oficina,Mucho mayor que cuando iba todos los días a la oficina,No hay diferencias culturales en mi equipo,Mucho menor que cuando iba todos los días a la oficina,Mucho mayores que cuando iba todos los días a la oficina,No tengo que utilizar diferentes idiomas en mi trabajo,No trabajo con personas con distintos horarios,Menor que cuando iba todos los días a la oficina,Menores que cuando iba todos los días a la oficina,Mayor que cuando iba todos los días a la oficina,Mucho mayor que cuando iba todos los días a la oficina,Más que cuando iba todos los días a la oficina,Mucho mayores que cuando iba todos los días a la oficina,Mejor que cuando iba todos los días a la oficina,Mayor que cuando iba todos los días a la oficina,Mucho Mayor que cuando iba todos los días a la oficina,Mucho mayor que cuando iba todos los días a la oficina,Igual que cuando iba todos los días a la oficina,Mayor que cuando iba todos los días a la oficina,Mayor que cuando iba todos los días a la oficina,Mayor que cuando iba todos los días a la oficina,Mayor que cuando iba todos los días a la oficina,Menor que cuando iba todos los días a la oficina,Igual que cuando iba todos los días a la oficina,Mucho menores que cuando iba todos los días a la oficina,Menor que cuando iba todos los días a la oficina,Mayor que cuando iba todos los días a la oficina,Mucho menor que cuando iba todos los días a la oficina,Mucho menor que cuando iba todos los días a la oficina,Menor que cuando iba todos los días a la oficina,Mucho menor que cuando iba todos los días a la oficina,Peor que cuando iba todos los días a la oficina,Mayor que cuando iba todos los días a la oficina,Mucho menor que cuando iba todos los días a la oficina,Menor que cuando iba todos los días a la oficina,Menor que cuando iba todos los días a la oficina,Mucho menor que cuando iba todos los días a la oficina,Mayores que cuando iba todos los días a la oficina,Mayor que cuando iba todos los días a la oficina,Mucho mayor que cuando iba todos los días a la oficina,na.rodriguez2@uniandes.edu.co,301+ empleados,0</v>
      </c>
    </row>
    <row r="9" spans="1:103" ht="15.75" customHeight="1" x14ac:dyDescent="0.3">
      <c r="A9" s="40">
        <v>45574.10737888889</v>
      </c>
      <c r="B9" s="37" t="s">
        <v>205</v>
      </c>
      <c r="C9" s="37" t="s">
        <v>253</v>
      </c>
      <c r="D9" s="37" t="s">
        <v>41</v>
      </c>
      <c r="E9" s="37" t="s">
        <v>103</v>
      </c>
      <c r="F9" s="37" t="s">
        <v>39</v>
      </c>
      <c r="G9" s="37" t="s">
        <v>405</v>
      </c>
      <c r="H9" s="37" t="s">
        <v>37</v>
      </c>
      <c r="I9" s="37" t="s">
        <v>63</v>
      </c>
      <c r="J9" s="37" t="s">
        <v>404</v>
      </c>
      <c r="K9" s="37" t="s">
        <v>404</v>
      </c>
      <c r="L9" s="37" t="s">
        <v>403</v>
      </c>
      <c r="M9" s="37" t="s">
        <v>32</v>
      </c>
      <c r="N9" s="37" t="s">
        <v>31</v>
      </c>
      <c r="O9" s="37" t="s">
        <v>144</v>
      </c>
      <c r="P9" s="37" t="s">
        <v>136</v>
      </c>
      <c r="Q9" s="11" t="s">
        <v>28</v>
      </c>
      <c r="R9" s="37" t="s">
        <v>244</v>
      </c>
      <c r="S9" s="37" t="s">
        <v>26</v>
      </c>
      <c r="T9" s="37" t="s">
        <v>402</v>
      </c>
      <c r="U9" s="43"/>
      <c r="V9" s="43"/>
      <c r="W9" s="43"/>
      <c r="X9" s="37" t="s">
        <v>73</v>
      </c>
      <c r="Y9" s="37" t="s">
        <v>72</v>
      </c>
      <c r="Z9" s="37" t="s">
        <v>19</v>
      </c>
      <c r="AA9" s="37" t="s">
        <v>4</v>
      </c>
      <c r="AB9" s="37" t="s">
        <v>1</v>
      </c>
      <c r="AC9" s="37" t="s">
        <v>4</v>
      </c>
      <c r="AD9" s="37" t="s">
        <v>76</v>
      </c>
      <c r="AE9" s="37" t="s">
        <v>75</v>
      </c>
      <c r="AF9" s="37" t="s">
        <v>70</v>
      </c>
      <c r="AG9" s="37" t="s">
        <v>16</v>
      </c>
      <c r="AH9" s="37" t="s">
        <v>1</v>
      </c>
      <c r="AI9" s="37" t="s">
        <v>1</v>
      </c>
      <c r="AJ9" s="37" t="s">
        <v>4</v>
      </c>
      <c r="AK9" s="37" t="s">
        <v>5</v>
      </c>
      <c r="AL9" s="37" t="s">
        <v>74</v>
      </c>
      <c r="AM9" s="37" t="s">
        <v>14</v>
      </c>
      <c r="AN9" s="37" t="s">
        <v>4</v>
      </c>
      <c r="AO9" s="37" t="s">
        <v>5</v>
      </c>
      <c r="AP9" s="37" t="s">
        <v>8</v>
      </c>
      <c r="AQ9" s="37" t="s">
        <v>12</v>
      </c>
      <c r="AR9" s="37" t="s">
        <v>86</v>
      </c>
      <c r="AS9" s="37" t="s">
        <v>4</v>
      </c>
      <c r="AT9" s="37" t="s">
        <v>8</v>
      </c>
      <c r="AU9" s="37" t="s">
        <v>4</v>
      </c>
      <c r="AV9" s="37" t="s">
        <v>4</v>
      </c>
      <c r="AW9" s="37" t="s">
        <v>4</v>
      </c>
      <c r="AX9" s="37" t="s">
        <v>4</v>
      </c>
      <c r="AY9" s="37" t="s">
        <v>45</v>
      </c>
      <c r="AZ9" s="37" t="s">
        <v>4</v>
      </c>
      <c r="BA9" s="37" t="s">
        <v>4</v>
      </c>
      <c r="BB9" s="9" t="s">
        <v>1</v>
      </c>
      <c r="BC9" s="8" t="s">
        <v>4</v>
      </c>
      <c r="BD9" s="37" t="s">
        <v>1</v>
      </c>
      <c r="BE9" s="37" t="s">
        <v>4</v>
      </c>
      <c r="BF9" s="37" t="s">
        <v>1</v>
      </c>
      <c r="BG9" s="37" t="s">
        <v>47</v>
      </c>
      <c r="BH9" s="37" t="s">
        <v>6</v>
      </c>
      <c r="BI9" s="37" t="s">
        <v>47</v>
      </c>
      <c r="BJ9" s="37" t="s">
        <v>9</v>
      </c>
      <c r="BK9" s="37" t="s">
        <v>5</v>
      </c>
      <c r="BL9" s="37" t="s">
        <v>45</v>
      </c>
      <c r="BM9" s="37" t="s">
        <v>135</v>
      </c>
      <c r="BN9" s="37" t="s">
        <v>147</v>
      </c>
      <c r="BO9" s="37" t="s">
        <v>1</v>
      </c>
      <c r="BP9" s="37" t="s">
        <v>50</v>
      </c>
      <c r="BQ9" s="37" t="s">
        <v>5</v>
      </c>
      <c r="BR9" s="37" t="s">
        <v>4</v>
      </c>
      <c r="BS9" s="37" t="s">
        <v>4</v>
      </c>
      <c r="BT9" s="37" t="s">
        <v>2</v>
      </c>
      <c r="BU9" s="37" t="s">
        <v>46</v>
      </c>
      <c r="BV9" s="7" t="s">
        <v>5</v>
      </c>
      <c r="BW9" s="37" t="s">
        <v>1</v>
      </c>
      <c r="BX9" s="37" t="s">
        <v>5</v>
      </c>
      <c r="BY9" s="37" t="s">
        <v>4</v>
      </c>
      <c r="BZ9" s="37" t="s">
        <v>4</v>
      </c>
      <c r="CA9" s="37" t="s">
        <v>4</v>
      </c>
      <c r="CB9" s="37" t="s">
        <v>5</v>
      </c>
      <c r="CC9" s="37" t="s">
        <v>4</v>
      </c>
      <c r="CD9" s="37" t="s">
        <v>4</v>
      </c>
      <c r="CE9" s="37" t="s">
        <v>4</v>
      </c>
      <c r="CF9" s="37" t="s">
        <v>6</v>
      </c>
      <c r="CG9" s="37" t="s">
        <v>4</v>
      </c>
      <c r="CH9" s="37" t="s">
        <v>1</v>
      </c>
      <c r="CI9" s="37" t="s">
        <v>5</v>
      </c>
      <c r="CJ9" s="37" t="s">
        <v>1</v>
      </c>
      <c r="CK9" s="37" t="s">
        <v>1</v>
      </c>
      <c r="CL9" s="37" t="s">
        <v>4</v>
      </c>
      <c r="CM9" s="37" t="s">
        <v>4</v>
      </c>
      <c r="CN9" s="37" t="s">
        <v>4</v>
      </c>
      <c r="CO9" s="37" t="s">
        <v>7</v>
      </c>
      <c r="CP9" s="37" t="s">
        <v>4</v>
      </c>
      <c r="CQ9" s="37" t="s">
        <v>5</v>
      </c>
      <c r="CR9" s="37" t="s">
        <v>1</v>
      </c>
      <c r="CS9" s="37" t="s">
        <v>2</v>
      </c>
      <c r="CT9" s="37" t="s">
        <v>4</v>
      </c>
      <c r="CU9" s="37" t="s">
        <v>4</v>
      </c>
      <c r="CV9" s="36" t="s">
        <v>401</v>
      </c>
      <c r="CW9" t="s">
        <v>0</v>
      </c>
      <c r="CX9">
        <f>VLOOKUP(K9,Sheet2!$A$2:$B$58,2,0)</f>
        <v>1</v>
      </c>
      <c r="CY9" t="str">
        <f t="shared" si="0"/>
        <v>45574,1073788889,Colombia,&lt;35 años,Masculino,Maestría,Como empleado de una empresa,Bogotá,11-20 años,10-20 años,Gerente general,Gerente general,Sinerware,&lt;50 empleados,Fábrica de Software,Local,Casi Nunca,Alto,&gt;5 días,Ninguno,Eventos de aprendizaje o comerciales,,,,Remota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oficina,Menor cuando iba todos los días a la oficina,Menor que cuando iba todos los días a la oficina,Menor que cuando iba todos los días a la oficina,Igual que cuando iba todos los días a la oficina,Mayor que cuando iba todos los días a la oficina,Mejora mi desempeño en el trabajo,Mejoran mi productividad,Igual que cuando iba todos los días a la oficina,Mayor que cuando iba todos los días a la oficina,Más que cuando iba todos los días a la oficina,No trabajo con personas de distintas culturas,No trabajo con personas con un horario distinto al mío,Igual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oficina,Mayores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oficina,Menores que cuando iba todos los días a la oficina,Mucho mayor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oficina,Mucho menor que cuando iba todos los días a la oficina,Igual que cuando iba todos los días a la oficina,Mayor que cuando iba todos los días a la oficina,Menor que cuando iba todos los días a la oficina,Iguales que cuando iba todos los días a la oficina,Igual que cuando iba todos los días a la oficina,Igual que cuando iba todos los días a la oficina,gcarrillo@sinerware.com,&lt;301 empleados,1</v>
      </c>
    </row>
    <row r="10" spans="1:103" ht="15.75" customHeight="1" x14ac:dyDescent="0.3">
      <c r="A10" s="40">
        <v>45573.029935682869</v>
      </c>
      <c r="B10" s="37" t="s">
        <v>205</v>
      </c>
      <c r="C10" s="37" t="s">
        <v>253</v>
      </c>
      <c r="D10" s="37" t="s">
        <v>41</v>
      </c>
      <c r="E10" s="37" t="s">
        <v>182</v>
      </c>
      <c r="F10" s="37" t="s">
        <v>145</v>
      </c>
      <c r="G10" s="37" t="s">
        <v>400</v>
      </c>
      <c r="H10" s="37" t="s">
        <v>143</v>
      </c>
      <c r="I10" s="37" t="s">
        <v>63</v>
      </c>
      <c r="J10" s="37" t="s">
        <v>399</v>
      </c>
      <c r="K10" s="37" t="s">
        <v>399</v>
      </c>
      <c r="L10" s="37" t="s">
        <v>398</v>
      </c>
      <c r="M10" s="37" t="s">
        <v>60</v>
      </c>
      <c r="N10" s="37" t="s">
        <v>91</v>
      </c>
      <c r="O10" s="37" t="s">
        <v>30</v>
      </c>
      <c r="P10" s="37" t="s">
        <v>58</v>
      </c>
      <c r="Q10" s="11" t="s">
        <v>28</v>
      </c>
      <c r="R10" s="37" t="s">
        <v>244</v>
      </c>
      <c r="S10" s="37" t="s">
        <v>26</v>
      </c>
      <c r="T10" s="36" t="s">
        <v>397</v>
      </c>
      <c r="U10" s="36" t="s">
        <v>201</v>
      </c>
      <c r="V10" s="36" t="s">
        <v>201</v>
      </c>
      <c r="W10" s="37" t="s">
        <v>116</v>
      </c>
      <c r="X10" s="37" t="s">
        <v>73</v>
      </c>
      <c r="Y10" s="37" t="s">
        <v>72</v>
      </c>
      <c r="Z10" s="37" t="s">
        <v>87</v>
      </c>
      <c r="AA10" s="37" t="s">
        <v>7</v>
      </c>
      <c r="AB10" s="37" t="s">
        <v>1</v>
      </c>
      <c r="AC10" s="37" t="s">
        <v>1</v>
      </c>
      <c r="AD10" s="37" t="s">
        <v>76</v>
      </c>
      <c r="AE10" s="37" t="s">
        <v>18</v>
      </c>
      <c r="AF10" s="37" t="s">
        <v>17</v>
      </c>
      <c r="AG10" s="37" t="s">
        <v>16</v>
      </c>
      <c r="AH10" s="37" t="s">
        <v>5</v>
      </c>
      <c r="AI10" s="37" t="s">
        <v>5</v>
      </c>
      <c r="AJ10" s="37" t="s">
        <v>1</v>
      </c>
      <c r="AK10" s="37" t="s">
        <v>53</v>
      </c>
      <c r="AL10" s="37" t="s">
        <v>74</v>
      </c>
      <c r="AM10" s="37" t="s">
        <v>68</v>
      </c>
      <c r="AN10" s="37" t="s">
        <v>4</v>
      </c>
      <c r="AO10" s="37" t="s">
        <v>5</v>
      </c>
      <c r="AP10" s="37" t="s">
        <v>11</v>
      </c>
      <c r="AQ10" s="37" t="s">
        <v>4</v>
      </c>
      <c r="AR10" s="37" t="s">
        <v>4</v>
      </c>
      <c r="AS10" s="37" t="s">
        <v>4</v>
      </c>
      <c r="AT10" s="37" t="s">
        <v>8</v>
      </c>
      <c r="AU10" s="37" t="s">
        <v>10</v>
      </c>
      <c r="AV10" s="37" t="s">
        <v>11</v>
      </c>
      <c r="AW10" s="37" t="s">
        <v>10</v>
      </c>
      <c r="AX10" s="37" t="s">
        <v>4</v>
      </c>
      <c r="AY10" s="37" t="s">
        <v>2</v>
      </c>
      <c r="AZ10" s="37" t="s">
        <v>5</v>
      </c>
      <c r="BA10" s="37" t="s">
        <v>1</v>
      </c>
      <c r="BB10" s="9" t="s">
        <v>5</v>
      </c>
      <c r="BC10" s="8" t="s">
        <v>5</v>
      </c>
      <c r="BD10" s="37" t="s">
        <v>1</v>
      </c>
      <c r="BE10" s="37" t="s">
        <v>4</v>
      </c>
      <c r="BF10" s="37" t="s">
        <v>4</v>
      </c>
      <c r="BG10" s="37" t="s">
        <v>47</v>
      </c>
      <c r="BH10" s="37" t="s">
        <v>6</v>
      </c>
      <c r="BI10" s="37" t="s">
        <v>4</v>
      </c>
      <c r="BJ10" s="37" t="s">
        <v>2</v>
      </c>
      <c r="BK10" s="37" t="s">
        <v>5</v>
      </c>
      <c r="BL10" s="37" t="s">
        <v>2</v>
      </c>
      <c r="BM10" s="37" t="s">
        <v>2</v>
      </c>
      <c r="BN10" s="37" t="s">
        <v>4</v>
      </c>
      <c r="BO10" s="37" t="s">
        <v>4</v>
      </c>
      <c r="BP10" s="37" t="s">
        <v>45</v>
      </c>
      <c r="BQ10" s="37" t="s">
        <v>47</v>
      </c>
      <c r="BR10" s="37" t="s">
        <v>5</v>
      </c>
      <c r="BS10" s="37" t="s">
        <v>8</v>
      </c>
      <c r="BT10" s="37" t="s">
        <v>2</v>
      </c>
      <c r="BU10" s="37" t="s">
        <v>46</v>
      </c>
      <c r="BV10" s="7" t="s">
        <v>1</v>
      </c>
      <c r="BW10" s="37" t="s">
        <v>7</v>
      </c>
      <c r="BX10" s="37" t="s">
        <v>5</v>
      </c>
      <c r="BY10" s="37" t="s">
        <v>4</v>
      </c>
      <c r="BZ10" s="37" t="s">
        <v>4</v>
      </c>
      <c r="CA10" s="37" t="s">
        <v>5</v>
      </c>
      <c r="CB10" s="37" t="s">
        <v>4</v>
      </c>
      <c r="CC10" s="37" t="s">
        <v>4</v>
      </c>
      <c r="CD10" s="37" t="s">
        <v>5</v>
      </c>
      <c r="CE10" s="37" t="s">
        <v>4</v>
      </c>
      <c r="CF10" s="37" t="s">
        <v>2</v>
      </c>
      <c r="CG10" s="37" t="s">
        <v>5</v>
      </c>
      <c r="CH10" s="37" t="s">
        <v>5</v>
      </c>
      <c r="CI10" s="37" t="s">
        <v>7</v>
      </c>
      <c r="CJ10" s="37" t="s">
        <v>5</v>
      </c>
      <c r="CK10" s="37" t="s">
        <v>4</v>
      </c>
      <c r="CL10" s="37" t="s">
        <v>1</v>
      </c>
      <c r="CM10" s="37" t="s">
        <v>4</v>
      </c>
      <c r="CN10" s="37" t="s">
        <v>5</v>
      </c>
      <c r="CO10" s="37" t="s">
        <v>7</v>
      </c>
      <c r="CP10" s="37" t="s">
        <v>1</v>
      </c>
      <c r="CQ10" s="37" t="s">
        <v>5</v>
      </c>
      <c r="CR10" s="37" t="s">
        <v>7</v>
      </c>
      <c r="CS10" s="37" t="s">
        <v>6</v>
      </c>
      <c r="CT10" s="37" t="s">
        <v>4</v>
      </c>
      <c r="CU10" s="37" t="s">
        <v>5</v>
      </c>
      <c r="CV10" s="36" t="s">
        <v>396</v>
      </c>
      <c r="CW10" t="s">
        <v>43</v>
      </c>
      <c r="CX10">
        <f>VLOOKUP(K10,Sheet2!$A$2:$B$58,2,0)</f>
        <v>0</v>
      </c>
      <c r="CY10" t="str">
        <f t="shared" si="0"/>
        <v>45573,0299356829,Colombia,&lt;35 años,Masculino,Posgrado,De ambas formas,Japon,21-30 años,10-20 años,Technical Manager,Technical Manager,GlobalLogic,&gt;500 empleados.,Empresa que desarrolla software a medida partiendo desde cero,Multinacional,Muy Frecuentemente,Alto,&gt;5 días,Ninguno,Eventos de Integración,N/A,N/A,Ninguna,Remota ( todos los días en casa),Consensuada por las dos partes,Totalmente en desacuerdo,Mucho 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videoconferencia,Mayor que cuando eran en la oficina,Menor cuando iba todos los días a la oficina,Mayor que cuando iba todos los días a la oficina,Mayor que cuando iba todos los días a la oficina,Menor que cuando iba todos los días a la oficina,Mucho Mejor que cuando iba todos los días a la oficina,Mejora mi desempeño en el trabajo,No afectan a mi productividad,Igual que cuando iba todos los días a la oficina,Mayor que cuando iba todos los días a la oficina,Mucho más que cuando iba todos los días a la oficina,Igual que cuando iba todos los días a la oficina,Igual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oficina,Igual que cuando iba todos los días a la oficina,Iguales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oficina,Mucho mayor que cuando iba todos los días a la oficina,Menores que cuando iba todos los días a la oficina,Igual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oficina,Mayor que cuando iba todos los días a la oficina,Más que cuando iba todos los días a la oficina,Iguales que cuando iba todos los días a la oficina,Mejor que cuando iba todos los días a la oficina,Menor que cuando iba todos los días a la oficina,Mucho menor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oficina,Mayor que cuando iba todos los días a la oficina,Igual que cuando iba todos los días a la oficina,Menor que cuando iba todos los días a la oficina,Igual que cuando iba todos los días a la oficina,Mayor que cuando iba todos los días a la oficina,Mucho menor que cuando iba todos los días a la oficina,Menor que cuando iba todos los días a la oficina,Mayor que cuando iba todos los días a la oficina,Mucho menor que cuando iba todos los días a la oficina,Menores que cuando iba todos los días a la oficina,Igual que cuando iba todos los días a la oficina,Mayor que cuando iba todos los días a la oficina,dxcorzo@gmail.com,301+ empleados,0</v>
      </c>
    </row>
    <row r="11" spans="1:103" ht="15.75" customHeight="1" x14ac:dyDescent="0.3">
      <c r="A11" s="42">
        <v>45573.487847407407</v>
      </c>
      <c r="B11" s="39" t="s">
        <v>205</v>
      </c>
      <c r="C11" s="39" t="s">
        <v>253</v>
      </c>
      <c r="D11" s="39" t="s">
        <v>41</v>
      </c>
      <c r="E11" s="39" t="s">
        <v>161</v>
      </c>
      <c r="F11" s="39" t="s">
        <v>39</v>
      </c>
      <c r="G11" s="39" t="s">
        <v>395</v>
      </c>
      <c r="H11" s="39" t="s">
        <v>36</v>
      </c>
      <c r="I11" s="39" t="s">
        <v>64</v>
      </c>
      <c r="J11" s="39" t="s">
        <v>394</v>
      </c>
      <c r="K11" s="39" t="s">
        <v>393</v>
      </c>
      <c r="L11" s="39" t="s">
        <v>392</v>
      </c>
      <c r="M11" s="39" t="s">
        <v>32</v>
      </c>
      <c r="N11" s="39" t="s">
        <v>91</v>
      </c>
      <c r="O11" s="39" t="s">
        <v>30</v>
      </c>
      <c r="P11" s="39" t="s">
        <v>58</v>
      </c>
      <c r="Q11" s="11" t="s">
        <v>28</v>
      </c>
      <c r="R11" s="39" t="s">
        <v>244</v>
      </c>
      <c r="S11" s="39" t="s">
        <v>26</v>
      </c>
      <c r="T11" s="39" t="s">
        <v>391</v>
      </c>
      <c r="U11" s="38"/>
      <c r="V11" s="41"/>
      <c r="W11" s="38"/>
      <c r="X11" s="39" t="s">
        <v>73</v>
      </c>
      <c r="Y11" s="39" t="s">
        <v>72</v>
      </c>
      <c r="Z11" s="39" t="s">
        <v>19</v>
      </c>
      <c r="AA11" s="39" t="s">
        <v>5</v>
      </c>
      <c r="AB11" s="39" t="s">
        <v>5</v>
      </c>
      <c r="AC11" s="39" t="s">
        <v>1</v>
      </c>
      <c r="AD11" s="39" t="s">
        <v>76</v>
      </c>
      <c r="AE11" s="39" t="s">
        <v>18</v>
      </c>
      <c r="AF11" s="39" t="s">
        <v>70</v>
      </c>
      <c r="AG11" s="39" t="s">
        <v>3</v>
      </c>
      <c r="AH11" s="39" t="s">
        <v>3</v>
      </c>
      <c r="AI11" s="39" t="s">
        <v>3</v>
      </c>
      <c r="AJ11" s="39" t="s">
        <v>5</v>
      </c>
      <c r="AK11" s="39" t="s">
        <v>4</v>
      </c>
      <c r="AL11" s="39" t="s">
        <v>74</v>
      </c>
      <c r="AM11" s="39" t="s">
        <v>51</v>
      </c>
      <c r="AN11" s="39" t="s">
        <v>5</v>
      </c>
      <c r="AO11" s="39" t="s">
        <v>1</v>
      </c>
      <c r="AP11" s="39" t="s">
        <v>4</v>
      </c>
      <c r="AQ11" s="39" t="s">
        <v>11</v>
      </c>
      <c r="AR11" s="39" t="s">
        <v>49</v>
      </c>
      <c r="AS11" s="39" t="s">
        <v>67</v>
      </c>
      <c r="AT11" s="39" t="s">
        <v>67</v>
      </c>
      <c r="AU11" s="39" t="s">
        <v>49</v>
      </c>
      <c r="AV11" s="39" t="s">
        <v>49</v>
      </c>
      <c r="AW11" s="39" t="s">
        <v>10</v>
      </c>
      <c r="AX11" s="39" t="s">
        <v>4</v>
      </c>
      <c r="AY11" s="39" t="s">
        <v>45</v>
      </c>
      <c r="AZ11" s="39" t="s">
        <v>5</v>
      </c>
      <c r="BA11" s="39" t="s">
        <v>3</v>
      </c>
      <c r="BB11" s="16" t="s">
        <v>1</v>
      </c>
      <c r="BC11" s="15" t="s">
        <v>5</v>
      </c>
      <c r="BD11" s="39" t="s">
        <v>1</v>
      </c>
      <c r="BE11" s="39" t="s">
        <v>5</v>
      </c>
      <c r="BF11" s="39" t="s">
        <v>4</v>
      </c>
      <c r="BG11" s="39" t="s">
        <v>47</v>
      </c>
      <c r="BH11" s="39" t="s">
        <v>6</v>
      </c>
      <c r="BI11" s="39" t="s">
        <v>47</v>
      </c>
      <c r="BJ11" s="39" t="s">
        <v>2</v>
      </c>
      <c r="BK11" s="39" t="s">
        <v>5</v>
      </c>
      <c r="BL11" s="39" t="s">
        <v>85</v>
      </c>
      <c r="BM11" s="39" t="s">
        <v>135</v>
      </c>
      <c r="BN11" s="39" t="s">
        <v>4</v>
      </c>
      <c r="BO11" s="39" t="s">
        <v>1</v>
      </c>
      <c r="BP11" s="39" t="s">
        <v>6</v>
      </c>
      <c r="BQ11" s="39" t="s">
        <v>5</v>
      </c>
      <c r="BR11" s="39" t="s">
        <v>4</v>
      </c>
      <c r="BS11" s="39" t="s">
        <v>11</v>
      </c>
      <c r="BT11" s="39" t="s">
        <v>2</v>
      </c>
      <c r="BU11" s="39" t="s">
        <v>4</v>
      </c>
      <c r="BV11" s="14" t="s">
        <v>4</v>
      </c>
      <c r="BW11" s="39" t="s">
        <v>5</v>
      </c>
      <c r="BX11" s="39" t="s">
        <v>47</v>
      </c>
      <c r="BY11" s="39" t="s">
        <v>5</v>
      </c>
      <c r="BZ11" s="39" t="s">
        <v>5</v>
      </c>
      <c r="CA11" s="39" t="s">
        <v>3</v>
      </c>
      <c r="CB11" s="39" t="s">
        <v>5</v>
      </c>
      <c r="CC11" s="39" t="s">
        <v>4</v>
      </c>
      <c r="CD11" s="39" t="s">
        <v>1</v>
      </c>
      <c r="CE11" s="39" t="s">
        <v>4</v>
      </c>
      <c r="CF11" s="39" t="s">
        <v>2</v>
      </c>
      <c r="CG11" s="39" t="s">
        <v>5</v>
      </c>
      <c r="CH11" s="39" t="s">
        <v>3</v>
      </c>
      <c r="CI11" s="39" t="s">
        <v>1</v>
      </c>
      <c r="CJ11" s="39" t="s">
        <v>4</v>
      </c>
      <c r="CK11" s="39" t="s">
        <v>4</v>
      </c>
      <c r="CL11" s="39" t="s">
        <v>4</v>
      </c>
      <c r="CM11" s="39" t="s">
        <v>4</v>
      </c>
      <c r="CN11" s="39" t="s">
        <v>4</v>
      </c>
      <c r="CO11" s="39" t="s">
        <v>4</v>
      </c>
      <c r="CP11" s="39" t="s">
        <v>4</v>
      </c>
      <c r="CQ11" s="39" t="s">
        <v>5</v>
      </c>
      <c r="CR11" s="39" t="s">
        <v>4</v>
      </c>
      <c r="CS11" s="39" t="s">
        <v>45</v>
      </c>
      <c r="CT11" s="39" t="s">
        <v>4</v>
      </c>
      <c r="CU11" s="39" t="s">
        <v>5</v>
      </c>
      <c r="CV11" s="46" t="s">
        <v>390</v>
      </c>
      <c r="CW11" t="s">
        <v>0</v>
      </c>
      <c r="CX11">
        <f>VLOOKUP(K11,Sheet2!$A$2:$B$58,2,0)</f>
        <v>1</v>
      </c>
      <c r="CY11" t="str">
        <f t="shared" si="0"/>
        <v>45573,4878474074,Colombia,&lt;35 años,Masculino,Universitario,Como empleado de una empresa,EEUU,5-10 años,&lt;5 años,Web Team Lead,CTO,Edgen AI,&lt;50 empleados,Empresa que desarrolla software a medida partiendo desde cero,Multinacional,Muy Frecuentemente,Alto,&gt;5 días,Ninguno,No tienen oficinas,,,,Remota ( todos los días en casa),Consensuada por las dos partes,En desacuerdo,Mayor que cuando iba todos los días a la oficina,Mayor que cuando iba todos los días a la oficina,Menor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oficina,Mejora mi desempeño en el trabajo,Mejoran mucho mi productividad,Mayor que cuando iba todos los días a la oficina,Menor que cuando iba todos los días a la oficina,Igual que cuando iba todos los días a la oficina,Mucho más que cuando iba todos los días a la oficina,Menos que cuando iba todos los días a la oficina,Mucho menos que cuando iba todos los días a la oficina,Mucho menos que cuando iba todos los días a la oficina,Menos que cuando iba todos los días a la oficina,Menos que cuando iba todos los días a la oficina,Mas que cuando iba todos los días a la oficina,Igual que cuando iba todos los días a la oficina,Mayores que cuando iba todos los días a la oficina,Mayor que cuando iba todos los días a la oficina,Mucho Mayor que cuando iba todos los días a la oficina,Menor que cuando iba todos los días a la oficina,Mayor que cuando iba todos los días a la oficina,Menor que cuando iba todos los días a la oficina,Mayor que cuando iba todos los días a la oficina,Igual que cuando iba todos los días a la oficina,Mucho mayor que cuando iba todos los días a la oficina,Menores que cuando iba todos los días a la oficina,Mucho mayor que cuando iba todos los días a la oficina,Iguales que cuando iba todos los días a la oficina,Mayor que cuando iba todos los días a la oficina,Mucho mayores que cuando iba todos los días a la oficina,No tengo que utilizar diferentes idiomas en mi trabajo,Igual que cuando iba todos los días a la oficina,Menor que cuando iba todos los días a la oficina,Menores que cuando iba todos los días a la oficina,Mayor que cuando iba todos los días a la oficina,Igual que cuando iba todos los días a la oficina,Mucho más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oficina,Menor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oficina,encuestauniandes@estebandalelr.co,&lt;301 empleados,1</v>
      </c>
    </row>
    <row r="12" spans="1:103" ht="15.75" customHeight="1" x14ac:dyDescent="0.3">
      <c r="A12" s="31">
        <v>45560.532833761579</v>
      </c>
      <c r="B12" s="25" t="s">
        <v>110</v>
      </c>
      <c r="C12" s="29" t="s">
        <v>253</v>
      </c>
      <c r="D12" s="29" t="s">
        <v>41</v>
      </c>
      <c r="E12" s="29" t="s">
        <v>214</v>
      </c>
      <c r="F12" s="29" t="s">
        <v>39</v>
      </c>
      <c r="G12" s="29" t="s">
        <v>278</v>
      </c>
      <c r="H12" s="29" t="s">
        <v>37</v>
      </c>
      <c r="I12" s="29" t="s">
        <v>63</v>
      </c>
      <c r="J12" s="29" t="s">
        <v>389</v>
      </c>
      <c r="K12" s="29" t="s">
        <v>388</v>
      </c>
      <c r="L12" s="29" t="s">
        <v>387</v>
      </c>
      <c r="M12" s="29" t="s">
        <v>60</v>
      </c>
      <c r="N12" s="29" t="s">
        <v>91</v>
      </c>
      <c r="O12" s="29" t="s">
        <v>30</v>
      </c>
      <c r="P12" s="29" t="s">
        <v>58</v>
      </c>
      <c r="Q12" s="11" t="s">
        <v>28</v>
      </c>
      <c r="R12" s="29" t="s">
        <v>244</v>
      </c>
      <c r="S12" s="29" t="s">
        <v>26</v>
      </c>
      <c r="T12" s="26" t="s">
        <v>117</v>
      </c>
      <c r="U12" s="28"/>
      <c r="V12" s="28"/>
      <c r="W12" s="28"/>
      <c r="X12" s="29" t="s">
        <v>21</v>
      </c>
      <c r="Y12" s="29" t="s">
        <v>20</v>
      </c>
      <c r="Z12" s="29" t="s">
        <v>113</v>
      </c>
      <c r="AA12" s="29" t="s">
        <v>4</v>
      </c>
      <c r="AB12" s="29" t="s">
        <v>4</v>
      </c>
      <c r="AC12" s="29" t="s">
        <v>4</v>
      </c>
      <c r="AD12" s="29" t="s">
        <v>76</v>
      </c>
      <c r="AE12" s="29" t="s">
        <v>18</v>
      </c>
      <c r="AF12" s="29" t="s">
        <v>70</v>
      </c>
      <c r="AG12" s="29" t="s">
        <v>5</v>
      </c>
      <c r="AH12" s="29" t="s">
        <v>4</v>
      </c>
      <c r="AI12" s="29" t="s">
        <v>4</v>
      </c>
      <c r="AJ12" s="29" t="s">
        <v>5</v>
      </c>
      <c r="AK12" s="29" t="s">
        <v>5</v>
      </c>
      <c r="AL12" s="29" t="s">
        <v>74</v>
      </c>
      <c r="AM12" s="29" t="s">
        <v>14</v>
      </c>
      <c r="AN12" s="29" t="s">
        <v>4</v>
      </c>
      <c r="AO12" s="29" t="s">
        <v>1</v>
      </c>
      <c r="AP12" s="29" t="s">
        <v>4</v>
      </c>
      <c r="AQ12" s="29" t="s">
        <v>49</v>
      </c>
      <c r="AR12" s="29" t="s">
        <v>49</v>
      </c>
      <c r="AS12" s="29" t="s">
        <v>67</v>
      </c>
      <c r="AT12" s="29" t="s">
        <v>11</v>
      </c>
      <c r="AU12" s="29" t="s">
        <v>4</v>
      </c>
      <c r="AV12" s="29" t="s">
        <v>11</v>
      </c>
      <c r="AW12" s="29" t="s">
        <v>4</v>
      </c>
      <c r="AX12" s="29" t="s">
        <v>4</v>
      </c>
      <c r="AY12" s="29" t="s">
        <v>2</v>
      </c>
      <c r="AZ12" s="29" t="s">
        <v>4</v>
      </c>
      <c r="BA12" s="29" t="s">
        <v>4</v>
      </c>
      <c r="BB12" s="9" t="s">
        <v>1</v>
      </c>
      <c r="BC12" s="8" t="s">
        <v>4</v>
      </c>
      <c r="BD12" s="29" t="s">
        <v>1</v>
      </c>
      <c r="BE12" s="29" t="s">
        <v>4</v>
      </c>
      <c r="BF12" s="29" t="s">
        <v>4</v>
      </c>
      <c r="BG12" s="29" t="s">
        <v>47</v>
      </c>
      <c r="BH12" s="29" t="s">
        <v>2</v>
      </c>
      <c r="BI12" s="29" t="s">
        <v>47</v>
      </c>
      <c r="BJ12" s="29" t="s">
        <v>50</v>
      </c>
      <c r="BK12" s="29" t="s">
        <v>1</v>
      </c>
      <c r="BL12" s="29" t="s">
        <v>2</v>
      </c>
      <c r="BM12" s="29" t="s">
        <v>50</v>
      </c>
      <c r="BN12" s="29" t="s">
        <v>4</v>
      </c>
      <c r="BO12" s="29" t="s">
        <v>4</v>
      </c>
      <c r="BP12" s="29" t="s">
        <v>6</v>
      </c>
      <c r="BQ12" s="29" t="s">
        <v>5</v>
      </c>
      <c r="BR12" s="29" t="s">
        <v>4</v>
      </c>
      <c r="BS12" s="29" t="s">
        <v>4</v>
      </c>
      <c r="BT12" s="29" t="s">
        <v>2</v>
      </c>
      <c r="BU12" s="29" t="s">
        <v>4</v>
      </c>
      <c r="BV12" s="7" t="s">
        <v>5</v>
      </c>
      <c r="BW12" s="29" t="s">
        <v>5</v>
      </c>
      <c r="BX12" s="29" t="s">
        <v>5</v>
      </c>
      <c r="BY12" s="29" t="s">
        <v>4</v>
      </c>
      <c r="BZ12" s="29" t="s">
        <v>4</v>
      </c>
      <c r="CA12" s="29" t="s">
        <v>4</v>
      </c>
      <c r="CB12" s="29" t="s">
        <v>5</v>
      </c>
      <c r="CC12" s="29" t="s">
        <v>5</v>
      </c>
      <c r="CD12" s="29" t="s">
        <v>4</v>
      </c>
      <c r="CE12" s="29" t="s">
        <v>49</v>
      </c>
      <c r="CF12" s="29" t="s">
        <v>6</v>
      </c>
      <c r="CG12" s="29" t="s">
        <v>4</v>
      </c>
      <c r="CH12" s="29" t="s">
        <v>3</v>
      </c>
      <c r="CI12" s="29" t="s">
        <v>4</v>
      </c>
      <c r="CJ12" s="29" t="s">
        <v>1</v>
      </c>
      <c r="CK12" s="29" t="s">
        <v>4</v>
      </c>
      <c r="CL12" s="29" t="s">
        <v>3</v>
      </c>
      <c r="CM12" s="29" t="s">
        <v>4</v>
      </c>
      <c r="CN12" s="29" t="s">
        <v>1</v>
      </c>
      <c r="CO12" s="29" t="s">
        <v>7</v>
      </c>
      <c r="CP12" s="29" t="s">
        <v>4</v>
      </c>
      <c r="CQ12" s="29" t="s">
        <v>4</v>
      </c>
      <c r="CR12" s="29" t="s">
        <v>4</v>
      </c>
      <c r="CS12" s="29" t="s">
        <v>2</v>
      </c>
      <c r="CT12" s="29" t="s">
        <v>4</v>
      </c>
      <c r="CU12" s="29" t="s">
        <v>5</v>
      </c>
      <c r="CV12" s="26" t="s">
        <v>386</v>
      </c>
      <c r="CW12" t="s">
        <v>43</v>
      </c>
      <c r="CX12">
        <f>VLOOKUP(K12,Sheet2!$A$2:$B$58,2,0)</f>
        <v>0</v>
      </c>
      <c r="CY12" t="str">
        <f t="shared" si="0"/>
        <v>45560,5328337616,España,&lt;35 años,Masculino,Master,Como empleado de una empresa,Suiza,11-20 años,10-20 años,Desarrollador, Project Manager, Agile Coach,Agile Coach / Delivery Manager,Sportradar,&gt;500 empleados.,Empresa que desarrolla software a medida partiendo desde cero,Multinacional,Muy Frecuentemente,Alto,&gt;5 días,Ninguno,Nunca,,,,Híbrida casa (más días en casa que en la oficina),Impuesta por la empresa,De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trabajo,Mejoran mi productividad,Igual que cuando iba todos los días a la oficina,Menor que cuando iba todos los días a la oficina,Igual que cuando iba todos los días a la oficina,Menos que cuando iba todos los días a la oficina,Menos que cuando iba todos los días a la oficina,Mucho menos que cuando iba todos los días a la oficina,Mucho más que cuando iba todos los días a la oficina,Igual que cuando iba todos los días a la oficina,Mucho más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oficina,Mucho mayor que cuando iba todos los días a la oficina,Iguales que cuando iba todos los días a la oficina,Mucho mayor que cuando iba todos los días a la oficina,Mucho menores que cuando iba todos los días a la oficina,Menor que cuando iba todos los días a la oficina,Iguales que cuando iba todos los días a la oficina,Mucho menores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oficina,Menos que cuando iba todos los días a la oficina,Menores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oficina,Mucho Mayor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oficina,joseanmp@gmail.com,301+ empleados,0</v>
      </c>
    </row>
    <row r="13" spans="1:103" ht="15.75" customHeight="1" x14ac:dyDescent="0.3">
      <c r="A13" s="27">
        <v>45573.688346284718</v>
      </c>
      <c r="B13" s="25" t="s">
        <v>110</v>
      </c>
      <c r="C13" s="25" t="s">
        <v>253</v>
      </c>
      <c r="D13" s="25" t="s">
        <v>41</v>
      </c>
      <c r="E13" s="25" t="s">
        <v>385</v>
      </c>
      <c r="F13" s="25" t="s">
        <v>39</v>
      </c>
      <c r="G13" s="25" t="s">
        <v>110</v>
      </c>
      <c r="H13" s="25" t="s">
        <v>143</v>
      </c>
      <c r="I13" s="25" t="s">
        <v>195</v>
      </c>
      <c r="J13" s="25" t="s">
        <v>303</v>
      </c>
      <c r="K13" s="25" t="s">
        <v>303</v>
      </c>
      <c r="L13" s="26" t="s">
        <v>157</v>
      </c>
      <c r="M13" s="25" t="s">
        <v>60</v>
      </c>
      <c r="N13" s="25" t="s">
        <v>31</v>
      </c>
      <c r="O13" s="25" t="s">
        <v>30</v>
      </c>
      <c r="P13" s="25" t="s">
        <v>97</v>
      </c>
      <c r="Q13" s="11" t="s">
        <v>28</v>
      </c>
      <c r="R13" s="25" t="s">
        <v>244</v>
      </c>
      <c r="S13" s="25" t="s">
        <v>26</v>
      </c>
      <c r="T13" s="25" t="s">
        <v>117</v>
      </c>
      <c r="U13" s="26" t="s">
        <v>117</v>
      </c>
      <c r="V13" s="26" t="s">
        <v>117</v>
      </c>
      <c r="W13" s="26" t="s">
        <v>121</v>
      </c>
      <c r="X13" s="25" t="s">
        <v>21</v>
      </c>
      <c r="Y13" s="25" t="s">
        <v>72</v>
      </c>
      <c r="Z13" s="25" t="s">
        <v>87</v>
      </c>
      <c r="AA13" s="25" t="s">
        <v>4</v>
      </c>
      <c r="AB13" s="25" t="s">
        <v>4</v>
      </c>
      <c r="AC13" s="25" t="s">
        <v>4</v>
      </c>
      <c r="AD13" s="25" t="s">
        <v>2</v>
      </c>
      <c r="AE13" s="25" t="s">
        <v>18</v>
      </c>
      <c r="AF13" s="25" t="s">
        <v>54</v>
      </c>
      <c r="AG13" s="25" t="s">
        <v>4</v>
      </c>
      <c r="AH13" s="25" t="s">
        <v>4</v>
      </c>
      <c r="AI13" s="25" t="s">
        <v>4</v>
      </c>
      <c r="AJ13" s="25" t="s">
        <v>5</v>
      </c>
      <c r="AK13" s="25" t="s">
        <v>53</v>
      </c>
      <c r="AL13" s="25" t="s">
        <v>74</v>
      </c>
      <c r="AM13" s="25" t="s">
        <v>14</v>
      </c>
      <c r="AN13" s="25" t="s">
        <v>47</v>
      </c>
      <c r="AO13" s="25" t="s">
        <v>5</v>
      </c>
      <c r="AP13" s="25" t="s">
        <v>49</v>
      </c>
      <c r="AQ13" s="25" t="s">
        <v>4</v>
      </c>
      <c r="AR13" s="25" t="s">
        <v>4</v>
      </c>
      <c r="AS13" s="25" t="s">
        <v>4</v>
      </c>
      <c r="AT13" s="25" t="s">
        <v>4</v>
      </c>
      <c r="AU13" s="25" t="s">
        <v>4</v>
      </c>
      <c r="AV13" s="25" t="s">
        <v>49</v>
      </c>
      <c r="AW13" s="25" t="s">
        <v>49</v>
      </c>
      <c r="AX13" s="25" t="s">
        <v>4</v>
      </c>
      <c r="AY13" s="25" t="s">
        <v>2</v>
      </c>
      <c r="AZ13" s="25" t="s">
        <v>4</v>
      </c>
      <c r="BA13" s="25" t="s">
        <v>4</v>
      </c>
      <c r="BB13" s="16" t="s">
        <v>5</v>
      </c>
      <c r="BC13" s="15" t="s">
        <v>4</v>
      </c>
      <c r="BD13" s="25" t="s">
        <v>4</v>
      </c>
      <c r="BE13" s="25" t="s">
        <v>4</v>
      </c>
      <c r="BF13" s="25" t="s">
        <v>5</v>
      </c>
      <c r="BG13" s="25" t="s">
        <v>47</v>
      </c>
      <c r="BH13" s="25" t="s">
        <v>2</v>
      </c>
      <c r="BI13" s="25" t="s">
        <v>4</v>
      </c>
      <c r="BJ13" s="25" t="s">
        <v>2</v>
      </c>
      <c r="BK13" s="25" t="s">
        <v>4</v>
      </c>
      <c r="BL13" s="25" t="s">
        <v>2</v>
      </c>
      <c r="BM13" s="25" t="s">
        <v>2</v>
      </c>
      <c r="BN13" s="25" t="s">
        <v>4</v>
      </c>
      <c r="BO13" s="25" t="s">
        <v>4</v>
      </c>
      <c r="BP13" s="25" t="s">
        <v>6</v>
      </c>
      <c r="BQ13" s="25" t="s">
        <v>5</v>
      </c>
      <c r="BR13" s="25" t="s">
        <v>4</v>
      </c>
      <c r="BS13" s="25" t="s">
        <v>4</v>
      </c>
      <c r="BT13" s="25" t="s">
        <v>2</v>
      </c>
      <c r="BU13" s="25" t="s">
        <v>4</v>
      </c>
      <c r="BV13" s="14" t="s">
        <v>4</v>
      </c>
      <c r="BW13" s="25" t="s">
        <v>5</v>
      </c>
      <c r="BX13" s="25" t="s">
        <v>47</v>
      </c>
      <c r="BY13" s="25" t="s">
        <v>4</v>
      </c>
      <c r="BZ13" s="25" t="s">
        <v>4</v>
      </c>
      <c r="CA13" s="25" t="s">
        <v>4</v>
      </c>
      <c r="CB13" s="25" t="s">
        <v>4</v>
      </c>
      <c r="CC13" s="25" t="s">
        <v>4</v>
      </c>
      <c r="CD13" s="25" t="s">
        <v>4</v>
      </c>
      <c r="CE13" s="25" t="s">
        <v>4</v>
      </c>
      <c r="CF13" s="25" t="s">
        <v>2</v>
      </c>
      <c r="CG13" s="25" t="s">
        <v>4</v>
      </c>
      <c r="CH13" s="25" t="s">
        <v>1</v>
      </c>
      <c r="CI13" s="25" t="s">
        <v>4</v>
      </c>
      <c r="CJ13" s="25" t="s">
        <v>1</v>
      </c>
      <c r="CK13" s="25" t="s">
        <v>4</v>
      </c>
      <c r="CL13" s="25" t="s">
        <v>4</v>
      </c>
      <c r="CM13" s="25" t="s">
        <v>4</v>
      </c>
      <c r="CN13" s="25" t="s">
        <v>4</v>
      </c>
      <c r="CO13" s="25" t="s">
        <v>1</v>
      </c>
      <c r="CP13" s="25" t="s">
        <v>4</v>
      </c>
      <c r="CQ13" s="25" t="s">
        <v>4</v>
      </c>
      <c r="CR13" s="25" t="s">
        <v>1</v>
      </c>
      <c r="CS13" s="25" t="s">
        <v>2</v>
      </c>
      <c r="CT13" s="25" t="s">
        <v>4</v>
      </c>
      <c r="CU13" s="25" t="s">
        <v>4</v>
      </c>
      <c r="CV13" s="28"/>
      <c r="CW13" t="s">
        <v>43</v>
      </c>
      <c r="CX13">
        <f>VLOOKUP(K13,Sheet2!$A$2:$B$58,2,0)</f>
        <v>0</v>
      </c>
      <c r="CY13" t="str">
        <f t="shared" si="0"/>
        <v>45573,6883462847,España,&lt;35 años,Masculino,superiores,Como empleado de una empresa,España,21-30 años,20-30 años,Gerente,Gerente,INDRA,&gt;500 empleados.,Fábrica de Software,Multinacional,A veces,Alto,&gt;5 días,Ninguno,Nunca,Nunca,Nunca,No,Híbrida casa (más días en casa que en la oficina),Consensuada por las dos partes,Totalmente en desacuerdo,Igual que cuando iba todos los días a la oficina,Igual que cuando iba todos los días a la oficina,Igual que cuando iba todos los días a la oficina,Iguales que cuando iba todos los días a la oficina,Todas por videoconferencia,Mucho menor que cuando eran en la oficina,Igual que cuando iba todos los días a la oficina,Igual que cuando iba todos los días a la oficina,Igual que cuando iba todos los días a la oficina,Mayor que cuando iba todos los días a la oficina,Mucho Mejor que cuando iba todos los días a la oficina,Mejora mi desempeño en el trabajo,Mejoran mi productividad,Mucho mayor que cuando iba todos los días a la oficina,Mayor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oficina,Iguales que cuando iba todos los días a la oficina,Igual que cuando iba todos los días a la oficina,Igual que cuando iba todos los días a la oficina,,301+ empleados,0</v>
      </c>
    </row>
    <row r="14" spans="1:103" ht="14.4" x14ac:dyDescent="0.3">
      <c r="A14" s="31">
        <v>45572.493356261577</v>
      </c>
      <c r="B14" s="25" t="s">
        <v>110</v>
      </c>
      <c r="C14" s="29" t="s">
        <v>253</v>
      </c>
      <c r="D14" s="29" t="s">
        <v>41</v>
      </c>
      <c r="E14" s="29" t="s">
        <v>384</v>
      </c>
      <c r="F14" s="29" t="s">
        <v>39</v>
      </c>
      <c r="G14" s="29" t="s">
        <v>93</v>
      </c>
      <c r="H14" s="29" t="s">
        <v>37</v>
      </c>
      <c r="I14" s="29" t="s">
        <v>63</v>
      </c>
      <c r="J14" s="29" t="s">
        <v>166</v>
      </c>
      <c r="K14" s="29" t="s">
        <v>307</v>
      </c>
      <c r="L14" s="29" t="s">
        <v>284</v>
      </c>
      <c r="M14" s="29" t="s">
        <v>60</v>
      </c>
      <c r="N14" s="29" t="s">
        <v>91</v>
      </c>
      <c r="O14" s="29" t="s">
        <v>30</v>
      </c>
      <c r="P14" s="29" t="s">
        <v>97</v>
      </c>
      <c r="Q14" s="11" t="s">
        <v>28</v>
      </c>
      <c r="R14" s="29" t="s">
        <v>244</v>
      </c>
      <c r="S14" s="29" t="s">
        <v>78</v>
      </c>
      <c r="T14" s="29" t="s">
        <v>383</v>
      </c>
      <c r="U14" s="29" t="s">
        <v>382</v>
      </c>
      <c r="V14" s="29" t="s">
        <v>381</v>
      </c>
      <c r="W14" s="29" t="s">
        <v>380</v>
      </c>
      <c r="X14" s="29" t="s">
        <v>21</v>
      </c>
      <c r="Y14" s="29" t="s">
        <v>105</v>
      </c>
      <c r="Z14" s="29" t="s">
        <v>19</v>
      </c>
      <c r="AA14" s="29" t="s">
        <v>4</v>
      </c>
      <c r="AB14" s="29" t="s">
        <v>4</v>
      </c>
      <c r="AC14" s="29" t="s">
        <v>4</v>
      </c>
      <c r="AD14" s="29" t="s">
        <v>2</v>
      </c>
      <c r="AE14" s="29" t="s">
        <v>75</v>
      </c>
      <c r="AF14" s="29" t="s">
        <v>112</v>
      </c>
      <c r="AG14" s="29" t="s">
        <v>5</v>
      </c>
      <c r="AH14" s="29" t="s">
        <v>3</v>
      </c>
      <c r="AI14" s="29" t="s">
        <v>3</v>
      </c>
      <c r="AJ14" s="29" t="s">
        <v>5</v>
      </c>
      <c r="AK14" s="29" t="s">
        <v>5</v>
      </c>
      <c r="AL14" s="29" t="s">
        <v>74</v>
      </c>
      <c r="AM14" s="29" t="s">
        <v>14</v>
      </c>
      <c r="AN14" s="29" t="s">
        <v>5</v>
      </c>
      <c r="AO14" s="29" t="s">
        <v>47</v>
      </c>
      <c r="AP14" s="29" t="s">
        <v>11</v>
      </c>
      <c r="AQ14" s="29" t="s">
        <v>8</v>
      </c>
      <c r="AR14" s="29" t="s">
        <v>8</v>
      </c>
      <c r="AS14" s="29" t="s">
        <v>8</v>
      </c>
      <c r="AT14" s="29" t="s">
        <v>11</v>
      </c>
      <c r="AU14" s="29" t="s">
        <v>10</v>
      </c>
      <c r="AV14" s="29" t="s">
        <v>11</v>
      </c>
      <c r="AW14" s="29" t="s">
        <v>10</v>
      </c>
      <c r="AX14" s="29" t="s">
        <v>10</v>
      </c>
      <c r="AY14" s="29" t="s">
        <v>45</v>
      </c>
      <c r="AZ14" s="29" t="s">
        <v>5</v>
      </c>
      <c r="BA14" s="29" t="s">
        <v>5</v>
      </c>
      <c r="BB14" s="9" t="s">
        <v>4</v>
      </c>
      <c r="BC14" s="8" t="s">
        <v>4</v>
      </c>
      <c r="BD14" s="29" t="s">
        <v>4</v>
      </c>
      <c r="BE14" s="29" t="s">
        <v>4</v>
      </c>
      <c r="BF14" s="29" t="s">
        <v>4</v>
      </c>
      <c r="BG14" s="29" t="s">
        <v>4</v>
      </c>
      <c r="BH14" s="29" t="s">
        <v>2</v>
      </c>
      <c r="BI14" s="29" t="s">
        <v>4</v>
      </c>
      <c r="BJ14" s="29" t="s">
        <v>2</v>
      </c>
      <c r="BK14" s="29" t="s">
        <v>4</v>
      </c>
      <c r="BL14" s="29" t="s">
        <v>2</v>
      </c>
      <c r="BM14" s="29" t="s">
        <v>2</v>
      </c>
      <c r="BN14" s="29" t="s">
        <v>4</v>
      </c>
      <c r="BO14" s="29" t="s">
        <v>4</v>
      </c>
      <c r="BP14" s="29" t="s">
        <v>2</v>
      </c>
      <c r="BQ14" s="29" t="s">
        <v>4</v>
      </c>
      <c r="BR14" s="29" t="s">
        <v>4</v>
      </c>
      <c r="BS14" s="29" t="s">
        <v>4</v>
      </c>
      <c r="BT14" s="29" t="s">
        <v>2</v>
      </c>
      <c r="BU14" s="29" t="s">
        <v>4</v>
      </c>
      <c r="BV14" s="7" t="s">
        <v>4</v>
      </c>
      <c r="BW14" s="29" t="s">
        <v>4</v>
      </c>
      <c r="BX14" s="29" t="s">
        <v>4</v>
      </c>
      <c r="BY14" s="29" t="s">
        <v>4</v>
      </c>
      <c r="BZ14" s="29" t="s">
        <v>4</v>
      </c>
      <c r="CA14" s="29" t="s">
        <v>4</v>
      </c>
      <c r="CB14" s="29" t="s">
        <v>4</v>
      </c>
      <c r="CC14" s="29" t="s">
        <v>4</v>
      </c>
      <c r="CD14" s="29" t="s">
        <v>4</v>
      </c>
      <c r="CE14" s="29" t="s">
        <v>4</v>
      </c>
      <c r="CF14" s="29" t="s">
        <v>2</v>
      </c>
      <c r="CG14" s="29" t="s">
        <v>4</v>
      </c>
      <c r="CH14" s="29" t="s">
        <v>4</v>
      </c>
      <c r="CI14" s="29" t="s">
        <v>4</v>
      </c>
      <c r="CJ14" s="29" t="s">
        <v>4</v>
      </c>
      <c r="CK14" s="29" t="s">
        <v>4</v>
      </c>
      <c r="CL14" s="29" t="s">
        <v>4</v>
      </c>
      <c r="CM14" s="29" t="s">
        <v>4</v>
      </c>
      <c r="CN14" s="29" t="s">
        <v>4</v>
      </c>
      <c r="CO14" s="29" t="s">
        <v>4</v>
      </c>
      <c r="CP14" s="29" t="s">
        <v>4</v>
      </c>
      <c r="CQ14" s="29" t="s">
        <v>4</v>
      </c>
      <c r="CR14" s="29" t="s">
        <v>4</v>
      </c>
      <c r="CS14" s="29" t="s">
        <v>2</v>
      </c>
      <c r="CT14" s="29" t="s">
        <v>4</v>
      </c>
      <c r="CU14" s="29" t="s">
        <v>4</v>
      </c>
      <c r="CV14" s="34"/>
      <c r="CW14" t="s">
        <v>43</v>
      </c>
      <c r="CX14">
        <f>VLOOKUP(K14,Sheet2!$A$2:$B$58,2,0)</f>
        <v>0</v>
      </c>
      <c r="CY14" t="str">
        <f t="shared" si="0"/>
        <v>45572,4933562616,España,&lt;35 años,Masculino,Ingenieria en informatica,Como empleado de una empresa,Japón,11-20 años,10-20 años,Lider tecnico,Project Manager,NTT Data,&gt;500 empleados.,Empresa que desarrolla software a medida partiendo desde cero,Multinacional,A veces,Alto,&gt;5 días,1-2 días,Temas importantes puntuales,lo planifico cuando yo puedo,cuando concilie uno mejor,cafe gratis y desayunos,Híbrida casa (más días en casa que en la oficina),Decidida por ti,En desacuerdo,Igual que cuando iba todos los días a la oficina,Igual que cuando iba todos los días a la oficina,Igual que cuando iba todos los días a la oficina,Iguales que cuando iba todos los días a la oficina,Casi todas por videoconferencia,Igual que cuando eran en la oficina,Mayor que cuando iba todos los días a la oficina,Mucho Mayor que cuando iba todos los días a la oficina,Mucho 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oficina,Más que cuando iba todos los días a la oficina,Más que cuando iba todos los días a la oficina,Más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15" spans="1:103" ht="14.4" x14ac:dyDescent="0.3">
      <c r="A15" s="27">
        <v>45560.533865324076</v>
      </c>
      <c r="B15" s="25" t="s">
        <v>110</v>
      </c>
      <c r="C15" s="25" t="s">
        <v>253</v>
      </c>
      <c r="D15" s="25" t="s">
        <v>41</v>
      </c>
      <c r="E15" s="25" t="s">
        <v>285</v>
      </c>
      <c r="F15" s="25" t="s">
        <v>39</v>
      </c>
      <c r="G15" s="25" t="s">
        <v>110</v>
      </c>
      <c r="H15" s="25" t="s">
        <v>37</v>
      </c>
      <c r="I15" s="25" t="s">
        <v>36</v>
      </c>
      <c r="J15" s="25" t="s">
        <v>379</v>
      </c>
      <c r="K15" s="25" t="s">
        <v>378</v>
      </c>
      <c r="L15" s="25" t="s">
        <v>377</v>
      </c>
      <c r="M15" s="25" t="s">
        <v>98</v>
      </c>
      <c r="N15" s="25" t="s">
        <v>31</v>
      </c>
      <c r="O15" s="25" t="s">
        <v>30</v>
      </c>
      <c r="P15" s="25" t="s">
        <v>29</v>
      </c>
      <c r="Q15" s="11" t="s">
        <v>28</v>
      </c>
      <c r="R15" s="25" t="s">
        <v>244</v>
      </c>
      <c r="S15" s="25" t="s">
        <v>26</v>
      </c>
      <c r="T15" s="25" t="s">
        <v>376</v>
      </c>
      <c r="U15" s="25" t="s">
        <v>375</v>
      </c>
      <c r="V15" s="25" t="s">
        <v>375</v>
      </c>
      <c r="W15" s="25" t="s">
        <v>374</v>
      </c>
      <c r="X15" s="25" t="s">
        <v>21</v>
      </c>
      <c r="Y15" s="25" t="s">
        <v>72</v>
      </c>
      <c r="Z15" s="25" t="s">
        <v>19</v>
      </c>
      <c r="AA15" s="25" t="s">
        <v>4</v>
      </c>
      <c r="AB15" s="25" t="s">
        <v>4</v>
      </c>
      <c r="AC15" s="25" t="s">
        <v>4</v>
      </c>
      <c r="AD15" s="25" t="s">
        <v>76</v>
      </c>
      <c r="AE15" s="25" t="s">
        <v>75</v>
      </c>
      <c r="AF15" s="25" t="s">
        <v>112</v>
      </c>
      <c r="AG15" s="25" t="s">
        <v>5</v>
      </c>
      <c r="AH15" s="25" t="s">
        <v>5</v>
      </c>
      <c r="AI15" s="25" t="s">
        <v>5</v>
      </c>
      <c r="AJ15" s="25" t="s">
        <v>5</v>
      </c>
      <c r="AK15" s="25" t="s">
        <v>53</v>
      </c>
      <c r="AL15" s="25" t="s">
        <v>15</v>
      </c>
      <c r="AM15" s="25" t="s">
        <v>68</v>
      </c>
      <c r="AN15" s="25" t="s">
        <v>4</v>
      </c>
      <c r="AO15" s="25" t="s">
        <v>4</v>
      </c>
      <c r="AP15" s="25" t="s">
        <v>4</v>
      </c>
      <c r="AQ15" s="25" t="s">
        <v>4</v>
      </c>
      <c r="AR15" s="25" t="s">
        <v>4</v>
      </c>
      <c r="AS15" s="25" t="s">
        <v>4</v>
      </c>
      <c r="AT15" s="25" t="s">
        <v>4</v>
      </c>
      <c r="AU15" s="25" t="s">
        <v>4</v>
      </c>
      <c r="AV15" s="25" t="s">
        <v>4</v>
      </c>
      <c r="AW15" s="25" t="s">
        <v>4</v>
      </c>
      <c r="AX15" s="25" t="s">
        <v>4</v>
      </c>
      <c r="AY15" s="25" t="s">
        <v>2</v>
      </c>
      <c r="AZ15" s="25" t="s">
        <v>4</v>
      </c>
      <c r="BA15" s="25" t="s">
        <v>4</v>
      </c>
      <c r="BB15" s="16" t="s">
        <v>1</v>
      </c>
      <c r="BC15" s="15" t="s">
        <v>4</v>
      </c>
      <c r="BD15" s="25" t="s">
        <v>4</v>
      </c>
      <c r="BE15" s="25" t="s">
        <v>4</v>
      </c>
      <c r="BF15" s="25" t="s">
        <v>4</v>
      </c>
      <c r="BG15" s="25" t="s">
        <v>47</v>
      </c>
      <c r="BH15" s="25" t="s">
        <v>2</v>
      </c>
      <c r="BI15" s="25" t="s">
        <v>5</v>
      </c>
      <c r="BJ15" s="25" t="s">
        <v>2</v>
      </c>
      <c r="BK15" s="25" t="s">
        <v>4</v>
      </c>
      <c r="BL15" s="25" t="s">
        <v>2</v>
      </c>
      <c r="BM15" s="25" t="s">
        <v>2</v>
      </c>
      <c r="BN15" s="25" t="s">
        <v>4</v>
      </c>
      <c r="BO15" s="25" t="s">
        <v>5</v>
      </c>
      <c r="BP15" s="25" t="s">
        <v>6</v>
      </c>
      <c r="BQ15" s="25" t="s">
        <v>5</v>
      </c>
      <c r="BR15" s="25" t="s">
        <v>4</v>
      </c>
      <c r="BS15" s="25" t="s">
        <v>4</v>
      </c>
      <c r="BT15" s="25" t="s">
        <v>2</v>
      </c>
      <c r="BU15" s="25" t="s">
        <v>4</v>
      </c>
      <c r="BV15" s="14" t="s">
        <v>5</v>
      </c>
      <c r="BW15" s="25" t="s">
        <v>5</v>
      </c>
      <c r="BX15" s="25" t="s">
        <v>47</v>
      </c>
      <c r="BY15" s="25" t="s">
        <v>4</v>
      </c>
      <c r="BZ15" s="25" t="s">
        <v>4</v>
      </c>
      <c r="CA15" s="25" t="s">
        <v>4</v>
      </c>
      <c r="CB15" s="25" t="s">
        <v>5</v>
      </c>
      <c r="CC15" s="25" t="s">
        <v>4</v>
      </c>
      <c r="CD15" s="25" t="s">
        <v>4</v>
      </c>
      <c r="CE15" s="25" t="s">
        <v>4</v>
      </c>
      <c r="CF15" s="25" t="s">
        <v>2</v>
      </c>
      <c r="CG15" s="25" t="s">
        <v>4</v>
      </c>
      <c r="CH15" s="25" t="s">
        <v>3</v>
      </c>
      <c r="CI15" s="25" t="s">
        <v>5</v>
      </c>
      <c r="CJ15" s="25" t="s">
        <v>4</v>
      </c>
      <c r="CK15" s="25" t="s">
        <v>4</v>
      </c>
      <c r="CL15" s="25" t="s">
        <v>4</v>
      </c>
      <c r="CM15" s="25" t="s">
        <v>4</v>
      </c>
      <c r="CN15" s="25" t="s">
        <v>4</v>
      </c>
      <c r="CO15" s="25" t="s">
        <v>1</v>
      </c>
      <c r="CP15" s="25" t="s">
        <v>4</v>
      </c>
      <c r="CQ15" s="25" t="s">
        <v>4</v>
      </c>
      <c r="CR15" s="25" t="s">
        <v>4</v>
      </c>
      <c r="CS15" s="25" t="s">
        <v>2</v>
      </c>
      <c r="CT15" s="25" t="s">
        <v>4</v>
      </c>
      <c r="CU15" s="25" t="s">
        <v>4</v>
      </c>
      <c r="CV15" s="24"/>
      <c r="CW15" t="s">
        <v>0</v>
      </c>
      <c r="CX15">
        <f>VLOOKUP(K15,Sheet2!$A$2:$B$58,2,0)</f>
        <v>0</v>
      </c>
      <c r="CY15" t="str">
        <f t="shared" si="0"/>
        <v>45560,5338653241,España,&lt;35 años,Masculino,Universitarios,Como empleado de una empresa,España,11-20 años,5-10 años,Senior Project Manager,Head of Engineering,NETEX Learning,151-300 empleados,Fábrica de Software,Multinacional,Frecuentemente,Alto,&gt;5 días,Ninguno,Voy una vez al mes a la reunión mensual de alineamiento,--,--,Corre con todos los gastos de desplazamiento y dietas,Híbrida casa (más días en casa que en la oficina),Consensuada por las dos partes,En desacuerdo,Igual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oficina,Mayor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empleados,0</v>
      </c>
    </row>
    <row r="16" spans="1:103" ht="14.4" x14ac:dyDescent="0.3">
      <c r="A16" s="31">
        <v>45577.374515833333</v>
      </c>
      <c r="B16" s="25" t="s">
        <v>110</v>
      </c>
      <c r="C16" s="29" t="s">
        <v>253</v>
      </c>
      <c r="D16" s="29" t="s">
        <v>41</v>
      </c>
      <c r="E16" s="29" t="s">
        <v>222</v>
      </c>
      <c r="F16" s="29" t="s">
        <v>39</v>
      </c>
      <c r="G16" s="29" t="s">
        <v>138</v>
      </c>
      <c r="H16" s="29" t="s">
        <v>37</v>
      </c>
      <c r="I16" s="29" t="s">
        <v>36</v>
      </c>
      <c r="J16" s="29" t="s">
        <v>373</v>
      </c>
      <c r="K16" s="29" t="s">
        <v>372</v>
      </c>
      <c r="L16" s="26" t="s">
        <v>371</v>
      </c>
      <c r="M16" s="29" t="s">
        <v>32</v>
      </c>
      <c r="N16" s="29" t="s">
        <v>91</v>
      </c>
      <c r="O16" s="29" t="s">
        <v>144</v>
      </c>
      <c r="P16" s="29" t="s">
        <v>58</v>
      </c>
      <c r="Q16" s="11" t="s">
        <v>28</v>
      </c>
      <c r="R16" s="29" t="s">
        <v>244</v>
      </c>
      <c r="S16" s="29" t="s">
        <v>26</v>
      </c>
      <c r="T16" s="26" t="s">
        <v>370</v>
      </c>
      <c r="U16" s="30"/>
      <c r="V16" s="28"/>
      <c r="W16" s="28"/>
      <c r="X16" s="29" t="s">
        <v>73</v>
      </c>
      <c r="Y16" s="29" t="s">
        <v>72</v>
      </c>
      <c r="Z16" s="29" t="s">
        <v>19</v>
      </c>
      <c r="AA16" s="29" t="s">
        <v>4</v>
      </c>
      <c r="AB16" s="29" t="s">
        <v>1</v>
      </c>
      <c r="AC16" s="29" t="s">
        <v>4</v>
      </c>
      <c r="AD16" s="29" t="s">
        <v>76</v>
      </c>
      <c r="AE16" s="29" t="s">
        <v>75</v>
      </c>
      <c r="AF16" s="29" t="s">
        <v>70</v>
      </c>
      <c r="AG16" s="29" t="s">
        <v>5</v>
      </c>
      <c r="AH16" s="29" t="s">
        <v>5</v>
      </c>
      <c r="AI16" s="29" t="s">
        <v>5</v>
      </c>
      <c r="AJ16" s="29" t="s">
        <v>5</v>
      </c>
      <c r="AK16" s="29" t="s">
        <v>4</v>
      </c>
      <c r="AL16" s="29" t="s">
        <v>74</v>
      </c>
      <c r="AM16" s="29" t="s">
        <v>68</v>
      </c>
      <c r="AN16" s="29" t="s">
        <v>4</v>
      </c>
      <c r="AO16" s="29" t="s">
        <v>4</v>
      </c>
      <c r="AP16" s="29" t="s">
        <v>4</v>
      </c>
      <c r="AQ16" s="29" t="s">
        <v>4</v>
      </c>
      <c r="AR16" s="29" t="s">
        <v>86</v>
      </c>
      <c r="AS16" s="29" t="s">
        <v>4</v>
      </c>
      <c r="AT16" s="29" t="s">
        <v>4</v>
      </c>
      <c r="AU16" s="29" t="s">
        <v>4</v>
      </c>
      <c r="AV16" s="29" t="s">
        <v>4</v>
      </c>
      <c r="AW16" s="29" t="s">
        <v>4</v>
      </c>
      <c r="AX16" s="29" t="s">
        <v>4</v>
      </c>
      <c r="AY16" s="29" t="s">
        <v>2</v>
      </c>
      <c r="AZ16" s="29" t="s">
        <v>4</v>
      </c>
      <c r="BA16" s="29" t="s">
        <v>4</v>
      </c>
      <c r="BB16" s="9" t="s">
        <v>4</v>
      </c>
      <c r="BC16" s="8" t="s">
        <v>4</v>
      </c>
      <c r="BD16" s="29" t="s">
        <v>4</v>
      </c>
      <c r="BE16" s="29" t="s">
        <v>4</v>
      </c>
      <c r="BF16" s="29" t="s">
        <v>4</v>
      </c>
      <c r="BG16" s="29" t="s">
        <v>47</v>
      </c>
      <c r="BH16" s="29" t="s">
        <v>2</v>
      </c>
      <c r="BI16" s="29" t="s">
        <v>5</v>
      </c>
      <c r="BJ16" s="29" t="s">
        <v>2</v>
      </c>
      <c r="BK16" s="29" t="s">
        <v>4</v>
      </c>
      <c r="BL16" s="29" t="s">
        <v>2</v>
      </c>
      <c r="BM16" s="29" t="s">
        <v>135</v>
      </c>
      <c r="BN16" s="29" t="s">
        <v>147</v>
      </c>
      <c r="BO16" s="29" t="s">
        <v>4</v>
      </c>
      <c r="BP16" s="29" t="s">
        <v>6</v>
      </c>
      <c r="BQ16" s="29" t="s">
        <v>4</v>
      </c>
      <c r="BR16" s="29" t="s">
        <v>4</v>
      </c>
      <c r="BS16" s="29" t="s">
        <v>4</v>
      </c>
      <c r="BT16" s="29" t="s">
        <v>2</v>
      </c>
      <c r="BU16" s="29" t="s">
        <v>4</v>
      </c>
      <c r="BV16" s="7" t="s">
        <v>4</v>
      </c>
      <c r="BW16" s="29" t="s">
        <v>5</v>
      </c>
      <c r="BX16" s="29" t="s">
        <v>5</v>
      </c>
      <c r="BY16" s="29" t="s">
        <v>4</v>
      </c>
      <c r="BZ16" s="29" t="s">
        <v>4</v>
      </c>
      <c r="CA16" s="29" t="s">
        <v>4</v>
      </c>
      <c r="CB16" s="29" t="s">
        <v>1</v>
      </c>
      <c r="CC16" s="29" t="s">
        <v>4</v>
      </c>
      <c r="CD16" s="29" t="s">
        <v>4</v>
      </c>
      <c r="CE16" s="29" t="s">
        <v>4</v>
      </c>
      <c r="CF16" s="29" t="s">
        <v>2</v>
      </c>
      <c r="CG16" s="29" t="s">
        <v>4</v>
      </c>
      <c r="CH16" s="29" t="s">
        <v>3</v>
      </c>
      <c r="CI16" s="29" t="s">
        <v>4</v>
      </c>
      <c r="CJ16" s="29" t="s">
        <v>4</v>
      </c>
      <c r="CK16" s="29" t="s">
        <v>4</v>
      </c>
      <c r="CL16" s="29" t="s">
        <v>4</v>
      </c>
      <c r="CM16" s="29" t="s">
        <v>4</v>
      </c>
      <c r="CN16" s="29" t="s">
        <v>4</v>
      </c>
      <c r="CO16" s="29" t="s">
        <v>1</v>
      </c>
      <c r="CP16" s="29" t="s">
        <v>4</v>
      </c>
      <c r="CQ16" s="29" t="s">
        <v>5</v>
      </c>
      <c r="CR16" s="29" t="s">
        <v>4</v>
      </c>
      <c r="CS16" s="29" t="s">
        <v>2</v>
      </c>
      <c r="CT16" s="29" t="s">
        <v>4</v>
      </c>
      <c r="CU16" s="29" t="s">
        <v>4</v>
      </c>
      <c r="CV16" s="33" t="s">
        <v>369</v>
      </c>
      <c r="CW16" t="s">
        <v>0</v>
      </c>
      <c r="CX16">
        <f>VLOOKUP(K16,Sheet2!$A$2:$B$58,2,0)</f>
        <v>0</v>
      </c>
      <c r="CY16" t="str">
        <f t="shared" si="0"/>
        <v>45577,3745158333,España,&lt;35 años,Masculino,Magister,Como empleado de una empresa,España ,11-20 años,5-10 años,Gerente de Desarrollo ,Tech Lead,Celering Smart Mobility Services ,&lt;50 empleados,Empresa que desarrolla software a medida partiendo desde cero,Local,Muy Frecuentemente,Alto,&gt;5 días,Ninguno,Reuniones puntuales, ejemplo: comité de dirección.,,,,Remota ( todos los días en casa),Consensuada por las dos partes,En desacuerdo,Igual que cuando iba todos los días a la oficina,Menor que cuando iba todos los días a la oficina,Igual que cuando iba todos los días a la oficina,Diferentes que cuando iba todos los días a la oficina, ahora necesito menos horas para hacer lo mismo,Casi todas por videoconferencia,Menor que cuando eran en la oficina,Mayor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oficina,No trabajo con personas con un horario distinto al mío,Igual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oficina,Igual que cuando iba todos los días a la oficina,Iguales que cuando iba todos los días a la oficina,No tengo que utilizar diferentes idiomas en mi trabajo,No trabajo con personas con distintos horarios,Igual que cuando iba todos los días a la oficina,Menores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oficina,Farruza@gmail.com,&lt;301 empleados,0</v>
      </c>
    </row>
    <row r="17" spans="1:103" ht="13.8" x14ac:dyDescent="0.3">
      <c r="A17" s="17">
        <v>45564.064493935184</v>
      </c>
      <c r="B17" s="12" t="s">
        <v>38</v>
      </c>
      <c r="C17" s="12" t="s">
        <v>253</v>
      </c>
      <c r="D17" s="12" t="s">
        <v>41</v>
      </c>
      <c r="E17" s="12" t="s">
        <v>368</v>
      </c>
      <c r="F17" s="12" t="s">
        <v>39</v>
      </c>
      <c r="G17" s="12" t="s">
        <v>114</v>
      </c>
      <c r="H17" s="12" t="s">
        <v>37</v>
      </c>
      <c r="I17" s="12" t="s">
        <v>36</v>
      </c>
      <c r="J17" s="12" t="s">
        <v>367</v>
      </c>
      <c r="K17" s="12" t="s">
        <v>366</v>
      </c>
      <c r="L17" s="12" t="s">
        <v>125</v>
      </c>
      <c r="M17" s="12" t="s">
        <v>60</v>
      </c>
      <c r="N17" s="12" t="s">
        <v>59</v>
      </c>
      <c r="O17" s="12" t="s">
        <v>30</v>
      </c>
      <c r="P17" s="12" t="s">
        <v>58</v>
      </c>
      <c r="Q17" s="11" t="s">
        <v>28</v>
      </c>
      <c r="R17" s="12" t="s">
        <v>244</v>
      </c>
      <c r="S17" s="12" t="s">
        <v>26</v>
      </c>
      <c r="T17" s="10" t="s">
        <v>365</v>
      </c>
      <c r="U17" s="10" t="s">
        <v>364</v>
      </c>
      <c r="V17" s="12" t="s">
        <v>363</v>
      </c>
      <c r="W17" s="12" t="s">
        <v>116</v>
      </c>
      <c r="X17" s="12" t="s">
        <v>73</v>
      </c>
      <c r="Y17" s="12" t="s">
        <v>72</v>
      </c>
      <c r="Z17" s="12" t="s">
        <v>87</v>
      </c>
      <c r="AA17" s="12" t="s">
        <v>4</v>
      </c>
      <c r="AB17" s="12" t="s">
        <v>5</v>
      </c>
      <c r="AC17" s="12" t="s">
        <v>4</v>
      </c>
      <c r="AD17" s="12" t="s">
        <v>76</v>
      </c>
      <c r="AE17" s="12" t="s">
        <v>18</v>
      </c>
      <c r="AF17" s="12" t="s">
        <v>112</v>
      </c>
      <c r="AG17" s="12" t="s">
        <v>3</v>
      </c>
      <c r="AH17" s="12" t="s">
        <v>3</v>
      </c>
      <c r="AI17" s="12" t="s">
        <v>5</v>
      </c>
      <c r="AJ17" s="12" t="s">
        <v>3</v>
      </c>
      <c r="AK17" s="12" t="s">
        <v>53</v>
      </c>
      <c r="AL17" s="12" t="s">
        <v>74</v>
      </c>
      <c r="AM17" s="12" t="s">
        <v>14</v>
      </c>
      <c r="AN17" s="12" t="s">
        <v>47</v>
      </c>
      <c r="AO17" s="12" t="s">
        <v>1</v>
      </c>
      <c r="AP17" s="12" t="s">
        <v>4</v>
      </c>
      <c r="AQ17" s="12" t="s">
        <v>4</v>
      </c>
      <c r="AR17" s="12" t="s">
        <v>4</v>
      </c>
      <c r="AS17" s="12" t="s">
        <v>4</v>
      </c>
      <c r="AT17" s="12" t="s">
        <v>4</v>
      </c>
      <c r="AU17" s="12" t="s">
        <v>67</v>
      </c>
      <c r="AV17" s="12" t="s">
        <v>4</v>
      </c>
      <c r="AW17" s="12" t="s">
        <v>67</v>
      </c>
      <c r="AX17" s="12" t="s">
        <v>4</v>
      </c>
      <c r="AY17" s="12" t="s">
        <v>2</v>
      </c>
      <c r="AZ17" s="12" t="s">
        <v>4</v>
      </c>
      <c r="BA17" s="12" t="s">
        <v>4</v>
      </c>
      <c r="BB17" s="16" t="s">
        <v>5</v>
      </c>
      <c r="BC17" s="15" t="s">
        <v>3</v>
      </c>
      <c r="BD17" s="12" t="s">
        <v>4</v>
      </c>
      <c r="BE17" s="12" t="s">
        <v>4</v>
      </c>
      <c r="BF17" s="12" t="s">
        <v>5</v>
      </c>
      <c r="BG17" s="12" t="s">
        <v>5</v>
      </c>
      <c r="BH17" s="12" t="s">
        <v>50</v>
      </c>
      <c r="BI17" s="12" t="s">
        <v>5</v>
      </c>
      <c r="BJ17" s="12" t="s">
        <v>2</v>
      </c>
      <c r="BK17" s="12" t="s">
        <v>4</v>
      </c>
      <c r="BL17" s="12" t="s">
        <v>2</v>
      </c>
      <c r="BM17" s="12" t="s">
        <v>2</v>
      </c>
      <c r="BN17" s="12" t="s">
        <v>4</v>
      </c>
      <c r="BO17" s="12" t="s">
        <v>4</v>
      </c>
      <c r="BP17" s="12" t="s">
        <v>6</v>
      </c>
      <c r="BQ17" s="12" t="s">
        <v>5</v>
      </c>
      <c r="BR17" s="12" t="s">
        <v>4</v>
      </c>
      <c r="BS17" s="12" t="s">
        <v>4</v>
      </c>
      <c r="BT17" s="12" t="s">
        <v>2</v>
      </c>
      <c r="BU17" s="12" t="s">
        <v>4</v>
      </c>
      <c r="BV17" s="14" t="s">
        <v>4</v>
      </c>
      <c r="BW17" s="12" t="s">
        <v>3</v>
      </c>
      <c r="BX17" s="12" t="s">
        <v>47</v>
      </c>
      <c r="BY17" s="12" t="s">
        <v>3</v>
      </c>
      <c r="BZ17" s="12" t="s">
        <v>3</v>
      </c>
      <c r="CA17" s="12" t="s">
        <v>3</v>
      </c>
      <c r="CB17" s="12" t="s">
        <v>3</v>
      </c>
      <c r="CC17" s="12" t="s">
        <v>5</v>
      </c>
      <c r="CD17" s="12" t="s">
        <v>4</v>
      </c>
      <c r="CE17" s="12" t="s">
        <v>4</v>
      </c>
      <c r="CF17" s="12" t="s">
        <v>6</v>
      </c>
      <c r="CG17" s="12" t="s">
        <v>4</v>
      </c>
      <c r="CH17" s="12" t="s">
        <v>5</v>
      </c>
      <c r="CI17" s="12" t="s">
        <v>4</v>
      </c>
      <c r="CJ17" s="12" t="s">
        <v>4</v>
      </c>
      <c r="CK17" s="12" t="s">
        <v>3</v>
      </c>
      <c r="CL17" s="12" t="s">
        <v>4</v>
      </c>
      <c r="CM17" s="12" t="s">
        <v>46</v>
      </c>
      <c r="CN17" s="12" t="s">
        <v>3</v>
      </c>
      <c r="CO17" s="12" t="s">
        <v>5</v>
      </c>
      <c r="CP17" s="12" t="s">
        <v>5</v>
      </c>
      <c r="CQ17" s="12" t="s">
        <v>5</v>
      </c>
      <c r="CR17" s="12" t="s">
        <v>7</v>
      </c>
      <c r="CS17" s="12" t="s">
        <v>50</v>
      </c>
      <c r="CT17" s="12" t="s">
        <v>4</v>
      </c>
      <c r="CU17" s="12" t="s">
        <v>5</v>
      </c>
      <c r="CV17" s="21" t="s">
        <v>362</v>
      </c>
      <c r="CW17" t="s">
        <v>43</v>
      </c>
      <c r="CX17">
        <f>VLOOKUP(K17,Sheet2!$A$2:$B$58,2,0)</f>
        <v>0</v>
      </c>
      <c r="CY17" t="str">
        <f t="shared" si="0"/>
        <v>45564,0644939352,México,&lt;35 años,Masculino,Universidad ,Como empleado de una empresa,Estados Unidos ,11-20 años,5-10 años,Analista de Transformación ,Gerente ,Conduent,&gt;500 empleados.,Empresa que subcontrata (outsourcing) los servicios de otra empresa situada en otro país,Multinacional,Muy Frecuentemente,Alto,&gt;5 días,Ninguno,Cuando es necesario y no existe otra opción ,Para renovar algún dato, recoger equipo o visita del cliente ,Cuando una persona en específico lo requiere ,Ninguna,Remota ( todos los días en casa),Consensuada por las dos partes,Totalmente 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mi desempeño en el trabajo,Mejoran mi productividad,Mucho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oficina,Mucho menores que cuando iba todos los días a la oficina,Mayor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oficina,Menores que cuando iba todos los días a la oficina,Igual que cuando iba todos los días a la oficina,Mayor que cuando iba todos los días a la oficina,Igual que cuando iba todos los días a la oficina,Igual que cuando iba todos los días a la oficina,Mucho Mayor que cuando iba todos los días a la oficina,Igual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oficina,Mucho menor que cuando iba todos los días a la oficina,Mucho menores que cuando iba todos los días a la oficina,Igual que cuando iba todos los días a la oficina,Mayor que cuando iba todos los días a la oficina,andresbernalc@live.com.mx,301+ empleados,0</v>
      </c>
    </row>
    <row r="18" spans="1:103" ht="14.4" x14ac:dyDescent="0.3">
      <c r="A18" s="17">
        <v>45565.805771597225</v>
      </c>
      <c r="B18" s="12" t="s">
        <v>38</v>
      </c>
      <c r="C18" s="12" t="s">
        <v>253</v>
      </c>
      <c r="D18" s="12" t="s">
        <v>41</v>
      </c>
      <c r="E18" s="12" t="s">
        <v>66</v>
      </c>
      <c r="F18" s="12" t="s">
        <v>149</v>
      </c>
      <c r="G18" s="20"/>
      <c r="H18" s="12" t="s">
        <v>36</v>
      </c>
      <c r="I18" s="12" t="s">
        <v>64</v>
      </c>
      <c r="J18" s="12" t="s">
        <v>361</v>
      </c>
      <c r="K18" s="12" t="s">
        <v>360</v>
      </c>
      <c r="L18" s="5"/>
      <c r="M18" s="12" t="s">
        <v>32</v>
      </c>
      <c r="N18" s="12" t="s">
        <v>91</v>
      </c>
      <c r="O18" s="12" t="s">
        <v>144</v>
      </c>
      <c r="P18" s="12" t="s">
        <v>29</v>
      </c>
      <c r="Q18" s="11" t="s">
        <v>28</v>
      </c>
      <c r="R18" s="12" t="s">
        <v>244</v>
      </c>
      <c r="S18" s="12" t="s">
        <v>26</v>
      </c>
      <c r="T18" s="20"/>
      <c r="U18" s="5"/>
      <c r="V18" s="5"/>
      <c r="W18" s="5"/>
      <c r="X18" s="12" t="s">
        <v>73</v>
      </c>
      <c r="Y18" s="12" t="s">
        <v>105</v>
      </c>
      <c r="Z18" s="12" t="s">
        <v>19</v>
      </c>
      <c r="AA18" s="12" t="s">
        <v>5</v>
      </c>
      <c r="AB18" s="12" t="s">
        <v>5</v>
      </c>
      <c r="AC18" s="12" t="s">
        <v>5</v>
      </c>
      <c r="AD18" s="12" t="s">
        <v>76</v>
      </c>
      <c r="AE18" s="12" t="s">
        <v>18</v>
      </c>
      <c r="AF18" s="12" t="s">
        <v>54</v>
      </c>
      <c r="AG18" s="12" t="s">
        <v>3</v>
      </c>
      <c r="AH18" s="12" t="s">
        <v>3</v>
      </c>
      <c r="AI18" s="12" t="s">
        <v>3</v>
      </c>
      <c r="AJ18" s="12" t="s">
        <v>3</v>
      </c>
      <c r="AK18" s="12" t="s">
        <v>5</v>
      </c>
      <c r="AL18" s="12" t="s">
        <v>52</v>
      </c>
      <c r="AM18" s="12" t="s">
        <v>14</v>
      </c>
      <c r="AN18" s="12" t="s">
        <v>5</v>
      </c>
      <c r="AO18" s="12" t="s">
        <v>47</v>
      </c>
      <c r="AP18" s="12" t="s">
        <v>67</v>
      </c>
      <c r="AQ18" s="12" t="s">
        <v>4</v>
      </c>
      <c r="AR18" s="12" t="s">
        <v>49</v>
      </c>
      <c r="AS18" s="12" t="s">
        <v>49</v>
      </c>
      <c r="AT18" s="12" t="s">
        <v>4</v>
      </c>
      <c r="AU18" s="12" t="s">
        <v>49</v>
      </c>
      <c r="AV18" s="12" t="s">
        <v>67</v>
      </c>
      <c r="AW18" s="12" t="s">
        <v>67</v>
      </c>
      <c r="AX18" s="12" t="s">
        <v>4</v>
      </c>
      <c r="AY18" s="12" t="s">
        <v>2</v>
      </c>
      <c r="AZ18" s="12" t="s">
        <v>1</v>
      </c>
      <c r="BA18" s="12" t="s">
        <v>4</v>
      </c>
      <c r="BB18" s="16" t="s">
        <v>7</v>
      </c>
      <c r="BC18" s="15" t="s">
        <v>3</v>
      </c>
      <c r="BD18" s="12" t="s">
        <v>1</v>
      </c>
      <c r="BE18" s="12" t="s">
        <v>7</v>
      </c>
      <c r="BF18" s="12" t="s">
        <v>1</v>
      </c>
      <c r="BG18" s="12" t="s">
        <v>47</v>
      </c>
      <c r="BH18" s="12" t="s">
        <v>6</v>
      </c>
      <c r="BI18" s="12" t="s">
        <v>4</v>
      </c>
      <c r="BJ18" s="12" t="s">
        <v>6</v>
      </c>
      <c r="BK18" s="12" t="s">
        <v>4</v>
      </c>
      <c r="BL18" s="12" t="s">
        <v>6</v>
      </c>
      <c r="BM18" s="12" t="s">
        <v>2</v>
      </c>
      <c r="BN18" s="12" t="s">
        <v>67</v>
      </c>
      <c r="BO18" s="12" t="s">
        <v>4</v>
      </c>
      <c r="BP18" s="12" t="s">
        <v>50</v>
      </c>
      <c r="BQ18" s="12" t="s">
        <v>5</v>
      </c>
      <c r="BR18" s="12" t="s">
        <v>4</v>
      </c>
      <c r="BS18" s="12" t="s">
        <v>67</v>
      </c>
      <c r="BT18" s="12" t="s">
        <v>6</v>
      </c>
      <c r="BU18" s="12" t="s">
        <v>46</v>
      </c>
      <c r="BV18" s="14" t="s">
        <v>5</v>
      </c>
      <c r="BW18" s="12" t="s">
        <v>5</v>
      </c>
      <c r="BX18" s="12" t="s">
        <v>47</v>
      </c>
      <c r="BY18" s="12" t="s">
        <v>5</v>
      </c>
      <c r="BZ18" s="12" t="s">
        <v>3</v>
      </c>
      <c r="CA18" s="12" t="s">
        <v>5</v>
      </c>
      <c r="CB18" s="12" t="s">
        <v>5</v>
      </c>
      <c r="CC18" s="12" t="s">
        <v>5</v>
      </c>
      <c r="CD18" s="12" t="s">
        <v>1</v>
      </c>
      <c r="CE18" s="12" t="s">
        <v>10</v>
      </c>
      <c r="CF18" s="12" t="s">
        <v>2</v>
      </c>
      <c r="CG18" s="12" t="s">
        <v>5</v>
      </c>
      <c r="CH18" s="12" t="s">
        <v>3</v>
      </c>
      <c r="CI18" s="12" t="s">
        <v>3</v>
      </c>
      <c r="CJ18" s="12" t="s">
        <v>7</v>
      </c>
      <c r="CK18" s="12" t="s">
        <v>5</v>
      </c>
      <c r="CL18" s="12" t="s">
        <v>1</v>
      </c>
      <c r="CM18" s="12" t="s">
        <v>46</v>
      </c>
      <c r="CN18" s="12" t="s">
        <v>5</v>
      </c>
      <c r="CO18" s="12" t="s">
        <v>1</v>
      </c>
      <c r="CP18" s="12" t="s">
        <v>5</v>
      </c>
      <c r="CQ18" s="12" t="s">
        <v>5</v>
      </c>
      <c r="CR18" s="12" t="s">
        <v>1</v>
      </c>
      <c r="CS18" s="12" t="s">
        <v>6</v>
      </c>
      <c r="CT18" s="12" t="s">
        <v>4</v>
      </c>
      <c r="CU18" s="12" t="s">
        <v>5</v>
      </c>
      <c r="CV18" s="10" t="s">
        <v>359</v>
      </c>
      <c r="CW18" t="s">
        <v>0</v>
      </c>
      <c r="CX18">
        <f>VLOOKUP(K18,Sheet2!$A$2:$B$58,2,0)</f>
        <v>0</v>
      </c>
      <c r="CY18" t="str">
        <f t="shared" si="0"/>
        <v>45565,8057715972,México,&lt;35 años,Masculino,Licenciatura,De forma autónoma/independiente/freelance,,5-10 años,&lt;5 años,Front End Junior,Creative Director,,&lt;50 empleados,Empresa que desarrolla software a medida partiendo desde cero,Local,Frecuentemente,Alto,&gt;5 días,Ninguno,,,,,Remota ( todos los días en casa),Decidida por ti,En desacuerdo,Mayor que cuando iba todos los días a la oficina,Mayor que cuando iba todos los días a la oficina,Mayor que cuando iba todos los días a la oficina,Diferentes que cuando iba todos los días a la oficina, ahora necesito menos horas para hacer lo mismo,Todas por videoconferencia,Mucho menor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oficina,Mejora mucho mi desempeño en el trabajo,Mejoran mi productividad,Mayor que cuando iba todos los días a la oficina,Mucho mayor que cuando iba todos los días a la oficina,Mucho menos que cuando iba todos los días a la oficina,Igual que cuando iba todos los días a la oficina,Menos que cuando iba todos los días a la oficina,Menos que cuando iba todos los días a la oficina,Igual que cuando iba todos los días a la oficina,Menos que cuando iba todos los días a la oficina,Mucho menos que cuando iba todos los días a la oficina,Mucho menos que cuando iba todos los días a la oficina,Igual que cuando iba todos los días a la oficina,Iguales que cuando iba todos los días a la oficina,Menor que cuando iba todos los días a la oficina,Igual que cuando iba todos los días a la oficina,Mucho menor que cuando iba todos los días a la oficina,Mucho Mayor que cuando iba todos los días a la oficina,Menor que cuando iba todos los días a la oficina,Mucho menor que cuando iba todos los días a la oficina,Menor que cuando iba todos los días a la oficina,Mucho mayor que cuando iba todos los días a la oficina,Menores que cuando iba todos los días a la oficina,Igual que cuando iba todos los días a la oficina,Menores que cuando iba todos los días a la oficina,Igual que cuando iba todos los días a la oficina,Menores que cuando iba todos los días a la oficina,Iguales que cuando iba todos los días a la oficina,Mucho menos que cuando iba todos los días a la oficina,Igual que cuando iba todos los días a la oficina,Mucho menores que cuando iba todos los días a la oficina,Mayor que cuando iba todos los días a la oficina,Igual que cuando iba todos los días a la oficina,Mucho menos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oficina,Menor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oficina,Mucho menor que cuando iba todos los días a la oficina,Mayor que cuando iba todos los días a la oficina,Menor que cuando iba todos los días a la oficina,Mejor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oficina,clubdecinecc@gmail.com,&lt;301 empleados,0</v>
      </c>
    </row>
    <row r="19" spans="1:103" ht="13.8" x14ac:dyDescent="0.3">
      <c r="A19" s="17">
        <v>45562.100749050922</v>
      </c>
      <c r="B19" s="12" t="s">
        <v>38</v>
      </c>
      <c r="C19" s="12" t="s">
        <v>253</v>
      </c>
      <c r="D19" s="12" t="s">
        <v>81</v>
      </c>
      <c r="E19" s="12" t="s">
        <v>139</v>
      </c>
      <c r="F19" s="12" t="s">
        <v>145</v>
      </c>
      <c r="G19" s="12" t="s">
        <v>358</v>
      </c>
      <c r="H19" s="12" t="s">
        <v>64</v>
      </c>
      <c r="I19" s="12" t="s">
        <v>64</v>
      </c>
      <c r="J19" s="12" t="s">
        <v>357</v>
      </c>
      <c r="K19" s="12" t="s">
        <v>356</v>
      </c>
      <c r="L19" s="12" t="s">
        <v>355</v>
      </c>
      <c r="M19" s="12" t="s">
        <v>146</v>
      </c>
      <c r="N19" s="12" t="s">
        <v>91</v>
      </c>
      <c r="O19" s="12" t="s">
        <v>30</v>
      </c>
      <c r="P19" s="12" t="s">
        <v>58</v>
      </c>
      <c r="Q19" s="11" t="s">
        <v>28</v>
      </c>
      <c r="R19" s="12" t="s">
        <v>244</v>
      </c>
      <c r="S19" s="12" t="s">
        <v>26</v>
      </c>
      <c r="T19" s="12" t="s">
        <v>354</v>
      </c>
      <c r="U19" s="12" t="s">
        <v>354</v>
      </c>
      <c r="V19" s="12" t="s">
        <v>354</v>
      </c>
      <c r="W19" s="12" t="s">
        <v>121</v>
      </c>
      <c r="X19" s="12" t="s">
        <v>73</v>
      </c>
      <c r="Y19" s="12" t="s">
        <v>72</v>
      </c>
      <c r="Z19" s="12" t="s">
        <v>19</v>
      </c>
      <c r="AA19" s="12" t="s">
        <v>7</v>
      </c>
      <c r="AB19" s="12" t="s">
        <v>7</v>
      </c>
      <c r="AC19" s="12" t="s">
        <v>7</v>
      </c>
      <c r="AD19" s="12" t="s">
        <v>55</v>
      </c>
      <c r="AE19" s="12" t="s">
        <v>18</v>
      </c>
      <c r="AF19" s="12" t="s">
        <v>70</v>
      </c>
      <c r="AG19" s="12" t="s">
        <v>3</v>
      </c>
      <c r="AH19" s="12" t="s">
        <v>5</v>
      </c>
      <c r="AI19" s="12" t="s">
        <v>5</v>
      </c>
      <c r="AJ19" s="12" t="s">
        <v>5</v>
      </c>
      <c r="AK19" s="12" t="s">
        <v>4</v>
      </c>
      <c r="AL19" s="12" t="s">
        <v>74</v>
      </c>
      <c r="AM19" s="12" t="s">
        <v>14</v>
      </c>
      <c r="AN19" s="12" t="s">
        <v>1</v>
      </c>
      <c r="AO19" s="12" t="s">
        <v>1</v>
      </c>
      <c r="AP19" s="12" t="s">
        <v>8</v>
      </c>
      <c r="AQ19" s="12" t="s">
        <v>67</v>
      </c>
      <c r="AR19" s="12" t="s">
        <v>8</v>
      </c>
      <c r="AS19" s="12" t="s">
        <v>8</v>
      </c>
      <c r="AT19" s="12" t="s">
        <v>11</v>
      </c>
      <c r="AU19" s="12" t="s">
        <v>10</v>
      </c>
      <c r="AV19" s="12" t="s">
        <v>49</v>
      </c>
      <c r="AW19" s="12" t="s">
        <v>49</v>
      </c>
      <c r="AX19" s="12" t="s">
        <v>4</v>
      </c>
      <c r="AY19" s="12" t="s">
        <v>45</v>
      </c>
      <c r="AZ19" s="12" t="s">
        <v>5</v>
      </c>
      <c r="BA19" s="12" t="s">
        <v>5</v>
      </c>
      <c r="BB19" s="16" t="s">
        <v>7</v>
      </c>
      <c r="BC19" s="15" t="s">
        <v>4</v>
      </c>
      <c r="BD19" s="12" t="s">
        <v>7</v>
      </c>
      <c r="BE19" s="12" t="s">
        <v>7</v>
      </c>
      <c r="BF19" s="12" t="s">
        <v>7</v>
      </c>
      <c r="BG19" s="12" t="s">
        <v>5</v>
      </c>
      <c r="BH19" s="12" t="s">
        <v>2</v>
      </c>
      <c r="BI19" s="12" t="s">
        <v>5</v>
      </c>
      <c r="BJ19" s="12" t="s">
        <v>2</v>
      </c>
      <c r="BK19" s="12" t="s">
        <v>5</v>
      </c>
      <c r="BL19" s="12" t="s">
        <v>50</v>
      </c>
      <c r="BM19" s="12" t="s">
        <v>2</v>
      </c>
      <c r="BN19" s="12" t="s">
        <v>4</v>
      </c>
      <c r="BO19" s="12" t="s">
        <v>4</v>
      </c>
      <c r="BP19" s="12" t="s">
        <v>50</v>
      </c>
      <c r="BQ19" s="12" t="s">
        <v>47</v>
      </c>
      <c r="BR19" s="12" t="s">
        <v>5</v>
      </c>
      <c r="BS19" s="12" t="s">
        <v>67</v>
      </c>
      <c r="BT19" s="12" t="s">
        <v>50</v>
      </c>
      <c r="BU19" s="12" t="s">
        <v>46</v>
      </c>
      <c r="BV19" s="14" t="s">
        <v>5</v>
      </c>
      <c r="BW19" s="12" t="s">
        <v>5</v>
      </c>
      <c r="BX19" s="12" t="s">
        <v>5</v>
      </c>
      <c r="BY19" s="12" t="s">
        <v>5</v>
      </c>
      <c r="BZ19" s="12" t="s">
        <v>5</v>
      </c>
      <c r="CA19" s="12" t="s">
        <v>5</v>
      </c>
      <c r="CB19" s="12" t="s">
        <v>3</v>
      </c>
      <c r="CC19" s="12" t="s">
        <v>5</v>
      </c>
      <c r="CD19" s="12" t="s">
        <v>4</v>
      </c>
      <c r="CE19" s="12" t="s">
        <v>4</v>
      </c>
      <c r="CF19" s="12" t="s">
        <v>45</v>
      </c>
      <c r="CG19" s="12" t="s">
        <v>5</v>
      </c>
      <c r="CH19" s="12" t="s">
        <v>5</v>
      </c>
      <c r="CI19" s="12" t="s">
        <v>5</v>
      </c>
      <c r="CJ19" s="12" t="s">
        <v>1</v>
      </c>
      <c r="CK19" s="12" t="s">
        <v>1</v>
      </c>
      <c r="CL19" s="12" t="s">
        <v>7</v>
      </c>
      <c r="CM19" s="12" t="s">
        <v>46</v>
      </c>
      <c r="CN19" s="12" t="s">
        <v>5</v>
      </c>
      <c r="CO19" s="12" t="s">
        <v>4</v>
      </c>
      <c r="CP19" s="12" t="s">
        <v>4</v>
      </c>
      <c r="CQ19" s="12" t="s">
        <v>5</v>
      </c>
      <c r="CR19" s="12" t="s">
        <v>7</v>
      </c>
      <c r="CS19" s="12" t="s">
        <v>2</v>
      </c>
      <c r="CT19" s="12" t="s">
        <v>5</v>
      </c>
      <c r="CU19" s="12" t="s">
        <v>5</v>
      </c>
      <c r="CV19" s="21" t="s">
        <v>353</v>
      </c>
      <c r="CW19" t="s">
        <v>0</v>
      </c>
      <c r="CX19">
        <f>VLOOKUP(K19,Sheet2!$A$2:$B$58,2,0)</f>
        <v>0</v>
      </c>
      <c r="CY19" t="str">
        <f t="shared" si="0"/>
        <v>45562,1007490509,México,&lt;35 años,Femenino,Licenciatura ,De ambas formas,United Kingdom,&lt;5 años,&lt;5 años,Marketing Director ,Marketing Expert - Account Manager ,UENI ,51-150 empleados,Empresa que desarrolla software a medida partiendo desde cero,Multinacional,Muy Frecuentemente,Alto,&gt;5 días,Ninguno,Nunca ,Nunca ,Nunca ,No,Remota ( todos los días en casa),Consensuada por las dos partes,En desacuerdo,Mucho menor que cuando iba todos los días a la oficina,Mucho menor que cuando iba todos los días a la oficina,Mucho menor que cuando iba todos los días a la oficina,Muy diferentes que cuando iba todos los días a la oficina, ahora necesito muchas menos horas para hacer lo mismo,Todas por videoconferencia,Menor que cuando eran en la oficina,Mucho Mayor que cuando iba todos los días a la oficina,Mayor que cuando iba todos los días a la oficina,Mayor que cuando iba todos los días a la oficina,Mayor que cuando iba todos los días a la oficina,Igual que cuando iba todos los días a la oficina,Mejora mi desempeño en el trabajo,Mejoran mi productividad,Menor que cuando iba todos los días a la oficina,Menor que cuando iba todos los días a la oficina,Más que cuando iba todos los días a la oficina,Mucho menos que cuando iba todos los días a la oficina,Más que cuando iba todos los días a la oficina,Más que cuando iba todos los días a la oficina,Mucho más que cuando iba todos los días a la oficina,Mas que cuando iba todos los días a la oficina,Menos que cuando iba todos los días a la oficina,Menos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oficina,Mucho menor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oficina,Mucho menores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oficina,Mucho menos que cuando iba todos los días a la oficina,Mucho menores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oficina,Mayor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oficina,Mucho menor que cuando iba todos los días a la oficina,Mejor que cuando iba todos los días a la oficina,Mayor que cuando iba todos los días a la oficina,Igual que cuando iba todos los días a la oficina,Igual que cuando iba todos los días a la oficina,Mayor que cuando iba todos los días a la oficina,Mucho menor que cuando iba todos los días a la oficina,Iguales que cuando iba todos los días a la oficina,Mayor que cuando iba todos los días a la oficina,Mayor que cuando iba todos los días a la oficina,vmadrigalguevara@gmail.com,&lt;301 empleados,0</v>
      </c>
    </row>
    <row r="20" spans="1:103" ht="14.4" x14ac:dyDescent="0.3">
      <c r="A20" s="42">
        <v>45561.792379803243</v>
      </c>
      <c r="B20" s="39" t="s">
        <v>205</v>
      </c>
      <c r="C20" s="39" t="s">
        <v>253</v>
      </c>
      <c r="D20" s="39" t="s">
        <v>41</v>
      </c>
      <c r="E20" s="39" t="s">
        <v>111</v>
      </c>
      <c r="F20" s="39" t="s">
        <v>39</v>
      </c>
      <c r="G20" s="39" t="s">
        <v>205</v>
      </c>
      <c r="H20" s="39" t="s">
        <v>143</v>
      </c>
      <c r="I20" s="39" t="s">
        <v>63</v>
      </c>
      <c r="J20" s="39" t="s">
        <v>351</v>
      </c>
      <c r="K20" s="39" t="s">
        <v>351</v>
      </c>
      <c r="L20" s="39" t="s">
        <v>350</v>
      </c>
      <c r="M20" s="39" t="s">
        <v>60</v>
      </c>
      <c r="N20" s="39" t="s">
        <v>91</v>
      </c>
      <c r="O20" s="39" t="s">
        <v>160</v>
      </c>
      <c r="P20" s="39" t="s">
        <v>97</v>
      </c>
      <c r="Q20" s="51" t="s">
        <v>314</v>
      </c>
      <c r="R20" s="39" t="s">
        <v>78</v>
      </c>
      <c r="S20" s="39" t="s">
        <v>256</v>
      </c>
      <c r="T20" s="38"/>
      <c r="U20" s="41"/>
      <c r="V20" s="36" t="s">
        <v>349</v>
      </c>
      <c r="W20" s="39" t="s">
        <v>121</v>
      </c>
      <c r="X20" s="39" t="s">
        <v>152</v>
      </c>
      <c r="Y20" s="39" t="s">
        <v>105</v>
      </c>
      <c r="Z20" s="39" t="s">
        <v>113</v>
      </c>
      <c r="AA20" s="39" t="s">
        <v>1</v>
      </c>
      <c r="AB20" s="39" t="s">
        <v>1</v>
      </c>
      <c r="AC20" s="39" t="s">
        <v>4</v>
      </c>
      <c r="AD20" s="39" t="s">
        <v>2</v>
      </c>
      <c r="AE20" s="39" t="s">
        <v>75</v>
      </c>
      <c r="AF20" s="39" t="s">
        <v>17</v>
      </c>
      <c r="AG20" s="39" t="s">
        <v>16</v>
      </c>
      <c r="AH20" s="39" t="s">
        <v>1</v>
      </c>
      <c r="AI20" s="39" t="s">
        <v>1</v>
      </c>
      <c r="AJ20" s="39" t="s">
        <v>5</v>
      </c>
      <c r="AK20" s="39" t="s">
        <v>4</v>
      </c>
      <c r="AL20" s="39" t="s">
        <v>15</v>
      </c>
      <c r="AM20" s="39" t="s">
        <v>68</v>
      </c>
      <c r="AN20" s="39" t="s">
        <v>1</v>
      </c>
      <c r="AO20" s="39" t="s">
        <v>5</v>
      </c>
      <c r="AP20" s="39" t="s">
        <v>8</v>
      </c>
      <c r="AQ20" s="39" t="s">
        <v>12</v>
      </c>
      <c r="AR20" s="39" t="s">
        <v>4</v>
      </c>
      <c r="AS20" s="39" t="s">
        <v>4</v>
      </c>
      <c r="AT20" s="39" t="s">
        <v>8</v>
      </c>
      <c r="AU20" s="39" t="s">
        <v>10</v>
      </c>
      <c r="AV20" s="39" t="s">
        <v>10</v>
      </c>
      <c r="AW20" s="39" t="s">
        <v>10</v>
      </c>
      <c r="AX20" s="39" t="s">
        <v>10</v>
      </c>
      <c r="AY20" s="39" t="s">
        <v>2</v>
      </c>
      <c r="AZ20" s="39" t="s">
        <v>1</v>
      </c>
      <c r="BA20" s="39" t="s">
        <v>4</v>
      </c>
      <c r="BB20" s="16" t="s">
        <v>5</v>
      </c>
      <c r="BC20" s="15" t="s">
        <v>4</v>
      </c>
      <c r="BD20" s="39" t="s">
        <v>4</v>
      </c>
      <c r="BE20" s="39" t="s">
        <v>5</v>
      </c>
      <c r="BF20" s="39" t="s">
        <v>4</v>
      </c>
      <c r="BG20" s="39" t="s">
        <v>5</v>
      </c>
      <c r="BH20" s="39" t="s">
        <v>2</v>
      </c>
      <c r="BI20" s="39" t="s">
        <v>4</v>
      </c>
      <c r="BJ20" s="39" t="s">
        <v>9</v>
      </c>
      <c r="BK20" s="39" t="s">
        <v>1</v>
      </c>
      <c r="BL20" s="39" t="s">
        <v>45</v>
      </c>
      <c r="BM20" s="39" t="s">
        <v>135</v>
      </c>
      <c r="BN20" s="39" t="s">
        <v>4</v>
      </c>
      <c r="BO20" s="39" t="s">
        <v>1</v>
      </c>
      <c r="BP20" s="39" t="s">
        <v>2</v>
      </c>
      <c r="BQ20" s="39" t="s">
        <v>4</v>
      </c>
      <c r="BR20" s="39" t="s">
        <v>5</v>
      </c>
      <c r="BS20" s="39" t="s">
        <v>8</v>
      </c>
      <c r="BT20" s="39" t="s">
        <v>45</v>
      </c>
      <c r="BU20" s="39" t="s">
        <v>48</v>
      </c>
      <c r="BV20" s="14" t="s">
        <v>4</v>
      </c>
      <c r="BW20" s="39" t="s">
        <v>4</v>
      </c>
      <c r="BX20" s="39" t="s">
        <v>5</v>
      </c>
      <c r="BY20" s="39" t="s">
        <v>4</v>
      </c>
      <c r="BZ20" s="39" t="s">
        <v>4</v>
      </c>
      <c r="CA20" s="39" t="s">
        <v>1</v>
      </c>
      <c r="CB20" s="39" t="s">
        <v>4</v>
      </c>
      <c r="CC20" s="39" t="s">
        <v>4</v>
      </c>
      <c r="CD20" s="39" t="s">
        <v>5</v>
      </c>
      <c r="CE20" s="39" t="s">
        <v>4</v>
      </c>
      <c r="CF20" s="39" t="s">
        <v>6</v>
      </c>
      <c r="CG20" s="39" t="s">
        <v>1</v>
      </c>
      <c r="CH20" s="39" t="s">
        <v>4</v>
      </c>
      <c r="CI20" s="39" t="s">
        <v>1</v>
      </c>
      <c r="CJ20" s="39" t="s">
        <v>4</v>
      </c>
      <c r="CK20" s="39" t="s">
        <v>7</v>
      </c>
      <c r="CL20" s="39" t="s">
        <v>4</v>
      </c>
      <c r="CM20" s="39" t="s">
        <v>4</v>
      </c>
      <c r="CN20" s="39" t="s">
        <v>1</v>
      </c>
      <c r="CO20" s="39" t="s">
        <v>1</v>
      </c>
      <c r="CP20" s="39" t="s">
        <v>1</v>
      </c>
      <c r="CQ20" s="39" t="s">
        <v>5</v>
      </c>
      <c r="CR20" s="39" t="s">
        <v>1</v>
      </c>
      <c r="CS20" s="39" t="s">
        <v>45</v>
      </c>
      <c r="CT20" s="39" t="s">
        <v>1</v>
      </c>
      <c r="CU20" s="39" t="s">
        <v>1</v>
      </c>
      <c r="CV20" s="36" t="s">
        <v>348</v>
      </c>
      <c r="CW20" t="s">
        <v>43</v>
      </c>
      <c r="CX20">
        <f>VLOOKUP(K20,Sheet2!$A$2:$B$58,2,0)</f>
        <v>0</v>
      </c>
      <c r="CY20" t="str">
        <f t="shared" ref="CY20:CY37" si="1">_xlfn.TEXTJOIN(",",FALSE,A20:CX20)</f>
        <v>45561,7923798032,Colombia,&lt;35 años,Masculino,Maestria,Como empleado de una empresa,Colombia,21-30 años,10-20 años,Director de ingeniería,Director de ingeniería,Asesoftware,&gt;500 empleados.,Empresa que desarrolla software a medida partiendo desde cero,Nacional (múltiples sedes en el mismo país),A veces,Bajo,1-2 días,3-4 días,,,Visitas con clientes; Sesiones de gerencia mensual,No,Híbrida oficina (más días en la oficina que en casa),Decidida por ti,De acuerdo,Menor que cuando iba todos los días a la oficina,Menor que cuando iba todos los días a la oficina,Igual que cuando iba todos los días a la oficina,Iguales que cuando iba todos los días a la oficina,Casi todas por videoconferencia,Mayor que cuando eran en la oficina,Menor cuando iba todos los días a la oficina,Menor que cuando iba todos los días a la oficina,Menor que cuando iba todos los días a la oficina,Mayor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culturas,Igual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oficina,Iguales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oficina,Iguales que cuando iba todos los días a la oficina,Igual que cuando iba todos los días a la oficina,No hay diferencias culturales en mi equipo,Menor que cuando iba todos los días a la oficina,Mayores que cuando iba todos los días a la oficina,No tengo que utilizar diferentes idiomas en mi trabajo,Igual que cuando iba todos los días a la oficina,Menor que cuando iba todos los días a la oficina,Iguales que cuando iba todos los días a la oficina,Igual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oficina,Igual que cuando iba todos los días a la oficina,Menor que cuando iba todos los días a la oficina,Igual que cuando iba todos los días a la oficina,Mucho menor que cuando iba todos los días a la oficina,Igual que cuando iba todos los días a la oficina,Igual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oficina,Menor que cuando iba todos los días a la oficina,crodriguez@asesoftware.com,301+ empleados,0</v>
      </c>
    </row>
    <row r="21" spans="1:103" ht="14.4" x14ac:dyDescent="0.3">
      <c r="A21" s="40">
        <v>45562.698017280098</v>
      </c>
      <c r="B21" s="39" t="s">
        <v>205</v>
      </c>
      <c r="C21" s="37" t="s">
        <v>253</v>
      </c>
      <c r="D21" s="37" t="s">
        <v>41</v>
      </c>
      <c r="E21" s="37" t="s">
        <v>103</v>
      </c>
      <c r="F21" s="37" t="s">
        <v>39</v>
      </c>
      <c r="G21" s="37" t="s">
        <v>205</v>
      </c>
      <c r="H21" s="37" t="s">
        <v>37</v>
      </c>
      <c r="I21" s="37" t="s">
        <v>63</v>
      </c>
      <c r="J21" s="37" t="s">
        <v>324</v>
      </c>
      <c r="K21" s="37" t="s">
        <v>324</v>
      </c>
      <c r="L21" s="43"/>
      <c r="M21" s="37" t="s">
        <v>60</v>
      </c>
      <c r="N21" s="37" t="s">
        <v>79</v>
      </c>
      <c r="O21" s="37" t="s">
        <v>144</v>
      </c>
      <c r="P21" s="37" t="s">
        <v>117</v>
      </c>
      <c r="Q21" s="51" t="s">
        <v>314</v>
      </c>
      <c r="R21" s="37" t="s">
        <v>78</v>
      </c>
      <c r="S21" s="37" t="s">
        <v>256</v>
      </c>
      <c r="T21" s="43"/>
      <c r="U21" s="43"/>
      <c r="V21" s="43"/>
      <c r="W21" s="43"/>
      <c r="X21" s="37" t="s">
        <v>21</v>
      </c>
      <c r="Y21" s="37" t="s">
        <v>20</v>
      </c>
      <c r="Z21" s="37" t="s">
        <v>113</v>
      </c>
      <c r="AA21" s="37" t="s">
        <v>1</v>
      </c>
      <c r="AB21" s="37" t="s">
        <v>1</v>
      </c>
      <c r="AC21" s="37" t="s">
        <v>1</v>
      </c>
      <c r="AD21" s="37" t="s">
        <v>2</v>
      </c>
      <c r="AE21" s="37" t="s">
        <v>162</v>
      </c>
      <c r="AF21" s="37" t="s">
        <v>112</v>
      </c>
      <c r="AG21" s="37" t="s">
        <v>5</v>
      </c>
      <c r="AH21" s="37" t="s">
        <v>1</v>
      </c>
      <c r="AI21" s="37" t="s">
        <v>1</v>
      </c>
      <c r="AJ21" s="37" t="s">
        <v>5</v>
      </c>
      <c r="AK21" s="37" t="s">
        <v>4</v>
      </c>
      <c r="AL21" s="37" t="s">
        <v>15</v>
      </c>
      <c r="AM21" s="37" t="s">
        <v>51</v>
      </c>
      <c r="AN21" s="37" t="s">
        <v>1</v>
      </c>
      <c r="AO21" s="37" t="s">
        <v>4</v>
      </c>
      <c r="AP21" s="37" t="s">
        <v>11</v>
      </c>
      <c r="AQ21" s="37" t="s">
        <v>12</v>
      </c>
      <c r="AR21" s="37" t="s">
        <v>86</v>
      </c>
      <c r="AS21" s="37" t="s">
        <v>67</v>
      </c>
      <c r="AT21" s="37" t="s">
        <v>8</v>
      </c>
      <c r="AU21" s="37" t="s">
        <v>10</v>
      </c>
      <c r="AV21" s="37" t="s">
        <v>10</v>
      </c>
      <c r="AW21" s="37" t="s">
        <v>10</v>
      </c>
      <c r="AX21" s="37" t="s">
        <v>83</v>
      </c>
      <c r="AY21" s="37" t="s">
        <v>2</v>
      </c>
      <c r="AZ21" s="37" t="s">
        <v>4</v>
      </c>
      <c r="BA21" s="37" t="s">
        <v>1</v>
      </c>
      <c r="BB21" s="9" t="s">
        <v>7</v>
      </c>
      <c r="BC21" s="8" t="s">
        <v>4</v>
      </c>
      <c r="BD21" s="37" t="s">
        <v>4</v>
      </c>
      <c r="BE21" s="37" t="s">
        <v>4</v>
      </c>
      <c r="BF21" s="37" t="s">
        <v>4</v>
      </c>
      <c r="BG21" s="37" t="s">
        <v>5</v>
      </c>
      <c r="BH21" s="37" t="s">
        <v>50</v>
      </c>
      <c r="BI21" s="37" t="s">
        <v>4</v>
      </c>
      <c r="BJ21" s="37" t="s">
        <v>9</v>
      </c>
      <c r="BK21" s="37" t="s">
        <v>5</v>
      </c>
      <c r="BL21" s="37" t="s">
        <v>45</v>
      </c>
      <c r="BM21" s="37" t="s">
        <v>135</v>
      </c>
      <c r="BN21" s="37" t="s">
        <v>147</v>
      </c>
      <c r="BO21" s="37" t="s">
        <v>1</v>
      </c>
      <c r="BP21" s="37" t="s">
        <v>50</v>
      </c>
      <c r="BQ21" s="37" t="s">
        <v>5</v>
      </c>
      <c r="BR21" s="37" t="s">
        <v>5</v>
      </c>
      <c r="BS21" s="37" t="s">
        <v>8</v>
      </c>
      <c r="BT21" s="37" t="s">
        <v>45</v>
      </c>
      <c r="BU21" s="37" t="s">
        <v>4</v>
      </c>
      <c r="BV21" s="7" t="s">
        <v>1</v>
      </c>
      <c r="BW21" s="37" t="s">
        <v>5</v>
      </c>
      <c r="BX21" s="37" t="s">
        <v>47</v>
      </c>
      <c r="BY21" s="37" t="s">
        <v>1</v>
      </c>
      <c r="BZ21" s="37" t="s">
        <v>1</v>
      </c>
      <c r="CA21" s="37" t="s">
        <v>4</v>
      </c>
      <c r="CB21" s="37" t="s">
        <v>5</v>
      </c>
      <c r="CC21" s="37" t="s">
        <v>4</v>
      </c>
      <c r="CD21" s="37" t="s">
        <v>47</v>
      </c>
      <c r="CE21" s="37" t="s">
        <v>4</v>
      </c>
      <c r="CF21" s="37" t="s">
        <v>2</v>
      </c>
      <c r="CG21" s="37" t="s">
        <v>1</v>
      </c>
      <c r="CH21" s="37" t="s">
        <v>3</v>
      </c>
      <c r="CI21" s="37" t="s">
        <v>1</v>
      </c>
      <c r="CJ21" s="37" t="s">
        <v>4</v>
      </c>
      <c r="CK21" s="37" t="s">
        <v>1</v>
      </c>
      <c r="CL21" s="37" t="s">
        <v>4</v>
      </c>
      <c r="CM21" s="37" t="s">
        <v>48</v>
      </c>
      <c r="CN21" s="37" t="s">
        <v>1</v>
      </c>
      <c r="CO21" s="37" t="s">
        <v>7</v>
      </c>
      <c r="CP21" s="37" t="s">
        <v>1</v>
      </c>
      <c r="CQ21" s="37" t="s">
        <v>5</v>
      </c>
      <c r="CR21" s="37" t="s">
        <v>5</v>
      </c>
      <c r="CS21" s="37" t="s">
        <v>45</v>
      </c>
      <c r="CT21" s="37" t="s">
        <v>4</v>
      </c>
      <c r="CU21" s="37" t="s">
        <v>4</v>
      </c>
      <c r="CV21" s="36" t="s">
        <v>347</v>
      </c>
      <c r="CW21" t="s">
        <v>43</v>
      </c>
      <c r="CX21">
        <f>VLOOKUP(K21,Sheet2!$A$2:$B$58,2,0)</f>
        <v>0</v>
      </c>
      <c r="CY21" t="str">
        <f t="shared" si="1"/>
        <v>45562,6980172801,Colombia,&lt;35 años,Masculino,Maestría,Como empleado de una empresa,Colombia,11-20 años,10-20 años,Gerente de Arquitectura,Gerente de Arquitectura,,&gt;500 empleados.,Empresa que subcontrata (outsourcing) los servicios de otra del mismo país,Local,Nunca,Bajo,1-2 días,3-4 días,,,,,Híbrida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oficina,La Mitad por videoconferencia y la mitad presencial,Igual que cuando eran en la oficina,Mayor que cuando iba todos los días a la oficina,Menor que cuando iba todos los días a la oficina,Menor que cuando iba todos los días a la oficina,Mayor que cuando iba todos los días a la oficina,Igual que cuando iba todos los días a la oficina,No me influye,Mejoran mucho mi productividad,Menor que cuando iba todos los días a la oficina,Igual que cuando iba todos los días a la oficina,Mucho más que cuando iba todos los días a la oficina,No trabajo con personas de distintas culturas,No trabajo con personas con un horario distinto al mío,Mucho menos que cuando iba todos los días a la oficina,Más que cuando iba todos los días a la oficina,Mas que cuando iba todos los días a la oficina,Mas que cuando iba todos los días a la oficina,Mas que cuando iba todos los días a la oficina,Mucho mas que cuando iba todos los días a la oficina,Iguales que cuando iba todos los días a la oficina,Igual que cuando iba todos los días a la oficina,Menor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oficina,Mucho menores que cuando iba todos los días a la oficina,Igual que cuando iba todos los días a la oficina,No hay diferencias culturales en mi equipo,Mayor que cuando iba todos los días a la oficina,Mayores que cuando iba todos los días a la oficina,No tengo que utilizar diferentes idiomas en mi trabajo,No trabajo con personas con distintos horarios,Menor que cuando iba todos los días a la oficina,Mucho 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oficina,Menor que cuando iba todos los días a la oficina,Mayor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oficina,Igual que cuando iba todos los días a la oficina,Mucho mayor que cuando iba todos los días a la oficina,Igual que cuando iba todos los días a la oficina,Iguales que cuando iba todos los días a la oficina,Menor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oficina,Menor que cuando iba todos los días a la oficina,Mayor que cuando iba todos los días a la oficina,Mayor que cuando iba todos los días a la oficina,Mayores que cuando iba todos los días a la oficina,Igual que cuando iba todos los días a la oficina,Igual que cuando iba todos los días a la oficina,danserrano@gmail.com,301+ empleados,0</v>
      </c>
    </row>
    <row r="22" spans="1:103" ht="14.4" x14ac:dyDescent="0.3">
      <c r="A22" s="27">
        <v>45577.473563993059</v>
      </c>
      <c r="B22" s="25" t="s">
        <v>110</v>
      </c>
      <c r="C22" s="25" t="s">
        <v>253</v>
      </c>
      <c r="D22" s="25" t="s">
        <v>81</v>
      </c>
      <c r="E22" s="25" t="s">
        <v>346</v>
      </c>
      <c r="F22" s="25" t="s">
        <v>39</v>
      </c>
      <c r="G22" s="26" t="s">
        <v>110</v>
      </c>
      <c r="H22" s="25" t="s">
        <v>36</v>
      </c>
      <c r="I22" s="25" t="s">
        <v>36</v>
      </c>
      <c r="J22" s="25" t="s">
        <v>345</v>
      </c>
      <c r="K22" s="25" t="s">
        <v>344</v>
      </c>
      <c r="L22" s="25" t="s">
        <v>343</v>
      </c>
      <c r="M22" s="25" t="s">
        <v>60</v>
      </c>
      <c r="N22" s="25" t="s">
        <v>91</v>
      </c>
      <c r="O22" s="25" t="s">
        <v>30</v>
      </c>
      <c r="P22" s="25" t="s">
        <v>58</v>
      </c>
      <c r="Q22" s="51" t="s">
        <v>314</v>
      </c>
      <c r="R22" s="25" t="s">
        <v>78</v>
      </c>
      <c r="S22" s="25" t="s">
        <v>256</v>
      </c>
      <c r="T22" s="32"/>
      <c r="U22" s="25" t="s">
        <v>342</v>
      </c>
      <c r="V22" s="32"/>
      <c r="W22" s="25" t="s">
        <v>341</v>
      </c>
      <c r="X22" s="25" t="s">
        <v>21</v>
      </c>
      <c r="Y22" s="25" t="s">
        <v>20</v>
      </c>
      <c r="Z22" s="25" t="s">
        <v>113</v>
      </c>
      <c r="AA22" s="25" t="s">
        <v>1</v>
      </c>
      <c r="AB22" s="25" t="s">
        <v>1</v>
      </c>
      <c r="AC22" s="25" t="s">
        <v>1</v>
      </c>
      <c r="AD22" s="25" t="s">
        <v>2</v>
      </c>
      <c r="AE22" s="25" t="s">
        <v>75</v>
      </c>
      <c r="AF22" s="25" t="s">
        <v>54</v>
      </c>
      <c r="AG22" s="25" t="s">
        <v>5</v>
      </c>
      <c r="AH22" s="25" t="s">
        <v>5</v>
      </c>
      <c r="AI22" s="25" t="s">
        <v>4</v>
      </c>
      <c r="AJ22" s="25" t="s">
        <v>5</v>
      </c>
      <c r="AK22" s="25" t="s">
        <v>4</v>
      </c>
      <c r="AL22" s="25" t="s">
        <v>74</v>
      </c>
      <c r="AM22" s="25" t="s">
        <v>51</v>
      </c>
      <c r="AN22" s="25" t="s">
        <v>1</v>
      </c>
      <c r="AO22" s="25" t="s">
        <v>5</v>
      </c>
      <c r="AP22" s="25" t="s">
        <v>4</v>
      </c>
      <c r="AQ22" s="25" t="s">
        <v>4</v>
      </c>
      <c r="AR22" s="25" t="s">
        <v>4</v>
      </c>
      <c r="AS22" s="25" t="s">
        <v>4</v>
      </c>
      <c r="AT22" s="25" t="s">
        <v>4</v>
      </c>
      <c r="AU22" s="25" t="s">
        <v>4</v>
      </c>
      <c r="AV22" s="25" t="s">
        <v>49</v>
      </c>
      <c r="AW22" s="25" t="s">
        <v>49</v>
      </c>
      <c r="AX22" s="25" t="s">
        <v>4</v>
      </c>
      <c r="AY22" s="25" t="s">
        <v>45</v>
      </c>
      <c r="AZ22" s="25" t="s">
        <v>4</v>
      </c>
      <c r="BA22" s="25" t="s">
        <v>4</v>
      </c>
      <c r="BB22" s="16" t="s">
        <v>4</v>
      </c>
      <c r="BC22" s="15" t="s">
        <v>4</v>
      </c>
      <c r="BD22" s="25" t="s">
        <v>1</v>
      </c>
      <c r="BE22" s="25" t="s">
        <v>1</v>
      </c>
      <c r="BF22" s="25" t="s">
        <v>4</v>
      </c>
      <c r="BG22" s="25" t="s">
        <v>5</v>
      </c>
      <c r="BH22" s="25" t="s">
        <v>2</v>
      </c>
      <c r="BI22" s="25" t="s">
        <v>4</v>
      </c>
      <c r="BJ22" s="25" t="s">
        <v>2</v>
      </c>
      <c r="BK22" s="25" t="s">
        <v>1</v>
      </c>
      <c r="BL22" s="25" t="s">
        <v>45</v>
      </c>
      <c r="BM22" s="25" t="s">
        <v>2</v>
      </c>
      <c r="BN22" s="25" t="s">
        <v>4</v>
      </c>
      <c r="BO22" s="25" t="s">
        <v>1</v>
      </c>
      <c r="BP22" s="25" t="s">
        <v>50</v>
      </c>
      <c r="BQ22" s="25" t="s">
        <v>5</v>
      </c>
      <c r="BR22" s="25" t="s">
        <v>4</v>
      </c>
      <c r="BS22" s="25" t="s">
        <v>4</v>
      </c>
      <c r="BT22" s="25" t="s">
        <v>2</v>
      </c>
      <c r="BU22" s="25" t="s">
        <v>4</v>
      </c>
      <c r="BV22" s="14" t="s">
        <v>1</v>
      </c>
      <c r="BW22" s="25" t="s">
        <v>5</v>
      </c>
      <c r="BX22" s="25" t="s">
        <v>5</v>
      </c>
      <c r="BY22" s="25" t="s">
        <v>4</v>
      </c>
      <c r="BZ22" s="25" t="s">
        <v>4</v>
      </c>
      <c r="CA22" s="25" t="s">
        <v>4</v>
      </c>
      <c r="CB22" s="25" t="s">
        <v>4</v>
      </c>
      <c r="CC22" s="25" t="s">
        <v>4</v>
      </c>
      <c r="CD22" s="25" t="s">
        <v>4</v>
      </c>
      <c r="CE22" s="25" t="s">
        <v>4</v>
      </c>
      <c r="CF22" s="25" t="s">
        <v>2</v>
      </c>
      <c r="CG22" s="25" t="s">
        <v>5</v>
      </c>
      <c r="CH22" s="25" t="s">
        <v>3</v>
      </c>
      <c r="CI22" s="25" t="s">
        <v>1</v>
      </c>
      <c r="CJ22" s="25" t="s">
        <v>4</v>
      </c>
      <c r="CK22" s="25" t="s">
        <v>4</v>
      </c>
      <c r="CL22" s="25" t="s">
        <v>4</v>
      </c>
      <c r="CM22" s="25" t="s">
        <v>4</v>
      </c>
      <c r="CN22" s="25" t="s">
        <v>4</v>
      </c>
      <c r="CO22" s="25" t="s">
        <v>7</v>
      </c>
      <c r="CP22" s="25" t="s">
        <v>1</v>
      </c>
      <c r="CQ22" s="25" t="s">
        <v>3</v>
      </c>
      <c r="CR22" s="25" t="s">
        <v>7</v>
      </c>
      <c r="CS22" s="25" t="s">
        <v>2</v>
      </c>
      <c r="CT22" s="25" t="s">
        <v>4</v>
      </c>
      <c r="CU22" s="25" t="s">
        <v>5</v>
      </c>
      <c r="CV22" s="35" t="s">
        <v>340</v>
      </c>
      <c r="CW22" t="s">
        <v>43</v>
      </c>
      <c r="CX22">
        <f>VLOOKUP(K22,Sheet2!$A$2:$B$58,2,0)</f>
        <v>0</v>
      </c>
      <c r="CY22" t="str">
        <f t="shared" si="1"/>
        <v>45577,4735639931,España,&lt;35 años,Femenino,Grado y máster,Como empleado de una empresa,España,5-10 años,5-10 años,Analyst,Technical lead,Grupo Santander,&gt;500 empleados.,Empresa que desarrolla software a medida partiendo desde cero,Multinacional,Muy Frecuentemente,Bajo,1-2 días,3-4 días,,El 70%,,Parking, comida, guarderia, gimnasio, buenas instalaciones, lanzaderas de bus,Híbrida casa (más días en casa que en la oficina),Impuesta por la empresa,De acuerdo,Menor que cuando iba todos los días a la oficina,Menor que cuando iba todos los días a la oficina,Menor que cuando iba todos los días a la oficina,Iguales que cuando iba todos los días a la oficina,Casi todas por videoconferencia,Mucho menor que cuando eran en la oficina,Mayor que cuando iba todos los días a la oficina,Mayor que cuando iba todos los días a la oficina,Igual que cuando iba todos los días a la oficina,Mayor que cuando iba todos los días a la oficina,Igual que cuando iba todos los días a la oficina,Mejora mi desempeño en el trabajo,Mejoran mucho mi productividad,Menor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oficina,Menos que cuando iba todos los días a la oficina,Igual que cuando iba todos los días a la oficina,Mayores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oficina,Mucho menores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oficina,Mucho Mayor que cuando iba todos los días a la oficina,Mucho menor que cuando iba todos los días a la oficina,Iguales que cuando iba todos los días a la oficina,Igual que cuando iba todos los días a la oficina,Mayor que cuando iba todos los días a la oficina,Cris.ie91@gmail.com,301+ empleados,0</v>
      </c>
    </row>
    <row r="23" spans="1:103" ht="13.8" x14ac:dyDescent="0.3">
      <c r="A23" s="27">
        <v>45575.822055104167</v>
      </c>
      <c r="B23" s="25" t="s">
        <v>110</v>
      </c>
      <c r="C23" s="25" t="s">
        <v>253</v>
      </c>
      <c r="D23" s="25" t="s">
        <v>41</v>
      </c>
      <c r="E23" s="25" t="s">
        <v>339</v>
      </c>
      <c r="F23" s="25" t="s">
        <v>145</v>
      </c>
      <c r="G23" s="25" t="s">
        <v>110</v>
      </c>
      <c r="H23" s="25" t="s">
        <v>37</v>
      </c>
      <c r="I23" s="25" t="s">
        <v>36</v>
      </c>
      <c r="J23" s="25" t="s">
        <v>338</v>
      </c>
      <c r="K23" s="25" t="s">
        <v>338</v>
      </c>
      <c r="L23" s="25" t="s">
        <v>337</v>
      </c>
      <c r="M23" s="25" t="s">
        <v>60</v>
      </c>
      <c r="N23" s="25" t="s">
        <v>79</v>
      </c>
      <c r="O23" s="25" t="s">
        <v>30</v>
      </c>
      <c r="P23" s="25" t="s">
        <v>58</v>
      </c>
      <c r="Q23" s="51" t="s">
        <v>314</v>
      </c>
      <c r="R23" s="25" t="s">
        <v>78</v>
      </c>
      <c r="S23" s="25" t="s">
        <v>256</v>
      </c>
      <c r="T23" s="25" t="s">
        <v>336</v>
      </c>
      <c r="U23" s="26" t="s">
        <v>335</v>
      </c>
      <c r="V23" s="26" t="s">
        <v>335</v>
      </c>
      <c r="W23" s="26" t="s">
        <v>334</v>
      </c>
      <c r="X23" s="25" t="s">
        <v>152</v>
      </c>
      <c r="Y23" s="25" t="s">
        <v>105</v>
      </c>
      <c r="Z23" s="25" t="s">
        <v>87</v>
      </c>
      <c r="AA23" s="25" t="s">
        <v>1</v>
      </c>
      <c r="AB23" s="25" t="s">
        <v>1</v>
      </c>
      <c r="AC23" s="25" t="s">
        <v>1</v>
      </c>
      <c r="AD23" s="25" t="s">
        <v>76</v>
      </c>
      <c r="AE23" s="25" t="s">
        <v>75</v>
      </c>
      <c r="AF23" s="25" t="s">
        <v>112</v>
      </c>
      <c r="AG23" s="25" t="s">
        <v>5</v>
      </c>
      <c r="AH23" s="25" t="s">
        <v>5</v>
      </c>
      <c r="AI23" s="25" t="s">
        <v>4</v>
      </c>
      <c r="AJ23" s="25" t="s">
        <v>4</v>
      </c>
      <c r="AK23" s="25" t="s">
        <v>4</v>
      </c>
      <c r="AL23" s="25" t="s">
        <v>15</v>
      </c>
      <c r="AM23" s="25" t="s">
        <v>68</v>
      </c>
      <c r="AN23" s="25" t="s">
        <v>4</v>
      </c>
      <c r="AO23" s="25" t="s">
        <v>47</v>
      </c>
      <c r="AP23" s="25" t="s">
        <v>8</v>
      </c>
      <c r="AQ23" s="25" t="s">
        <v>4</v>
      </c>
      <c r="AR23" s="25" t="s">
        <v>49</v>
      </c>
      <c r="AS23" s="25" t="s">
        <v>49</v>
      </c>
      <c r="AT23" s="25" t="s">
        <v>8</v>
      </c>
      <c r="AU23" s="25" t="s">
        <v>10</v>
      </c>
      <c r="AV23" s="25" t="s">
        <v>11</v>
      </c>
      <c r="AW23" s="25" t="s">
        <v>10</v>
      </c>
      <c r="AX23" s="25" t="s">
        <v>10</v>
      </c>
      <c r="AY23" s="25" t="s">
        <v>2</v>
      </c>
      <c r="AZ23" s="25" t="s">
        <v>4</v>
      </c>
      <c r="BA23" s="25" t="s">
        <v>4</v>
      </c>
      <c r="BB23" s="16" t="s">
        <v>4</v>
      </c>
      <c r="BC23" s="15" t="s">
        <v>4</v>
      </c>
      <c r="BD23" s="25" t="s">
        <v>4</v>
      </c>
      <c r="BE23" s="25" t="s">
        <v>5</v>
      </c>
      <c r="BF23" s="25" t="s">
        <v>5</v>
      </c>
      <c r="BG23" s="25" t="s">
        <v>47</v>
      </c>
      <c r="BH23" s="25" t="s">
        <v>2</v>
      </c>
      <c r="BI23" s="25" t="s">
        <v>4</v>
      </c>
      <c r="BJ23" s="25" t="s">
        <v>2</v>
      </c>
      <c r="BK23" s="25" t="s">
        <v>4</v>
      </c>
      <c r="BL23" s="25" t="s">
        <v>45</v>
      </c>
      <c r="BM23" s="25" t="s">
        <v>2</v>
      </c>
      <c r="BN23" s="25" t="s">
        <v>4</v>
      </c>
      <c r="BO23" s="25" t="s">
        <v>1</v>
      </c>
      <c r="BP23" s="25" t="s">
        <v>6</v>
      </c>
      <c r="BQ23" s="25" t="s">
        <v>5</v>
      </c>
      <c r="BR23" s="25" t="s">
        <v>47</v>
      </c>
      <c r="BS23" s="25" t="s">
        <v>4</v>
      </c>
      <c r="BT23" s="25" t="s">
        <v>2</v>
      </c>
      <c r="BU23" s="25" t="s">
        <v>48</v>
      </c>
      <c r="BV23" s="14" t="s">
        <v>1</v>
      </c>
      <c r="BW23" s="25" t="s">
        <v>4</v>
      </c>
      <c r="BX23" s="25" t="s">
        <v>5</v>
      </c>
      <c r="BY23" s="25" t="s">
        <v>4</v>
      </c>
      <c r="BZ23" s="25" t="s">
        <v>4</v>
      </c>
      <c r="CA23" s="25" t="s">
        <v>4</v>
      </c>
      <c r="CB23" s="25" t="s">
        <v>7</v>
      </c>
      <c r="CC23" s="25" t="s">
        <v>1</v>
      </c>
      <c r="CD23" s="25" t="s">
        <v>1</v>
      </c>
      <c r="CE23" s="25" t="s">
        <v>4</v>
      </c>
      <c r="CF23" s="25" t="s">
        <v>6</v>
      </c>
      <c r="CG23" s="25" t="s">
        <v>4</v>
      </c>
      <c r="CH23" s="25" t="s">
        <v>3</v>
      </c>
      <c r="CI23" s="25" t="s">
        <v>1</v>
      </c>
      <c r="CJ23" s="25" t="s">
        <v>5</v>
      </c>
      <c r="CK23" s="25" t="s">
        <v>7</v>
      </c>
      <c r="CL23" s="25" t="s">
        <v>4</v>
      </c>
      <c r="CM23" s="25" t="s">
        <v>84</v>
      </c>
      <c r="CN23" s="25" t="s">
        <v>1</v>
      </c>
      <c r="CO23" s="25" t="s">
        <v>7</v>
      </c>
      <c r="CP23" s="25" t="s">
        <v>1</v>
      </c>
      <c r="CQ23" s="25" t="s">
        <v>4</v>
      </c>
      <c r="CR23" s="25" t="s">
        <v>5</v>
      </c>
      <c r="CS23" s="25" t="s">
        <v>45</v>
      </c>
      <c r="CT23" s="25" t="s">
        <v>7</v>
      </c>
      <c r="CU23" s="25" t="s">
        <v>7</v>
      </c>
      <c r="CV23" s="26" t="s">
        <v>333</v>
      </c>
      <c r="CW23" t="s">
        <v>43</v>
      </c>
      <c r="CX23">
        <f>VLOOKUP(K23,Sheet2!$A$2:$B$58,2,0)</f>
        <v>0</v>
      </c>
      <c r="CY23" t="str">
        <f t="shared" si="1"/>
        <v>45575,8220551042,España,&lt;35 años,Masculino,Ingeniero superior,De ambas formas,España,11-20 años,5-10 años,Director de Proyecto,Director de Proyecto,Telefónica,&gt;500 empleados.,Empresa que subcontrata (outsourcing) los servicios de otra del mismo país,Multinacional,Muy Frecuentemente,Bajo,1-2 días,3-4 días,Reuniones presenciales, situaciones especiales o problemas complejos,Las mismas,Las mismas,Las tenemos vayamos o no,Híbrida oficina (más días en la oficina que en casa),Decidida por ti,Totalmente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oficina,Mucho mayor que cuando iba todos los días a la oficina,Más que cuando iba todos los días a la oficina,Igual que cuando iba todos los días a la oficina,Menos que cuando iba todos los días a la oficina,Menos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oficina,Mucho mayor que cuando iba todos los días a la oficina,Igual que cuando iba todos los días a la oficina,Iguales que cuando iba todos los días a la oficina,Peor que cuando iba todos los días a la oficina,Menor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oficina,Menor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oficina,Mayor que cuando iba todos los días a la oficina,Mucho menor que cuando iba todos los días a la oficina,Igual que cuando iba todos los días a la oficina,Mucho peor que cuando iba todos los días a la oficina,Menor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oficina,Mucho menor que cuando iba todos los días a la oficina,Mucho menor que cuando iba todos los días a la oficina,angel.suarezbarcena@gmail.com,301+ empleados,0</v>
      </c>
    </row>
    <row r="24" spans="1:103" ht="14.4" x14ac:dyDescent="0.3">
      <c r="A24" s="27">
        <v>45566.788839826389</v>
      </c>
      <c r="B24" s="25" t="s">
        <v>110</v>
      </c>
      <c r="C24" s="25" t="s">
        <v>253</v>
      </c>
      <c r="D24" s="25" t="s">
        <v>41</v>
      </c>
      <c r="E24" s="25" t="s">
        <v>332</v>
      </c>
      <c r="F24" s="25" t="s">
        <v>39</v>
      </c>
      <c r="G24" s="25" t="s">
        <v>110</v>
      </c>
      <c r="H24" s="25" t="s">
        <v>37</v>
      </c>
      <c r="I24" s="25" t="s">
        <v>63</v>
      </c>
      <c r="J24" s="25" t="s">
        <v>331</v>
      </c>
      <c r="K24" s="25" t="s">
        <v>320</v>
      </c>
      <c r="L24" s="28"/>
      <c r="M24" s="25" t="s">
        <v>60</v>
      </c>
      <c r="N24" s="25" t="s">
        <v>91</v>
      </c>
      <c r="O24" s="25" t="s">
        <v>30</v>
      </c>
      <c r="P24" s="25" t="s">
        <v>29</v>
      </c>
      <c r="Q24" s="51" t="s">
        <v>314</v>
      </c>
      <c r="R24" s="25" t="s">
        <v>78</v>
      </c>
      <c r="S24" s="25" t="s">
        <v>256</v>
      </c>
      <c r="T24" s="28"/>
      <c r="U24" s="28"/>
      <c r="V24" s="28"/>
      <c r="W24" s="28"/>
      <c r="X24" s="25" t="s">
        <v>152</v>
      </c>
      <c r="Y24" s="25" t="s">
        <v>72</v>
      </c>
      <c r="Z24" s="25" t="s">
        <v>19</v>
      </c>
      <c r="AA24" s="25" t="s">
        <v>1</v>
      </c>
      <c r="AB24" s="25" t="s">
        <v>1</v>
      </c>
      <c r="AC24" s="25" t="s">
        <v>1</v>
      </c>
      <c r="AD24" s="25" t="s">
        <v>115</v>
      </c>
      <c r="AE24" s="25" t="s">
        <v>75</v>
      </c>
      <c r="AF24" s="25" t="s">
        <v>112</v>
      </c>
      <c r="AG24" s="25" t="s">
        <v>16</v>
      </c>
      <c r="AH24" s="25" t="s">
        <v>1</v>
      </c>
      <c r="AI24" s="25" t="s">
        <v>1</v>
      </c>
      <c r="AJ24" s="25" t="s">
        <v>5</v>
      </c>
      <c r="AK24" s="25" t="s">
        <v>5</v>
      </c>
      <c r="AL24" s="25" t="s">
        <v>15</v>
      </c>
      <c r="AM24" s="25" t="s">
        <v>14</v>
      </c>
      <c r="AN24" s="25" t="s">
        <v>1</v>
      </c>
      <c r="AO24" s="25" t="s">
        <v>1</v>
      </c>
      <c r="AP24" s="25" t="s">
        <v>11</v>
      </c>
      <c r="AQ24" s="25" t="s">
        <v>8</v>
      </c>
      <c r="AR24" s="25" t="s">
        <v>49</v>
      </c>
      <c r="AS24" s="25" t="s">
        <v>49</v>
      </c>
      <c r="AT24" s="25" t="s">
        <v>8</v>
      </c>
      <c r="AU24" s="25" t="s">
        <v>10</v>
      </c>
      <c r="AV24" s="25" t="s">
        <v>10</v>
      </c>
      <c r="AW24" s="25" t="s">
        <v>83</v>
      </c>
      <c r="AX24" s="25" t="s">
        <v>10</v>
      </c>
      <c r="AY24" s="25" t="s">
        <v>2</v>
      </c>
      <c r="AZ24" s="25" t="s">
        <v>4</v>
      </c>
      <c r="BA24" s="25" t="s">
        <v>1</v>
      </c>
      <c r="BB24" s="16" t="s">
        <v>5</v>
      </c>
      <c r="BC24" s="15" t="s">
        <v>1</v>
      </c>
      <c r="BD24" s="25" t="s">
        <v>5</v>
      </c>
      <c r="BE24" s="25" t="s">
        <v>5</v>
      </c>
      <c r="BF24" s="25" t="s">
        <v>5</v>
      </c>
      <c r="BG24" s="25" t="s">
        <v>5</v>
      </c>
      <c r="BH24" s="25" t="s">
        <v>45</v>
      </c>
      <c r="BI24" s="25" t="s">
        <v>5</v>
      </c>
      <c r="BJ24" s="25" t="s">
        <v>45</v>
      </c>
      <c r="BK24" s="25" t="s">
        <v>5</v>
      </c>
      <c r="BL24" s="25" t="s">
        <v>45</v>
      </c>
      <c r="BM24" s="25" t="s">
        <v>2</v>
      </c>
      <c r="BN24" s="25" t="s">
        <v>49</v>
      </c>
      <c r="BO24" s="25" t="s">
        <v>1</v>
      </c>
      <c r="BP24" s="25" t="s">
        <v>45</v>
      </c>
      <c r="BQ24" s="25" t="s">
        <v>1</v>
      </c>
      <c r="BR24" s="25" t="s">
        <v>47</v>
      </c>
      <c r="BS24" s="25" t="s">
        <v>8</v>
      </c>
      <c r="BT24" s="25" t="s">
        <v>45</v>
      </c>
      <c r="BU24" s="25" t="s">
        <v>46</v>
      </c>
      <c r="BV24" s="14" t="s">
        <v>4</v>
      </c>
      <c r="BW24" s="25" t="s">
        <v>4</v>
      </c>
      <c r="BX24" s="25" t="s">
        <v>5</v>
      </c>
      <c r="BY24" s="25" t="s">
        <v>1</v>
      </c>
      <c r="BZ24" s="25" t="s">
        <v>1</v>
      </c>
      <c r="CA24" s="25" t="s">
        <v>1</v>
      </c>
      <c r="CB24" s="25" t="s">
        <v>1</v>
      </c>
      <c r="CC24" s="25" t="s">
        <v>4</v>
      </c>
      <c r="CD24" s="25" t="s">
        <v>5</v>
      </c>
      <c r="CE24" s="25" t="s">
        <v>49</v>
      </c>
      <c r="CF24" s="25" t="s">
        <v>45</v>
      </c>
      <c r="CG24" s="25" t="s">
        <v>1</v>
      </c>
      <c r="CH24" s="25" t="s">
        <v>1</v>
      </c>
      <c r="CI24" s="25" t="s">
        <v>1</v>
      </c>
      <c r="CJ24" s="25" t="s">
        <v>4</v>
      </c>
      <c r="CK24" s="25" t="s">
        <v>1</v>
      </c>
      <c r="CL24" s="25" t="s">
        <v>4</v>
      </c>
      <c r="CM24" s="25" t="s">
        <v>48</v>
      </c>
      <c r="CN24" s="25" t="s">
        <v>1</v>
      </c>
      <c r="CO24" s="25" t="s">
        <v>1</v>
      </c>
      <c r="CP24" s="25" t="s">
        <v>1</v>
      </c>
      <c r="CQ24" s="25" t="s">
        <v>5</v>
      </c>
      <c r="CR24" s="25" t="s">
        <v>1</v>
      </c>
      <c r="CS24" s="25" t="s">
        <v>45</v>
      </c>
      <c r="CT24" s="25" t="s">
        <v>1</v>
      </c>
      <c r="CU24" s="25" t="s">
        <v>4</v>
      </c>
      <c r="CV24" s="28"/>
      <c r="CW24" t="s">
        <v>43</v>
      </c>
      <c r="CX24">
        <f>VLOOKUP(K24,Sheet2!$A$2:$B$58,2,0)</f>
        <v>0</v>
      </c>
      <c r="CY24" t="str">
        <f t="shared" si="1"/>
        <v>45566,7888398264,España,&lt;35 años,Masculino,Ingeniero + MBA,Como empleado de una empresa,España,11-20 años,10-20 años,Manager,Director,,&gt;500 empleados.,Empresa que desarrolla software a medida partiendo desde cero,Multinacional,Frecuentemente,Bajo,1-2 días,3-4 días,,,,,Híbrida oficina (más días en la oficina que en casa),Consensuada por las dos partes,En desacuerdo,Menor que cuando iba todos los días a la oficina,Menor que cuando iba todos los días a la oficina,Menor que cuando iba todos los días a la oficina,Diferentes que cuando iba todos los días a la oficina, ahora necesito más horas para hacer lo mismo,Casi todas por videoconferencia,Igual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influye,Mejoran mi productividad,Menor que cuando iba todos los días a la oficina,Menor que cuando iba todos los días a la oficina,Mucho más que cuando iba todos los días a la oficina,Más que cuando iba todos los días a la oficina,Menos que cuando iba todos los días a la oficina,Menos que cuando iba todos los días a la oficina,Más que cuando iba todos los días a la oficina,Mas que cuando iba todos los días a la oficina,Mas que cuando iba todos los días a la oficina,Mucho 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oficina,Mayores que cuando iba todos los días a la oficina,Menor que cuando iba todos los días a la oficina,Mucho mayor que cuando iba todos los días a la oficina,Más que cuando iba todos los días a la oficina,Mayores que cuando iba todos los días a la oficina,Mejor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oficina,Mayor que cuando iba todos los días a la oficina,Menos que cuando iba todos los días a la oficina,Mayores que cuando iba todos los días a la oficina,Menor que cuando iba todos los días a la oficina,Menor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empleados,0</v>
      </c>
    </row>
    <row r="25" spans="1:103" ht="14.4" x14ac:dyDescent="0.3">
      <c r="A25" s="27">
        <v>45560.752314502315</v>
      </c>
      <c r="B25" s="25" t="s">
        <v>110</v>
      </c>
      <c r="C25" s="25" t="s">
        <v>253</v>
      </c>
      <c r="D25" s="25" t="s">
        <v>41</v>
      </c>
      <c r="E25" s="25" t="s">
        <v>202</v>
      </c>
      <c r="F25" s="25" t="s">
        <v>39</v>
      </c>
      <c r="G25" s="25" t="s">
        <v>330</v>
      </c>
      <c r="H25" s="25" t="s">
        <v>37</v>
      </c>
      <c r="I25" s="25" t="s">
        <v>63</v>
      </c>
      <c r="J25" s="25" t="s">
        <v>329</v>
      </c>
      <c r="K25" s="25" t="s">
        <v>320</v>
      </c>
      <c r="L25" s="28"/>
      <c r="M25" s="25" t="s">
        <v>146</v>
      </c>
      <c r="N25" s="25" t="s">
        <v>31</v>
      </c>
      <c r="O25" s="25" t="s">
        <v>30</v>
      </c>
      <c r="P25" s="25" t="s">
        <v>58</v>
      </c>
      <c r="Q25" s="51" t="s">
        <v>314</v>
      </c>
      <c r="R25" s="25" t="s">
        <v>78</v>
      </c>
      <c r="S25" s="25" t="s">
        <v>256</v>
      </c>
      <c r="T25" s="32"/>
      <c r="U25" s="26" t="s">
        <v>328</v>
      </c>
      <c r="V25" s="32"/>
      <c r="W25" s="26" t="s">
        <v>327</v>
      </c>
      <c r="X25" s="25" t="s">
        <v>152</v>
      </c>
      <c r="Y25" s="25" t="s">
        <v>105</v>
      </c>
      <c r="Z25" s="25" t="s">
        <v>113</v>
      </c>
      <c r="AA25" s="25" t="s">
        <v>4</v>
      </c>
      <c r="AB25" s="25" t="s">
        <v>4</v>
      </c>
      <c r="AC25" s="25" t="s">
        <v>4</v>
      </c>
      <c r="AD25" s="25" t="s">
        <v>2</v>
      </c>
      <c r="AE25" s="25" t="s">
        <v>75</v>
      </c>
      <c r="AF25" s="25" t="s">
        <v>112</v>
      </c>
      <c r="AG25" s="25" t="s">
        <v>4</v>
      </c>
      <c r="AH25" s="25" t="s">
        <v>4</v>
      </c>
      <c r="AI25" s="25" t="s">
        <v>4</v>
      </c>
      <c r="AJ25" s="25" t="s">
        <v>1</v>
      </c>
      <c r="AK25" s="25" t="s">
        <v>1</v>
      </c>
      <c r="AL25" s="25" t="s">
        <v>74</v>
      </c>
      <c r="AM25" s="25" t="s">
        <v>68</v>
      </c>
      <c r="AN25" s="25" t="s">
        <v>5</v>
      </c>
      <c r="AO25" s="25" t="s">
        <v>4</v>
      </c>
      <c r="AP25" s="25" t="s">
        <v>8</v>
      </c>
      <c r="AQ25" s="25" t="s">
        <v>8</v>
      </c>
      <c r="AR25" s="25" t="s">
        <v>8</v>
      </c>
      <c r="AS25" s="25" t="s">
        <v>8</v>
      </c>
      <c r="AT25" s="25" t="s">
        <v>8</v>
      </c>
      <c r="AU25" s="25" t="s">
        <v>10</v>
      </c>
      <c r="AV25" s="25" t="s">
        <v>10</v>
      </c>
      <c r="AW25" s="25" t="s">
        <v>83</v>
      </c>
      <c r="AX25" s="25" t="s">
        <v>4</v>
      </c>
      <c r="AY25" s="25" t="s">
        <v>2</v>
      </c>
      <c r="AZ25" s="25" t="s">
        <v>1</v>
      </c>
      <c r="BA25" s="25" t="s">
        <v>4</v>
      </c>
      <c r="BB25" s="16" t="s">
        <v>4</v>
      </c>
      <c r="BC25" s="15" t="s">
        <v>4</v>
      </c>
      <c r="BD25" s="25" t="s">
        <v>5</v>
      </c>
      <c r="BE25" s="25" t="s">
        <v>4</v>
      </c>
      <c r="BF25" s="25" t="s">
        <v>4</v>
      </c>
      <c r="BG25" s="25" t="s">
        <v>5</v>
      </c>
      <c r="BH25" s="25" t="s">
        <v>45</v>
      </c>
      <c r="BI25" s="25" t="s">
        <v>5</v>
      </c>
      <c r="BJ25" s="25" t="s">
        <v>45</v>
      </c>
      <c r="BK25" s="25" t="s">
        <v>4</v>
      </c>
      <c r="BL25" s="25" t="s">
        <v>45</v>
      </c>
      <c r="BM25" s="25" t="s">
        <v>2</v>
      </c>
      <c r="BN25" s="25" t="s">
        <v>8</v>
      </c>
      <c r="BO25" s="25" t="s">
        <v>1</v>
      </c>
      <c r="BP25" s="25" t="s">
        <v>6</v>
      </c>
      <c r="BQ25" s="25" t="s">
        <v>4</v>
      </c>
      <c r="BR25" s="25" t="s">
        <v>5</v>
      </c>
      <c r="BS25" s="25" t="s">
        <v>8</v>
      </c>
      <c r="BT25" s="25" t="s">
        <v>2</v>
      </c>
      <c r="BU25" s="25" t="s">
        <v>4</v>
      </c>
      <c r="BV25" s="14" t="s">
        <v>4</v>
      </c>
      <c r="BW25" s="25" t="s">
        <v>4</v>
      </c>
      <c r="BX25" s="25" t="s">
        <v>5</v>
      </c>
      <c r="BY25" s="25" t="s">
        <v>4</v>
      </c>
      <c r="BZ25" s="25" t="s">
        <v>4</v>
      </c>
      <c r="CA25" s="25" t="s">
        <v>4</v>
      </c>
      <c r="CB25" s="25" t="s">
        <v>5</v>
      </c>
      <c r="CC25" s="25" t="s">
        <v>4</v>
      </c>
      <c r="CD25" s="25" t="s">
        <v>5</v>
      </c>
      <c r="CE25" s="25" t="s">
        <v>4</v>
      </c>
      <c r="CF25" s="25" t="s">
        <v>45</v>
      </c>
      <c r="CG25" s="25" t="s">
        <v>4</v>
      </c>
      <c r="CH25" s="25" t="s">
        <v>5</v>
      </c>
      <c r="CI25" s="25" t="s">
        <v>1</v>
      </c>
      <c r="CJ25" s="25" t="s">
        <v>4</v>
      </c>
      <c r="CK25" s="25" t="s">
        <v>4</v>
      </c>
      <c r="CL25" s="25" t="s">
        <v>4</v>
      </c>
      <c r="CM25" s="25" t="s">
        <v>4</v>
      </c>
      <c r="CN25" s="25" t="s">
        <v>4</v>
      </c>
      <c r="CO25" s="25" t="s">
        <v>1</v>
      </c>
      <c r="CP25" s="25" t="s">
        <v>4</v>
      </c>
      <c r="CQ25" s="25" t="s">
        <v>4</v>
      </c>
      <c r="CR25" s="25" t="s">
        <v>5</v>
      </c>
      <c r="CS25" s="25" t="s">
        <v>45</v>
      </c>
      <c r="CT25" s="25" t="s">
        <v>4</v>
      </c>
      <c r="CU25" s="25" t="s">
        <v>4</v>
      </c>
      <c r="CV25" s="26" t="s">
        <v>326</v>
      </c>
      <c r="CW25" t="s">
        <v>0</v>
      </c>
      <c r="CX25">
        <f>VLOOKUP(K25,Sheet2!$A$2:$B$58,2,0)</f>
        <v>0</v>
      </c>
      <c r="CY25" t="str">
        <f t="shared" si="1"/>
        <v>45560,7523145023,España,&lt;35 años,Masculino,Doctorado,Como empleado de una empresa,Irlanda,11-20 años,10-20 años,Principal Engineer,Director,,51-150 empleados,Fábrica de Software,Multinacional,Muy Frecuentemente,Bajo,1-2 días,3-4 días,,Cuando hay que utilizar hardware específico,,Nada específico,Híbrida oficina (más días en la oficina que en casa),Decidida por ti,De acuerdo,Igual que cuando iba todos los días a la oficina,Igual que cuando iba todos los días a la oficina,Igual que cuando iba todos los días a la oficina,Iguales que cuando iba todos los días a la oficina,Casi todas por videoconferencia,Igual que cuando eran en la oficina,Igual que cuando iba todos los días a la oficina,Igual que cuando iba todos los días a la oficina,Igual que cuando iba todos los días a la oficina,Menor que cuando iba todos los días a la oficina,Menor que cuando iba todos los días a la oficina,Mejora mi desempeño en el trabajo,No afectan a mi productividad,Mayor que cuando iba todos los días a la oficina,Igual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oficina,Mas que cuando iba todos los días a la oficina,Mucho mas que cuando iba todos los días a la oficina,Igual que cuando iba todos los días a la oficina,Iguales que cuando iba todos los días a la oficina,Menor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oficina,Igual que cuando iba todos los días a la oficina,Mayor que cuando iba todos los días a la oficina,Más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oficina,Mayor que cuando iba todos los días a la oficina,Igual que cuando iba todos los días a la oficina,Mayores que cuando iba todos los días a la oficina,Igual que cuando iba todos los días a la oficina,Mayor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oficina,Mayores que cuando iba todos los días a la oficina,Igual que cuando iba todos los días a la oficina,Igual que cuando iba todos los días a la oficina,josel.espinosa@ubotica.com,&lt;301 empleados,0</v>
      </c>
    </row>
    <row r="26" spans="1:103" ht="14.4" x14ac:dyDescent="0.3">
      <c r="A26" s="17">
        <v>45563.222731400463</v>
      </c>
      <c r="B26" s="12" t="s">
        <v>38</v>
      </c>
      <c r="C26" s="12" t="s">
        <v>253</v>
      </c>
      <c r="D26" s="12" t="s">
        <v>81</v>
      </c>
      <c r="E26" s="12" t="s">
        <v>151</v>
      </c>
      <c r="F26" s="12" t="s">
        <v>39</v>
      </c>
      <c r="G26" s="12" t="s">
        <v>153</v>
      </c>
      <c r="H26" s="12" t="s">
        <v>36</v>
      </c>
      <c r="I26" s="12" t="s">
        <v>64</v>
      </c>
      <c r="J26" s="12" t="s">
        <v>325</v>
      </c>
      <c r="K26" s="12" t="s">
        <v>324</v>
      </c>
      <c r="L26" s="10" t="s">
        <v>315</v>
      </c>
      <c r="M26" s="12" t="s">
        <v>60</v>
      </c>
      <c r="N26" s="12" t="s">
        <v>91</v>
      </c>
      <c r="O26" s="12" t="s">
        <v>160</v>
      </c>
      <c r="P26" s="12" t="s">
        <v>97</v>
      </c>
      <c r="Q26" s="51" t="s">
        <v>314</v>
      </c>
      <c r="R26" s="12" t="s">
        <v>78</v>
      </c>
      <c r="S26" s="12" t="s">
        <v>256</v>
      </c>
      <c r="T26" s="5"/>
      <c r="U26" s="5"/>
      <c r="V26" s="12" t="s">
        <v>323</v>
      </c>
      <c r="W26" s="12" t="s">
        <v>322</v>
      </c>
      <c r="X26" s="12" t="s">
        <v>152</v>
      </c>
      <c r="Y26" s="12" t="s">
        <v>72</v>
      </c>
      <c r="Z26" s="12" t="s">
        <v>87</v>
      </c>
      <c r="AA26" s="12" t="s">
        <v>1</v>
      </c>
      <c r="AB26" s="12" t="s">
        <v>1</v>
      </c>
      <c r="AC26" s="12" t="s">
        <v>1</v>
      </c>
      <c r="AD26" s="12" t="s">
        <v>115</v>
      </c>
      <c r="AE26" s="12" t="s">
        <v>317</v>
      </c>
      <c r="AF26" s="12" t="s">
        <v>54</v>
      </c>
      <c r="AG26" s="12" t="s">
        <v>5</v>
      </c>
      <c r="AH26" s="12" t="s">
        <v>1</v>
      </c>
      <c r="AI26" s="12" t="s">
        <v>7</v>
      </c>
      <c r="AJ26" s="12" t="s">
        <v>5</v>
      </c>
      <c r="AK26" s="12" t="s">
        <v>5</v>
      </c>
      <c r="AL26" s="12" t="s">
        <v>74</v>
      </c>
      <c r="AM26" s="12" t="s">
        <v>14</v>
      </c>
      <c r="AN26" s="12" t="s">
        <v>1</v>
      </c>
      <c r="AO26" s="12" t="s">
        <v>5</v>
      </c>
      <c r="AP26" s="12" t="s">
        <v>8</v>
      </c>
      <c r="AQ26" s="12" t="s">
        <v>67</v>
      </c>
      <c r="AR26" s="12" t="s">
        <v>11</v>
      </c>
      <c r="AS26" s="12" t="s">
        <v>4</v>
      </c>
      <c r="AT26" s="12" t="s">
        <v>8</v>
      </c>
      <c r="AU26" s="12" t="s">
        <v>10</v>
      </c>
      <c r="AV26" s="12" t="s">
        <v>11</v>
      </c>
      <c r="AW26" s="12" t="s">
        <v>10</v>
      </c>
      <c r="AX26" s="12" t="s">
        <v>10</v>
      </c>
      <c r="AY26" s="12" t="s">
        <v>6</v>
      </c>
      <c r="AZ26" s="12" t="s">
        <v>5</v>
      </c>
      <c r="BA26" s="12" t="s">
        <v>7</v>
      </c>
      <c r="BB26" s="16" t="s">
        <v>1</v>
      </c>
      <c r="BC26" s="15" t="s">
        <v>5</v>
      </c>
      <c r="BD26" s="12" t="s">
        <v>1</v>
      </c>
      <c r="BE26" s="12" t="s">
        <v>5</v>
      </c>
      <c r="BF26" s="12" t="s">
        <v>5</v>
      </c>
      <c r="BG26" s="12" t="s">
        <v>5</v>
      </c>
      <c r="BH26" s="12" t="s">
        <v>45</v>
      </c>
      <c r="BI26" s="12" t="s">
        <v>5</v>
      </c>
      <c r="BJ26" s="12" t="s">
        <v>9</v>
      </c>
      <c r="BK26" s="12" t="s">
        <v>47</v>
      </c>
      <c r="BL26" s="12" t="s">
        <v>85</v>
      </c>
      <c r="BM26" s="12" t="s">
        <v>135</v>
      </c>
      <c r="BN26" s="12" t="s">
        <v>8</v>
      </c>
      <c r="BO26" s="12" t="s">
        <v>5</v>
      </c>
      <c r="BP26" s="12" t="s">
        <v>50</v>
      </c>
      <c r="BQ26" s="12" t="s">
        <v>5</v>
      </c>
      <c r="BR26" s="12" t="s">
        <v>7</v>
      </c>
      <c r="BS26" s="12" t="s">
        <v>11</v>
      </c>
      <c r="BT26" s="12" t="s">
        <v>45</v>
      </c>
      <c r="BU26" s="12" t="s">
        <v>48</v>
      </c>
      <c r="BV26" s="14" t="s">
        <v>1</v>
      </c>
      <c r="BW26" s="12" t="s">
        <v>5</v>
      </c>
      <c r="BX26" s="12" t="s">
        <v>5</v>
      </c>
      <c r="BY26" s="12" t="s">
        <v>7</v>
      </c>
      <c r="BZ26" s="12" t="s">
        <v>7</v>
      </c>
      <c r="CA26" s="12" t="s">
        <v>7</v>
      </c>
      <c r="CB26" s="12" t="s">
        <v>3</v>
      </c>
      <c r="CC26" s="12" t="s">
        <v>3</v>
      </c>
      <c r="CD26" s="12" t="s">
        <v>5</v>
      </c>
      <c r="CE26" s="12" t="s">
        <v>49</v>
      </c>
      <c r="CF26" s="12" t="s">
        <v>6</v>
      </c>
      <c r="CG26" s="12" t="s">
        <v>1</v>
      </c>
      <c r="CH26" s="12" t="s">
        <v>3</v>
      </c>
      <c r="CI26" s="12" t="s">
        <v>7</v>
      </c>
      <c r="CJ26" s="12" t="s">
        <v>1</v>
      </c>
      <c r="CK26" s="12" t="s">
        <v>1</v>
      </c>
      <c r="CL26" s="12" t="s">
        <v>3</v>
      </c>
      <c r="CM26" s="12" t="s">
        <v>84</v>
      </c>
      <c r="CN26" s="12" t="s">
        <v>7</v>
      </c>
      <c r="CO26" s="12" t="s">
        <v>1</v>
      </c>
      <c r="CP26" s="12" t="s">
        <v>5</v>
      </c>
      <c r="CQ26" s="12" t="s">
        <v>1</v>
      </c>
      <c r="CR26" s="12" t="s">
        <v>5</v>
      </c>
      <c r="CS26" s="12" t="s">
        <v>45</v>
      </c>
      <c r="CT26" s="12" t="s">
        <v>7</v>
      </c>
      <c r="CU26" s="12" t="s">
        <v>4</v>
      </c>
      <c r="CV26" s="10" t="s">
        <v>321</v>
      </c>
      <c r="CW26" t="s">
        <v>43</v>
      </c>
      <c r="CX26">
        <f>VLOOKUP(K26,Sheet2!$A$2:$B$58,2,0)</f>
        <v>0</v>
      </c>
      <c r="CY26" t="str">
        <f t="shared" si="1"/>
        <v>45563,2227314005,México,&lt;35 años,Femenino,Maestría ,Como empleado de una empresa,México ,5-10 años,&lt;5 años,Coordinador business intelligence ,Gerente de Arquitectura,CAFFENIO,&gt;500 empleados.,Empresa que desarrolla software a medida partiendo desde cero,Nacional (múltiples sedes en el mismo país),A veces,Bajo,1-2 días,3-4 días,,,Para asistir a reuniones con Dirección ,Bonos semestrales, crecimiento ,Híbrida oficina (más días en la oficina que en casa),Consensuada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más horas para hacer lo mismo,La mayoría presenciales,Mucho menor que cuando eran en la oficina,Mayor que cuando iba todos los días a la oficina,Menor que cuando iba todos los días a la oficina,Mucho menor que cuando iba todos los días a la oficina,Mayor que cuando iba todos los días a la oficina,Mayor que cuando iba todos los días a la oficina,Mejora mi desempeño en el trabajo,Mejoran mi productividad,Menor que cuando iba todos los días a la oficina,Mayor que cuando iba todos los días a la oficina,Más que cuando iba todos los días a la oficina,Mucho menos que cuando iba todos los días a la oficina,Mucho más que cuando iba todos los días a la oficina,Igual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oficina,Mayores que cuando iba todos los días a la oficina,Mayor que cuando iba todos los días a la oficina,No hay diferencias culturales en mi equipo,Mucho mayor que cuando iba todos los días a la oficina,Mucho mayores que cuando iba todos los días a la oficina,No tengo que utilizar diferentes idiomas en mi trabajo,Más que cuando iba todos los días a la oficina,Mayor que cuando iba todos los días a la oficina,Mucho menores que cuando iba todos los días a la oficina,Mayor que cuando iba todos los días a la oficina,Mucho menor que cuando iba todos los días a la oficina,Mucho más que cuando iba todos los días a la oficina,Mayores que cuando iba todos los días a la oficina,Peor que cuando iba todos los días a la oficina,Menor que cuando iba todos los días a la oficina,Mayor que cuando iba todos los días a la oficina,Mayor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Mayor que cuando iba todos los días a la oficina,Mayor que cuando iba todos los días a la oficina,Menos que cuando iba todos los días a la oficina,Menores que cuando iba todos los días a la oficina,Menor que cuando iba todos los días a la oficina,Mucho Mayor que cuando iba todos los días a la oficina,Mucho menor que cuando iba todos los días a la oficina,Menor que cuando iba todos los días a la oficina,Menor que cuando iba todos los días a la oficina,Mucho Mayor que cuando iba todos los días a la oficina,Mucho peor que cuando iba todos los días a la oficina,Mucho menor que cuando iba todos los días a la oficina,Menor que cuando iba todos los días a la oficina,Mayor que cuando iba todos los días a la oficina,Menor que cuando iba todos los días a la oficina,Mayor que cuando iba todos los días a la oficina,Mayores que cuando iba todos los días a la oficina,Mucho menor que cuando iba todos los días a la oficina,Igual que cuando iba todos los días a la oficina,celiahc823@gmail.com ,301+ empleados,0</v>
      </c>
    </row>
    <row r="27" spans="1:103" ht="14.4" x14ac:dyDescent="0.3">
      <c r="A27" s="13">
        <v>45561.905338182871</v>
      </c>
      <c r="B27" s="12" t="s">
        <v>38</v>
      </c>
      <c r="C27" s="6" t="s">
        <v>253</v>
      </c>
      <c r="D27" s="6" t="s">
        <v>41</v>
      </c>
      <c r="E27" s="6" t="s">
        <v>103</v>
      </c>
      <c r="F27" s="6" t="s">
        <v>145</v>
      </c>
      <c r="G27" s="6" t="s">
        <v>38</v>
      </c>
      <c r="H27" s="6" t="s">
        <v>64</v>
      </c>
      <c r="I27" s="6" t="s">
        <v>64</v>
      </c>
      <c r="J27" s="6" t="s">
        <v>320</v>
      </c>
      <c r="K27" s="6" t="s">
        <v>320</v>
      </c>
      <c r="L27" s="5"/>
      <c r="M27" s="6" t="s">
        <v>60</v>
      </c>
      <c r="N27" s="6" t="s">
        <v>91</v>
      </c>
      <c r="O27" s="6" t="s">
        <v>160</v>
      </c>
      <c r="P27" s="6" t="s">
        <v>97</v>
      </c>
      <c r="Q27" s="51" t="s">
        <v>314</v>
      </c>
      <c r="R27" s="6" t="s">
        <v>78</v>
      </c>
      <c r="S27" s="6" t="s">
        <v>27</v>
      </c>
      <c r="T27" s="6" t="s">
        <v>319</v>
      </c>
      <c r="U27" s="10" t="s">
        <v>319</v>
      </c>
      <c r="V27" s="10" t="s">
        <v>319</v>
      </c>
      <c r="W27" s="10" t="s">
        <v>318</v>
      </c>
      <c r="X27" s="6" t="s">
        <v>152</v>
      </c>
      <c r="Y27" s="6" t="s">
        <v>20</v>
      </c>
      <c r="Z27" s="6" t="s">
        <v>19</v>
      </c>
      <c r="AA27" s="6" t="s">
        <v>4</v>
      </c>
      <c r="AB27" s="6" t="s">
        <v>5</v>
      </c>
      <c r="AC27" s="6" t="s">
        <v>4</v>
      </c>
      <c r="AD27" s="6" t="s">
        <v>2</v>
      </c>
      <c r="AE27" s="6" t="s">
        <v>317</v>
      </c>
      <c r="AF27" s="6" t="s">
        <v>17</v>
      </c>
      <c r="AG27" s="6" t="s">
        <v>4</v>
      </c>
      <c r="AH27" s="6" t="s">
        <v>7</v>
      </c>
      <c r="AI27" s="6" t="s">
        <v>1</v>
      </c>
      <c r="AJ27" s="6" t="s">
        <v>1</v>
      </c>
      <c r="AK27" s="6" t="s">
        <v>1</v>
      </c>
      <c r="AL27" s="6" t="s">
        <v>74</v>
      </c>
      <c r="AM27" s="6" t="s">
        <v>14</v>
      </c>
      <c r="AN27" s="6" t="s">
        <v>1</v>
      </c>
      <c r="AO27" s="6" t="s">
        <v>5</v>
      </c>
      <c r="AP27" s="6" t="s">
        <v>11</v>
      </c>
      <c r="AQ27" s="6" t="s">
        <v>12</v>
      </c>
      <c r="AR27" s="6" t="s">
        <v>8</v>
      </c>
      <c r="AS27" s="6" t="s">
        <v>150</v>
      </c>
      <c r="AT27" s="6" t="s">
        <v>11</v>
      </c>
      <c r="AU27" s="6" t="s">
        <v>10</v>
      </c>
      <c r="AV27" s="6" t="s">
        <v>11</v>
      </c>
      <c r="AW27" s="6" t="s">
        <v>10</v>
      </c>
      <c r="AX27" s="6" t="s">
        <v>10</v>
      </c>
      <c r="AY27" s="6" t="s">
        <v>45</v>
      </c>
      <c r="AZ27" s="6" t="s">
        <v>5</v>
      </c>
      <c r="BA27" s="6" t="s">
        <v>5</v>
      </c>
      <c r="BB27" s="9" t="s">
        <v>5</v>
      </c>
      <c r="BC27" s="8" t="s">
        <v>1</v>
      </c>
      <c r="BD27" s="6" t="s">
        <v>1</v>
      </c>
      <c r="BE27" s="6" t="s">
        <v>5</v>
      </c>
      <c r="BF27" s="6" t="s">
        <v>5</v>
      </c>
      <c r="BG27" s="6" t="s">
        <v>5</v>
      </c>
      <c r="BH27" s="6" t="s">
        <v>6</v>
      </c>
      <c r="BI27" s="6" t="s">
        <v>1</v>
      </c>
      <c r="BJ27" s="6" t="s">
        <v>9</v>
      </c>
      <c r="BK27" s="6" t="s">
        <v>5</v>
      </c>
      <c r="BL27" s="6" t="s">
        <v>85</v>
      </c>
      <c r="BM27" s="6" t="s">
        <v>135</v>
      </c>
      <c r="BN27" s="6" t="s">
        <v>4</v>
      </c>
      <c r="BO27" s="6" t="s">
        <v>1</v>
      </c>
      <c r="BP27" s="6" t="s">
        <v>45</v>
      </c>
      <c r="BQ27" s="6" t="s">
        <v>5</v>
      </c>
      <c r="BR27" s="6" t="s">
        <v>5</v>
      </c>
      <c r="BS27" s="6" t="s">
        <v>11</v>
      </c>
      <c r="BT27" s="6" t="s">
        <v>45</v>
      </c>
      <c r="BU27" s="6" t="s">
        <v>48</v>
      </c>
      <c r="BV27" s="7" t="s">
        <v>1</v>
      </c>
      <c r="BW27" s="6" t="s">
        <v>1</v>
      </c>
      <c r="BX27" s="6" t="s">
        <v>5</v>
      </c>
      <c r="BY27" s="6" t="s">
        <v>1</v>
      </c>
      <c r="BZ27" s="6" t="s">
        <v>1</v>
      </c>
      <c r="CA27" s="6" t="s">
        <v>4</v>
      </c>
      <c r="CB27" s="6" t="s">
        <v>1</v>
      </c>
      <c r="CC27" s="6" t="s">
        <v>1</v>
      </c>
      <c r="CD27" s="6" t="s">
        <v>4</v>
      </c>
      <c r="CE27" s="6" t="s">
        <v>49</v>
      </c>
      <c r="CF27" s="6" t="s">
        <v>6</v>
      </c>
      <c r="CG27" s="6" t="s">
        <v>4</v>
      </c>
      <c r="CH27" s="6" t="s">
        <v>1</v>
      </c>
      <c r="CI27" s="6" t="s">
        <v>1</v>
      </c>
      <c r="CJ27" s="6" t="s">
        <v>1</v>
      </c>
      <c r="CK27" s="6" t="s">
        <v>1</v>
      </c>
      <c r="CL27" s="6" t="s">
        <v>4</v>
      </c>
      <c r="CM27" s="6" t="s">
        <v>48</v>
      </c>
      <c r="CN27" s="6" t="s">
        <v>1</v>
      </c>
      <c r="CO27" s="6" t="s">
        <v>1</v>
      </c>
      <c r="CP27" s="6" t="s">
        <v>1</v>
      </c>
      <c r="CQ27" s="6" t="s">
        <v>5</v>
      </c>
      <c r="CR27" s="6" t="s">
        <v>1</v>
      </c>
      <c r="CS27" s="6" t="s">
        <v>45</v>
      </c>
      <c r="CT27" s="6" t="s">
        <v>1</v>
      </c>
      <c r="CU27" s="6" t="s">
        <v>5</v>
      </c>
      <c r="CV27" s="10" t="s">
        <v>316</v>
      </c>
      <c r="CW27" t="s">
        <v>43</v>
      </c>
      <c r="CX27">
        <f>VLOOKUP(K27,Sheet2!$A$2:$B$58,2,0)</f>
        <v>0</v>
      </c>
      <c r="CY27" t="str">
        <f t="shared" si="1"/>
        <v>45561,9053381829,México,&lt;35 años,Masculino,Maestría,De ambas formas,México,&lt;5 años,&lt;5 años,Director,Director,,&gt;500 empleados.,Empresa que desarrolla software a medida partiendo desde cero,Nacional (múltiples sedes en el mismo país),A veces,Bajo,1-2 días,4-5 días,Asuntos urgentes,Asuntos urgentes,Asuntos urgentes,Parking, alimentacion,Híbrida oficina (más días en la oficina que en casa),Impuesta por la empresa,En desacuerdo,Igual que cuando iba todos los días a la oficina,Mayor que cuando iba todos los días a la oficina,Igual que cuando iba todos los días a la oficina,Iguales que cuando iba todos los días a la oficina,La mayoría presenciales,Mayor que cuando eran en la oficina,Igual que cuando iba todos los días a la oficina,Mucho menor que cuando iba todos los días a la oficina,Menor que cuando iba todos los días a la oficina,Menor que cuando iba todos los días a la oficina,Menor que cuando iba todos los días a la oficina,Mejora mi desempeño en el trabajo,Mejoran mi productividad,Menor que cuando iba todos los días a la oficina,Mayor que cuando iba todos los días a la oficina,Mucho más que cuando iba todos los días a la oficina,No trabajo con personas de distintas culturas,Más que cuando iba todos los días a la oficina,No trabajo  con personas que se encuentran geográficamente distribuidas,Mucho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oficina,Mayor que cuando iba todos los días a la oficina,Mayor que cuando iba todos los días a la oficina,Mayor que cuando iba todos los días a la oficina,Menores que cuando iba todos los días a la oficina,Menor que cuando iba todos los días a la oficina,No hay diferencias culturales en mi equipo,Mayor que cuando iba todos los días a la oficina,Mucho mayores que cuando iba todos los días a la oficina,No tengo que utilizar diferentes idiomas en mi trabajo,Igual que cuando iba todos los días a la oficina,Menor que cuando iba todos los días a la oficina,Mayores que cuando iba todos los días a la oficina,Mayor que cuando iba todos los días a la oficina,Mayor que cuando iba todos los días a la oficina,Mucho más que cuando iba todos los días a la oficina,Mayores que cuando iba todos los días a la oficina,Peor que cuando iba todos los días a la oficina,Menor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oficina,Menos que cuando iba todos los días a la oficina,Menores que cuando iba todos los días a la oficina,Igual que cuando iba todos los días a la oficina,Menor que cuando iba todos los días a la oficina,Menor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oficina,Menor que cuando iba todos los días a la oficina,Mayores que cuando iba todos los días a la oficina,Menor que cuando iba todos los días a la oficina,Mayor que cuando iba todos los días a la oficina,victor.ibarra.encinas@gmail.com,301+ empleados,0</v>
      </c>
    </row>
    <row r="28" spans="1:103" ht="14.4" x14ac:dyDescent="0.3">
      <c r="A28" s="42">
        <v>45572.980098425927</v>
      </c>
      <c r="B28" s="39" t="s">
        <v>205</v>
      </c>
      <c r="C28" s="39" t="s">
        <v>253</v>
      </c>
      <c r="D28" s="39" t="s">
        <v>41</v>
      </c>
      <c r="E28" s="39" t="s">
        <v>173</v>
      </c>
      <c r="F28" s="39" t="s">
        <v>39</v>
      </c>
      <c r="G28" s="39" t="s">
        <v>239</v>
      </c>
      <c r="H28" s="39" t="s">
        <v>37</v>
      </c>
      <c r="I28" s="39" t="s">
        <v>63</v>
      </c>
      <c r="J28" s="39" t="s">
        <v>203</v>
      </c>
      <c r="K28" s="39" t="s">
        <v>313</v>
      </c>
      <c r="L28" s="41"/>
      <c r="M28" s="39" t="s">
        <v>60</v>
      </c>
      <c r="N28" s="39" t="s">
        <v>79</v>
      </c>
      <c r="O28" s="39" t="s">
        <v>30</v>
      </c>
      <c r="P28" s="39" t="s">
        <v>97</v>
      </c>
      <c r="Q28" s="11" t="s">
        <v>28</v>
      </c>
      <c r="R28" s="39" t="s">
        <v>256</v>
      </c>
      <c r="S28" s="39" t="s">
        <v>78</v>
      </c>
      <c r="T28" s="39" t="s">
        <v>311</v>
      </c>
      <c r="U28" s="39" t="s">
        <v>312</v>
      </c>
      <c r="V28" s="39" t="s">
        <v>311</v>
      </c>
      <c r="W28" s="39" t="s">
        <v>116</v>
      </c>
      <c r="X28" s="39" t="s">
        <v>73</v>
      </c>
      <c r="Y28" s="39" t="s">
        <v>20</v>
      </c>
      <c r="Z28" s="39" t="s">
        <v>71</v>
      </c>
      <c r="AA28" s="39" t="s">
        <v>47</v>
      </c>
      <c r="AB28" s="39" t="s">
        <v>5</v>
      </c>
      <c r="AC28" s="39" t="s">
        <v>5</v>
      </c>
      <c r="AD28" s="39" t="s">
        <v>55</v>
      </c>
      <c r="AE28" s="39" t="s">
        <v>75</v>
      </c>
      <c r="AF28" s="39" t="s">
        <v>54</v>
      </c>
      <c r="AG28" s="39" t="s">
        <v>5</v>
      </c>
      <c r="AH28" s="39" t="s">
        <v>3</v>
      </c>
      <c r="AI28" s="39" t="s">
        <v>3</v>
      </c>
      <c r="AJ28" s="39" t="s">
        <v>5</v>
      </c>
      <c r="AK28" s="39" t="s">
        <v>53</v>
      </c>
      <c r="AL28" s="39" t="s">
        <v>74</v>
      </c>
      <c r="AM28" s="39" t="s">
        <v>14</v>
      </c>
      <c r="AN28" s="39" t="s">
        <v>5</v>
      </c>
      <c r="AO28" s="39" t="s">
        <v>4</v>
      </c>
      <c r="AP28" s="39" t="s">
        <v>4</v>
      </c>
      <c r="AQ28" s="39" t="s">
        <v>67</v>
      </c>
      <c r="AR28" s="39" t="s">
        <v>4</v>
      </c>
      <c r="AS28" s="39" t="s">
        <v>49</v>
      </c>
      <c r="AT28" s="39" t="s">
        <v>49</v>
      </c>
      <c r="AU28" s="39" t="s">
        <v>67</v>
      </c>
      <c r="AV28" s="39" t="s">
        <v>10</v>
      </c>
      <c r="AW28" s="39" t="s">
        <v>4</v>
      </c>
      <c r="AX28" s="39" t="s">
        <v>4</v>
      </c>
      <c r="AY28" s="39" t="s">
        <v>82</v>
      </c>
      <c r="AZ28" s="39" t="s">
        <v>3</v>
      </c>
      <c r="BA28" s="39" t="s">
        <v>5</v>
      </c>
      <c r="BB28" s="16" t="s">
        <v>1</v>
      </c>
      <c r="BC28" s="15" t="s">
        <v>5</v>
      </c>
      <c r="BD28" s="39" t="s">
        <v>1</v>
      </c>
      <c r="BE28" s="39" t="s">
        <v>1</v>
      </c>
      <c r="BF28" s="39" t="s">
        <v>4</v>
      </c>
      <c r="BG28" s="39" t="s">
        <v>47</v>
      </c>
      <c r="BH28" s="39" t="s">
        <v>6</v>
      </c>
      <c r="BI28" s="39" t="s">
        <v>47</v>
      </c>
      <c r="BJ28" s="39" t="s">
        <v>6</v>
      </c>
      <c r="BK28" s="39" t="s">
        <v>47</v>
      </c>
      <c r="BL28" s="39" t="s">
        <v>6</v>
      </c>
      <c r="BM28" s="39" t="s">
        <v>50</v>
      </c>
      <c r="BN28" s="39" t="s">
        <v>67</v>
      </c>
      <c r="BO28" s="39" t="s">
        <v>1</v>
      </c>
      <c r="BP28" s="39" t="s">
        <v>6</v>
      </c>
      <c r="BQ28" s="39" t="s">
        <v>5</v>
      </c>
      <c r="BR28" s="39" t="s">
        <v>4</v>
      </c>
      <c r="BS28" s="39" t="s">
        <v>4</v>
      </c>
      <c r="BT28" s="39" t="s">
        <v>6</v>
      </c>
      <c r="BU28" s="39" t="s">
        <v>46</v>
      </c>
      <c r="BV28" s="14" t="s">
        <v>5</v>
      </c>
      <c r="BW28" s="39" t="s">
        <v>5</v>
      </c>
      <c r="BX28" s="39" t="s">
        <v>47</v>
      </c>
      <c r="BY28" s="39" t="s">
        <v>3</v>
      </c>
      <c r="BZ28" s="39" t="s">
        <v>3</v>
      </c>
      <c r="CA28" s="39" t="s">
        <v>3</v>
      </c>
      <c r="CB28" s="39" t="s">
        <v>5</v>
      </c>
      <c r="CC28" s="39" t="s">
        <v>1</v>
      </c>
      <c r="CD28" s="39" t="s">
        <v>1</v>
      </c>
      <c r="CE28" s="39" t="s">
        <v>10</v>
      </c>
      <c r="CF28" s="39" t="s">
        <v>45</v>
      </c>
      <c r="CG28" s="39" t="s">
        <v>5</v>
      </c>
      <c r="CH28" s="39" t="s">
        <v>3</v>
      </c>
      <c r="CI28" s="39" t="s">
        <v>5</v>
      </c>
      <c r="CJ28" s="39" t="s">
        <v>1</v>
      </c>
      <c r="CK28" s="39" t="s">
        <v>5</v>
      </c>
      <c r="CL28" s="39" t="s">
        <v>1</v>
      </c>
      <c r="CM28" s="39" t="s">
        <v>53</v>
      </c>
      <c r="CN28" s="39" t="s">
        <v>5</v>
      </c>
      <c r="CO28" s="39" t="s">
        <v>5</v>
      </c>
      <c r="CP28" s="39" t="s">
        <v>5</v>
      </c>
      <c r="CQ28" s="39" t="s">
        <v>5</v>
      </c>
      <c r="CR28" s="39" t="s">
        <v>4</v>
      </c>
      <c r="CS28" s="39" t="s">
        <v>6</v>
      </c>
      <c r="CT28" s="39" t="s">
        <v>5</v>
      </c>
      <c r="CU28" s="39" t="s">
        <v>5</v>
      </c>
      <c r="CV28" s="46" t="s">
        <v>310</v>
      </c>
      <c r="CW28" t="s">
        <v>43</v>
      </c>
      <c r="CX28">
        <f>VLOOKUP(K28,Sheet2!$A$2:$B$58,2,0)</f>
        <v>0</v>
      </c>
      <c r="CY28" t="str">
        <f t="shared" si="1"/>
        <v>45572,9800984259,Colombia,&lt;35 años,Masculino,Postgrado,Como empleado de una empresa,Bogota,11-20 años,10-20 años,Analista,Líder técnico,,&gt;500 empleados.,Empresa que subcontrata (outsourcing) los servicios de otra del mismo país,Multinacional,A veces,Alto,3-4 días,1-2 días,Eventos,Por obligación,Eventos,Ninguna,Remota ( todos los días en casa),Impuesta por la empresa,Totalmente de acuerdo,Mucho mayor que cuando iba todos los días a la oficina,Mayor que cuando iba todos los días a la oficina,Mayor que cuando iba todos los días a la oficina,Muy diferentes que cuando iba todos los días a la oficina, ahora necesito muchas menos horas para hacer lo mismo,Casi todas por videoconferencia,Mucho menor que cuando eran en la oficina,Mayor que cuando iba todos los días a la oficina,Mucho Mayor que cuando iba todos los días a la oficina,Mucho Mayor que cuando iba todos los días a la oficina,Mayor que cuando iba todos los días a la oficina,Mucho Mejor que cuando iba todos los días a la oficina,Mejora mi desempeño en el trabajo,Mejoran mi productividad,Mayor que cuando iba todos los días a la oficina,Igual que cuando iba todos los días a la oficina,Igual que cuando iba todos los días a la oficina,Mucho menos que cuando iba todos los días a la oficina,Igual que cuando iba todos los días a la oficina,Menos que cuando iba todos los días a la oficina,Menos que cuando iba todos los días a la oficina,Mucho menos que cuando iba todos los días a la oficina,Mas que cuando iba todos los días a la oficina,Igual que cuando iba todos los días a la oficina,Igual que cuando iba todos los días a la oficina,Mucho Mayores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oficina,Mucho mayor que cuando iba todos los días a la oficina,Menores que cuando iba todos los días a la oficina,Mucho mayor que cuando iba todos los días a la oficina,Menores que cuando iba todos los días a la oficina,Mucho mayor que cuando iba todos los días a la oficina,Menores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oficina,Igual que cuando iba todos los días a la oficina,Igual que cuando iba todos los días a la oficina,Menores que cuando iba todos los días a la oficina,Mejor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oficina,Menor que cuando iba todos los días a la oficina,Mas que cuando iba todos los días a la oficina,Mayores que cuando iba todos los días a la oficina,Mayor que cuando iba todos los días a la oficina,Mucho Mayor que cuando iba todos los días a la oficina,Mayor que cuando iba todos los días a la oficina,Menor que cuando iba todos los días a la oficina,Mayor que cuando iba todos los días a la oficina,Menor que cuando iba todos los días a la oficina,Mucho Mejor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oficina,Menores que cuando iba todos los días a la oficina,Mayor que cuando iba todos los días a la oficina,Mayor que cuando iba todos los días a la oficina,pentacool+andes@gmail.com,301+ empleados,0</v>
      </c>
    </row>
    <row r="29" spans="1:103" ht="14.4" x14ac:dyDescent="0.3">
      <c r="A29" s="42">
        <v>45586.745180763886</v>
      </c>
      <c r="B29" s="39" t="s">
        <v>205</v>
      </c>
      <c r="C29" s="39" t="s">
        <v>253</v>
      </c>
      <c r="D29" s="39" t="s">
        <v>81</v>
      </c>
      <c r="E29" s="39" t="s">
        <v>309</v>
      </c>
      <c r="F29" s="39" t="s">
        <v>39</v>
      </c>
      <c r="G29" s="39" t="s">
        <v>205</v>
      </c>
      <c r="H29" s="39" t="s">
        <v>37</v>
      </c>
      <c r="I29" s="39" t="s">
        <v>63</v>
      </c>
      <c r="J29" s="39" t="s">
        <v>308</v>
      </c>
      <c r="K29" s="39" t="s">
        <v>307</v>
      </c>
      <c r="L29" s="38"/>
      <c r="M29" s="39" t="s">
        <v>60</v>
      </c>
      <c r="N29" s="39" t="s">
        <v>79</v>
      </c>
      <c r="O29" s="39" t="s">
        <v>144</v>
      </c>
      <c r="P29" s="39" t="s">
        <v>29</v>
      </c>
      <c r="Q29" s="11" t="s">
        <v>28</v>
      </c>
      <c r="R29" s="39" t="s">
        <v>256</v>
      </c>
      <c r="S29" s="39" t="s">
        <v>78</v>
      </c>
      <c r="T29" s="36" t="s">
        <v>306</v>
      </c>
      <c r="U29" s="41"/>
      <c r="V29" s="36" t="s">
        <v>305</v>
      </c>
      <c r="W29" s="36" t="s">
        <v>159</v>
      </c>
      <c r="X29" s="39" t="s">
        <v>21</v>
      </c>
      <c r="Y29" s="39" t="s">
        <v>20</v>
      </c>
      <c r="Z29" s="39" t="s">
        <v>87</v>
      </c>
      <c r="AA29" s="39" t="s">
        <v>4</v>
      </c>
      <c r="AB29" s="39" t="s">
        <v>1</v>
      </c>
      <c r="AC29" s="39" t="s">
        <v>4</v>
      </c>
      <c r="AD29" s="39" t="s">
        <v>76</v>
      </c>
      <c r="AE29" s="39" t="s">
        <v>162</v>
      </c>
      <c r="AF29" s="39" t="s">
        <v>17</v>
      </c>
      <c r="AG29" s="39" t="s">
        <v>16</v>
      </c>
      <c r="AH29" s="39" t="s">
        <v>1</v>
      </c>
      <c r="AI29" s="39" t="s">
        <v>1</v>
      </c>
      <c r="AJ29" s="39" t="s">
        <v>5</v>
      </c>
      <c r="AK29" s="39" t="s">
        <v>5</v>
      </c>
      <c r="AL29" s="39" t="s">
        <v>15</v>
      </c>
      <c r="AM29" s="39" t="s">
        <v>158</v>
      </c>
      <c r="AN29" s="39" t="s">
        <v>1</v>
      </c>
      <c r="AO29" s="39" t="s">
        <v>4</v>
      </c>
      <c r="AP29" s="39" t="s">
        <v>11</v>
      </c>
      <c r="AQ29" s="39" t="s">
        <v>4</v>
      </c>
      <c r="AR29" s="39" t="s">
        <v>8</v>
      </c>
      <c r="AS29" s="39" t="s">
        <v>8</v>
      </c>
      <c r="AT29" s="39" t="s">
        <v>4</v>
      </c>
      <c r="AU29" s="39" t="s">
        <v>4</v>
      </c>
      <c r="AV29" s="39" t="s">
        <v>10</v>
      </c>
      <c r="AW29" s="39" t="s">
        <v>10</v>
      </c>
      <c r="AX29" s="39" t="s">
        <v>4</v>
      </c>
      <c r="AY29" s="39" t="s">
        <v>2</v>
      </c>
      <c r="AZ29" s="39" t="s">
        <v>5</v>
      </c>
      <c r="BA29" s="39" t="s">
        <v>5</v>
      </c>
      <c r="BB29" s="16" t="s">
        <v>5</v>
      </c>
      <c r="BC29" s="15" t="s">
        <v>4</v>
      </c>
      <c r="BD29" s="39" t="s">
        <v>5</v>
      </c>
      <c r="BE29" s="39" t="s">
        <v>5</v>
      </c>
      <c r="BF29" s="39" t="s">
        <v>4</v>
      </c>
      <c r="BG29" s="39" t="s">
        <v>5</v>
      </c>
      <c r="BH29" s="39" t="s">
        <v>45</v>
      </c>
      <c r="BI29" s="39" t="s">
        <v>1</v>
      </c>
      <c r="BJ29" s="39" t="s">
        <v>2</v>
      </c>
      <c r="BK29" s="39" t="s">
        <v>5</v>
      </c>
      <c r="BL29" s="39" t="s">
        <v>45</v>
      </c>
      <c r="BM29" s="39" t="s">
        <v>2</v>
      </c>
      <c r="BN29" s="39" t="s">
        <v>4</v>
      </c>
      <c r="BO29" s="39" t="s">
        <v>5</v>
      </c>
      <c r="BP29" s="39" t="s">
        <v>2</v>
      </c>
      <c r="BQ29" s="39" t="s">
        <v>5</v>
      </c>
      <c r="BR29" s="39" t="s">
        <v>5</v>
      </c>
      <c r="BS29" s="39" t="s">
        <v>8</v>
      </c>
      <c r="BT29" s="39" t="s">
        <v>45</v>
      </c>
      <c r="BU29" s="39" t="s">
        <v>48</v>
      </c>
      <c r="BV29" s="14" t="s">
        <v>4</v>
      </c>
      <c r="BW29" s="39" t="s">
        <v>5</v>
      </c>
      <c r="BX29" s="39" t="s">
        <v>5</v>
      </c>
      <c r="BY29" s="39" t="s">
        <v>4</v>
      </c>
      <c r="BZ29" s="39" t="s">
        <v>4</v>
      </c>
      <c r="CA29" s="39" t="s">
        <v>4</v>
      </c>
      <c r="CB29" s="39" t="s">
        <v>4</v>
      </c>
      <c r="CC29" s="39" t="s">
        <v>4</v>
      </c>
      <c r="CD29" s="39" t="s">
        <v>5</v>
      </c>
      <c r="CE29" s="39" t="s">
        <v>4</v>
      </c>
      <c r="CF29" s="39" t="s">
        <v>6</v>
      </c>
      <c r="CG29" s="39" t="s">
        <v>1</v>
      </c>
      <c r="CH29" s="39" t="s">
        <v>1</v>
      </c>
      <c r="CI29" s="39" t="s">
        <v>4</v>
      </c>
      <c r="CJ29" s="39" t="s">
        <v>4</v>
      </c>
      <c r="CK29" s="39" t="s">
        <v>5</v>
      </c>
      <c r="CL29" s="39" t="s">
        <v>4</v>
      </c>
      <c r="CM29" s="39" t="s">
        <v>4</v>
      </c>
      <c r="CN29" s="39" t="s">
        <v>4</v>
      </c>
      <c r="CO29" s="39" t="s">
        <v>1</v>
      </c>
      <c r="CP29" s="39" t="s">
        <v>1</v>
      </c>
      <c r="CQ29" s="39" t="s">
        <v>5</v>
      </c>
      <c r="CR29" s="39" t="s">
        <v>5</v>
      </c>
      <c r="CS29" s="39" t="s">
        <v>2</v>
      </c>
      <c r="CT29" s="39" t="s">
        <v>4</v>
      </c>
      <c r="CU29" s="39" t="s">
        <v>1</v>
      </c>
      <c r="CV29" s="38"/>
      <c r="CW29" t="s">
        <v>43</v>
      </c>
      <c r="CX29">
        <f>VLOOKUP(K29,Sheet2!$A$2:$B$58,2,0)</f>
        <v>0</v>
      </c>
      <c r="CY29" t="str">
        <f t="shared" si="1"/>
        <v>45586,7451807639,Colombia,&lt;35 años,Femenino,Especialización,Como empleado de una empresa,Colombia,11-20 años,10-20 años,Consultor HCM,Project Manager,,&gt;500 empleados.,Empresa que subcontrata (outsourcing) los servicios de otra del mismo país,Local,Frecuentemente,Alto,3-4 días,1-2 días,Reuniones, eventos.,,Comités Directivos, Reuniones de alto impacto,ninguno,Híbrida casa (más días en casa que en la oficina),Impuesta por la empresa,Totalmente en desacuerdo,Igual que cuando iba todos los días a la oficina,Menor que cuando iba todos los días a la oficina,Igual que cuando iba todos los días a la oficina,Diferentes que cuando iba todos los días a la oficina, ahora necesito menos horas para hacer lo mismo,La Mitad por videoconferencia y la mitad presencial,Mayor que cuando eran en la oficina,Menor cuando iba todos los días a la oficina,Menor que cuando iba todos los días a la oficina,Menor que cuando iba todos los días a la oficina,Mayor que cuando iba todos los días a la oficina,Mayor que cuando iba todos los días a la oficina,No me influye,Disminuyen mi productividad,Menor que cuando iba todos los días a la oficina,Igual que cuando iba todos los días a la oficina,Mucho 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oficina,Menor que cuando iba todos los días a la oficina,Iguales que cuando iba todos los días a la oficina,Mayor que cuando iba todos los días a la oficina,Mayores que cuando iba todos los días a la oficina,Iguales que cuando iba todos los días a la oficina,Igual que cuando iba todos los días a la oficina,Mayor que cuando iba todos los días a la oficina,Iguales que cuando iba todos los días a la oficina,Mayor que cuando iba todos los días a la oficina,Mayor que cuando iba todos los días a la oficina,Más que cuando iba todos los días a la oficina,Mayores que cuando iba todos los días a la oficina,Peor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oficina,Menor que cuando iba todos los días a la oficina,Menor que cuando iba todos los días a la oficina,Mayor que cuando iba todos los días a la oficina,Mayor que cuando iba todos los días a la oficina,Iguales que cuando iba todos los días a la oficina,Igual que cuando iba todos los días a la oficina,Menor que cuando iba todos los días a la oficina,,301+ empleados,0</v>
      </c>
    </row>
    <row r="30" spans="1:103" ht="13.8" x14ac:dyDescent="0.3">
      <c r="A30" s="40">
        <v>45573.714777685185</v>
      </c>
      <c r="B30" s="39" t="s">
        <v>205</v>
      </c>
      <c r="C30" s="37" t="s">
        <v>253</v>
      </c>
      <c r="D30" s="37" t="s">
        <v>41</v>
      </c>
      <c r="E30" s="37" t="s">
        <v>103</v>
      </c>
      <c r="F30" s="37" t="s">
        <v>39</v>
      </c>
      <c r="G30" s="37" t="s">
        <v>110</v>
      </c>
      <c r="H30" s="37" t="s">
        <v>36</v>
      </c>
      <c r="I30" s="37" t="s">
        <v>64</v>
      </c>
      <c r="J30" s="37" t="s">
        <v>304</v>
      </c>
      <c r="K30" s="37" t="s">
        <v>303</v>
      </c>
      <c r="L30" s="36" t="s">
        <v>302</v>
      </c>
      <c r="M30" s="37" t="s">
        <v>146</v>
      </c>
      <c r="N30" s="37" t="s">
        <v>91</v>
      </c>
      <c r="O30" s="37" t="s">
        <v>30</v>
      </c>
      <c r="P30" s="37" t="s">
        <v>97</v>
      </c>
      <c r="Q30" s="11" t="s">
        <v>28</v>
      </c>
      <c r="R30" s="37" t="s">
        <v>256</v>
      </c>
      <c r="S30" s="37" t="s">
        <v>78</v>
      </c>
      <c r="T30" s="37" t="s">
        <v>301</v>
      </c>
      <c r="U30" s="37" t="s">
        <v>300</v>
      </c>
      <c r="V30" s="37" t="s">
        <v>299</v>
      </c>
      <c r="W30" s="37" t="s">
        <v>274</v>
      </c>
      <c r="X30" s="37" t="s">
        <v>152</v>
      </c>
      <c r="Y30" s="37" t="s">
        <v>20</v>
      </c>
      <c r="Z30" s="37" t="s">
        <v>113</v>
      </c>
      <c r="AA30" s="37" t="s">
        <v>7</v>
      </c>
      <c r="AB30" s="37" t="s">
        <v>1</v>
      </c>
      <c r="AC30" s="37" t="s">
        <v>5</v>
      </c>
      <c r="AD30" s="37" t="s">
        <v>115</v>
      </c>
      <c r="AE30" s="37" t="s">
        <v>18</v>
      </c>
      <c r="AF30" s="37" t="s">
        <v>17</v>
      </c>
      <c r="AG30" s="37" t="s">
        <v>16</v>
      </c>
      <c r="AH30" s="37" t="s">
        <v>1</v>
      </c>
      <c r="AI30" s="37" t="s">
        <v>4</v>
      </c>
      <c r="AJ30" s="37" t="s">
        <v>1</v>
      </c>
      <c r="AK30" s="37" t="s">
        <v>7</v>
      </c>
      <c r="AL30" s="37" t="s">
        <v>69</v>
      </c>
      <c r="AM30" s="37" t="s">
        <v>158</v>
      </c>
      <c r="AN30" s="37" t="s">
        <v>5</v>
      </c>
      <c r="AO30" s="37" t="s">
        <v>47</v>
      </c>
      <c r="AP30" s="37" t="s">
        <v>11</v>
      </c>
      <c r="AQ30" s="37" t="s">
        <v>8</v>
      </c>
      <c r="AR30" s="37" t="s">
        <v>49</v>
      </c>
      <c r="AS30" s="37" t="s">
        <v>8</v>
      </c>
      <c r="AT30" s="37" t="s">
        <v>8</v>
      </c>
      <c r="AU30" s="37" t="s">
        <v>10</v>
      </c>
      <c r="AV30" s="37" t="s">
        <v>11</v>
      </c>
      <c r="AW30" s="37" t="s">
        <v>10</v>
      </c>
      <c r="AX30" s="37" t="s">
        <v>10</v>
      </c>
      <c r="AY30" s="37" t="s">
        <v>6</v>
      </c>
      <c r="AZ30" s="37" t="s">
        <v>5</v>
      </c>
      <c r="BA30" s="37" t="s">
        <v>4</v>
      </c>
      <c r="BB30" s="9" t="s">
        <v>3</v>
      </c>
      <c r="BC30" s="8" t="s">
        <v>4</v>
      </c>
      <c r="BD30" s="37" t="s">
        <v>5</v>
      </c>
      <c r="BE30" s="37" t="s">
        <v>5</v>
      </c>
      <c r="BF30" s="37" t="s">
        <v>4</v>
      </c>
      <c r="BG30" s="37" t="s">
        <v>5</v>
      </c>
      <c r="BH30" s="37" t="s">
        <v>45</v>
      </c>
      <c r="BI30" s="37" t="s">
        <v>5</v>
      </c>
      <c r="BJ30" s="37" t="s">
        <v>45</v>
      </c>
      <c r="BK30" s="37" t="s">
        <v>5</v>
      </c>
      <c r="BL30" s="37" t="s">
        <v>45</v>
      </c>
      <c r="BM30" s="37" t="s">
        <v>2</v>
      </c>
      <c r="BN30" s="37" t="s">
        <v>4</v>
      </c>
      <c r="BO30" s="37" t="s">
        <v>4</v>
      </c>
      <c r="BP30" s="37" t="s">
        <v>45</v>
      </c>
      <c r="BQ30" s="37" t="s">
        <v>1</v>
      </c>
      <c r="BR30" s="37" t="s">
        <v>5</v>
      </c>
      <c r="BS30" s="37" t="s">
        <v>11</v>
      </c>
      <c r="BT30" s="37" t="s">
        <v>45</v>
      </c>
      <c r="BU30" s="37" t="s">
        <v>4</v>
      </c>
      <c r="BV30" s="7" t="s">
        <v>5</v>
      </c>
      <c r="BW30" s="37" t="s">
        <v>1</v>
      </c>
      <c r="BX30" s="37" t="s">
        <v>5</v>
      </c>
      <c r="BY30" s="37" t="s">
        <v>5</v>
      </c>
      <c r="BZ30" s="37" t="s">
        <v>4</v>
      </c>
      <c r="CA30" s="37" t="s">
        <v>5</v>
      </c>
      <c r="CB30" s="37" t="s">
        <v>4</v>
      </c>
      <c r="CC30" s="37" t="s">
        <v>4</v>
      </c>
      <c r="CD30" s="37" t="s">
        <v>1</v>
      </c>
      <c r="CE30" s="37" t="s">
        <v>4</v>
      </c>
      <c r="CF30" s="37" t="s">
        <v>45</v>
      </c>
      <c r="CG30" s="37" t="s">
        <v>4</v>
      </c>
      <c r="CH30" s="37" t="s">
        <v>4</v>
      </c>
      <c r="CI30" s="37" t="s">
        <v>5</v>
      </c>
      <c r="CJ30" s="37" t="s">
        <v>5</v>
      </c>
      <c r="CK30" s="37" t="s">
        <v>5</v>
      </c>
      <c r="CL30" s="37" t="s">
        <v>3</v>
      </c>
      <c r="CM30" s="37" t="s">
        <v>46</v>
      </c>
      <c r="CN30" s="37" t="s">
        <v>1</v>
      </c>
      <c r="CO30" s="37" t="s">
        <v>4</v>
      </c>
      <c r="CP30" s="37" t="s">
        <v>4</v>
      </c>
      <c r="CQ30" s="37" t="s">
        <v>5</v>
      </c>
      <c r="CR30" s="37" t="s">
        <v>5</v>
      </c>
      <c r="CS30" s="37" t="s">
        <v>45</v>
      </c>
      <c r="CT30" s="37" t="s">
        <v>4</v>
      </c>
      <c r="CU30" s="37" t="s">
        <v>1</v>
      </c>
      <c r="CV30" s="36" t="s">
        <v>298</v>
      </c>
      <c r="CW30" t="s">
        <v>0</v>
      </c>
      <c r="CX30">
        <f>VLOOKUP(K30,Sheet2!$A$2:$B$58,2,0)</f>
        <v>0</v>
      </c>
      <c r="CY30" t="str">
        <f t="shared" si="1"/>
        <v>45573,7147776852,Colombia,&lt;35 años,Masculino,Maestría,Como empleado de una empresa,España,5-10 años,&lt;5 años,Consultor Jr,Gerente,MS,51-150 empleados,Empresa que desarrolla software a medida partiendo desde cero,Multinacional,A veces,Alto,3-4 días,1-2 días,reuniones, visitas ,evaluaciones de desempeño,visitas al cliente, reuniones de venta,no,Híbrida oficina (más días en la oficina que en casa),Impuesta por la empresa,De acuerdo,Mucho menor que cuando iba todos los días a la oficina,Menor que cuando iba todos los días a la oficina,Mayor que cuando iba todos los días a la oficina,Diferentes que cuando iba todos los días a la oficina, ahora necesito más horas para hacer lo mismo,Todas por videoconferencia,Mayor que cuando eran en la oficina,Menor cuando iba todos los días a la oficina,Menor que cuando iba todos los días a la oficina,Igual que cuando iba todos los días a la oficina,Menor que cuando iba todos los días a la oficina,Mucho menor que cuando iba todos los días a la oficina,Negativamente a la hora de desempeñar mi trabajo,Disminuyen mi productividad,Mayor que cuando iba todos los días a la oficina,Mucho mayor que cuando iba todos los días a la oficina,Mucho más que cuando iba todos los días a la oficina,Más que cuando iba todos los días a la oficina,Menos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oficina,Menores que cuando iba todos los días a la oficina,Mayor que cuando iba todos los días a la oficina,Igual que cuando iba todos los días a la oficina,Mucho Mayor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oficina,Mayores que cuando iba todos los días a la oficina,Mayor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oficina,Menor que cuando iba todos los días a la oficina,Mayor que cuando iba todos los días a la oficina,Mucho más que cuando iba todos los días a la oficina,Mayores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oficina,Mayores que cuando iba todos los días a la oficina,Igual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oficina,Mejor que cuando iba todos los días a la oficina,Menor que cuando iba todos los días a la oficina,Igual que cuando iba todos los días a la oficina,Igual que cuando iba todos los días a la oficina,Mayor que cuando iba todos los días a la oficina,Mayor que cuando iba todos los días a la oficina,Mayores que cuando iba todos los días a la oficina,Igual que cuando iba todos los días a la oficina,Menor que cuando iba todos los días a la oficina,danimorenod92@gmail.com,&lt;301 empleados,0</v>
      </c>
    </row>
    <row r="31" spans="1:103" ht="14.4" x14ac:dyDescent="0.3">
      <c r="A31" s="42">
        <v>45574.032093761576</v>
      </c>
      <c r="B31" s="39" t="s">
        <v>205</v>
      </c>
      <c r="C31" s="39" t="s">
        <v>253</v>
      </c>
      <c r="D31" s="39" t="s">
        <v>41</v>
      </c>
      <c r="E31" s="39" t="s">
        <v>103</v>
      </c>
      <c r="F31" s="39" t="s">
        <v>39</v>
      </c>
      <c r="G31" s="39" t="s">
        <v>205</v>
      </c>
      <c r="H31" s="39" t="s">
        <v>36</v>
      </c>
      <c r="I31" s="39" t="s">
        <v>63</v>
      </c>
      <c r="J31" s="39" t="s">
        <v>297</v>
      </c>
      <c r="K31" s="39" t="s">
        <v>296</v>
      </c>
      <c r="L31" s="36" t="s">
        <v>295</v>
      </c>
      <c r="M31" s="39" t="s">
        <v>60</v>
      </c>
      <c r="N31" s="39" t="s">
        <v>59</v>
      </c>
      <c r="O31" s="39" t="s">
        <v>160</v>
      </c>
      <c r="P31" s="39" t="s">
        <v>97</v>
      </c>
      <c r="Q31" s="11" t="s">
        <v>28</v>
      </c>
      <c r="R31" s="39" t="s">
        <v>256</v>
      </c>
      <c r="S31" s="39" t="s">
        <v>78</v>
      </c>
      <c r="T31" s="41"/>
      <c r="U31" s="36" t="s">
        <v>294</v>
      </c>
      <c r="V31" s="39" t="s">
        <v>293</v>
      </c>
      <c r="W31" s="39" t="s">
        <v>292</v>
      </c>
      <c r="X31" s="39" t="s">
        <v>152</v>
      </c>
      <c r="Y31" s="39" t="s">
        <v>20</v>
      </c>
      <c r="Z31" s="39" t="s">
        <v>113</v>
      </c>
      <c r="AA31" s="39" t="s">
        <v>1</v>
      </c>
      <c r="AB31" s="39" t="s">
        <v>1</v>
      </c>
      <c r="AC31" s="39" t="s">
        <v>7</v>
      </c>
      <c r="AD31" s="39" t="s">
        <v>2</v>
      </c>
      <c r="AE31" s="39" t="s">
        <v>75</v>
      </c>
      <c r="AF31" s="39" t="s">
        <v>17</v>
      </c>
      <c r="AG31" s="39" t="s">
        <v>4</v>
      </c>
      <c r="AH31" s="39" t="s">
        <v>1</v>
      </c>
      <c r="AI31" s="39" t="s">
        <v>1</v>
      </c>
      <c r="AJ31" s="39" t="s">
        <v>4</v>
      </c>
      <c r="AK31" s="39" t="s">
        <v>4</v>
      </c>
      <c r="AL31" s="39" t="s">
        <v>15</v>
      </c>
      <c r="AM31" s="39" t="s">
        <v>14</v>
      </c>
      <c r="AN31" s="39" t="s">
        <v>1</v>
      </c>
      <c r="AO31" s="39" t="s">
        <v>47</v>
      </c>
      <c r="AP31" s="39" t="s">
        <v>11</v>
      </c>
      <c r="AQ31" s="39" t="s">
        <v>4</v>
      </c>
      <c r="AR31" s="39" t="s">
        <v>4</v>
      </c>
      <c r="AS31" s="39" t="s">
        <v>4</v>
      </c>
      <c r="AT31" s="39" t="s">
        <v>11</v>
      </c>
      <c r="AU31" s="39" t="s">
        <v>10</v>
      </c>
      <c r="AV31" s="39" t="s">
        <v>11</v>
      </c>
      <c r="AW31" s="39" t="s">
        <v>10</v>
      </c>
      <c r="AX31" s="39" t="s">
        <v>10</v>
      </c>
      <c r="AY31" s="39" t="s">
        <v>45</v>
      </c>
      <c r="AZ31" s="39" t="s">
        <v>5</v>
      </c>
      <c r="BA31" s="39" t="s">
        <v>4</v>
      </c>
      <c r="BB31" s="16" t="s">
        <v>5</v>
      </c>
      <c r="BC31" s="15" t="s">
        <v>4</v>
      </c>
      <c r="BD31" s="39" t="s">
        <v>5</v>
      </c>
      <c r="BE31" s="39" t="s">
        <v>5</v>
      </c>
      <c r="BF31" s="39" t="s">
        <v>4</v>
      </c>
      <c r="BG31" s="39" t="s">
        <v>4</v>
      </c>
      <c r="BH31" s="39" t="s">
        <v>2</v>
      </c>
      <c r="BI31" s="39" t="s">
        <v>1</v>
      </c>
      <c r="BJ31" s="39" t="s">
        <v>2</v>
      </c>
      <c r="BK31" s="39" t="s">
        <v>7</v>
      </c>
      <c r="BL31" s="39" t="s">
        <v>45</v>
      </c>
      <c r="BM31" s="39" t="s">
        <v>2</v>
      </c>
      <c r="BN31" s="39" t="s">
        <v>4</v>
      </c>
      <c r="BO31" s="39" t="s">
        <v>7</v>
      </c>
      <c r="BP31" s="39" t="s">
        <v>2</v>
      </c>
      <c r="BQ31" s="39" t="s">
        <v>4</v>
      </c>
      <c r="BR31" s="39" t="s">
        <v>47</v>
      </c>
      <c r="BS31" s="39" t="s">
        <v>11</v>
      </c>
      <c r="BT31" s="39" t="s">
        <v>2</v>
      </c>
      <c r="BU31" s="39" t="s">
        <v>4</v>
      </c>
      <c r="BV31" s="14" t="s">
        <v>1</v>
      </c>
      <c r="BW31" s="39" t="s">
        <v>1</v>
      </c>
      <c r="BX31" s="39" t="s">
        <v>4</v>
      </c>
      <c r="BY31" s="39" t="s">
        <v>1</v>
      </c>
      <c r="BZ31" s="39" t="s">
        <v>1</v>
      </c>
      <c r="CA31" s="39" t="s">
        <v>4</v>
      </c>
      <c r="CB31" s="39" t="s">
        <v>4</v>
      </c>
      <c r="CC31" s="39" t="s">
        <v>1</v>
      </c>
      <c r="CD31" s="39" t="s">
        <v>1</v>
      </c>
      <c r="CE31" s="39" t="s">
        <v>4</v>
      </c>
      <c r="CF31" s="39" t="s">
        <v>2</v>
      </c>
      <c r="CG31" s="39" t="s">
        <v>4</v>
      </c>
      <c r="CH31" s="39" t="s">
        <v>1</v>
      </c>
      <c r="CI31" s="39" t="s">
        <v>1</v>
      </c>
      <c r="CJ31" s="39" t="s">
        <v>5</v>
      </c>
      <c r="CK31" s="39" t="s">
        <v>1</v>
      </c>
      <c r="CL31" s="39" t="s">
        <v>4</v>
      </c>
      <c r="CM31" s="39" t="s">
        <v>48</v>
      </c>
      <c r="CN31" s="39" t="s">
        <v>7</v>
      </c>
      <c r="CO31" s="39" t="s">
        <v>7</v>
      </c>
      <c r="CP31" s="39" t="s">
        <v>7</v>
      </c>
      <c r="CQ31" s="39" t="s">
        <v>1</v>
      </c>
      <c r="CR31" s="39" t="s">
        <v>5</v>
      </c>
      <c r="CS31" s="39" t="s">
        <v>45</v>
      </c>
      <c r="CT31" s="39" t="s">
        <v>7</v>
      </c>
      <c r="CU31" s="39" t="s">
        <v>1</v>
      </c>
      <c r="CV31" s="46" t="s">
        <v>291</v>
      </c>
      <c r="CW31" t="s">
        <v>43</v>
      </c>
      <c r="CX31">
        <f>VLOOKUP(K31,Sheet2!$A$2:$B$58,2,0)</f>
        <v>0</v>
      </c>
      <c r="CY31" t="str">
        <f t="shared" si="1"/>
        <v>45574,0320937616,Colombia,&lt;35 años,Masculino,Maestría,Como empleado de una empresa,Colombia,5-10 años,10-20 años,Director de Arquitectura e Innovación,Chief Architecture and Innovation Officer,Banrep,&gt;500 empleados.,Empresa que subcontrata (outsourcing) los servicios de otra empresa situada en otro país,Nacional (múltiples sedes en el mismo país),A veces,Alto,3-4 días,1-2 días,,Solo 1 día a la semana. Trabajo con mi equipo.,Para una reunión con la alta gerencia.,No.,Híbrida oficina (más días en la oficina que en casa),Impuesta por la empresa,De acuerdo,Menor que cuando iba todos los días a la oficina,Menor que cuando iba todos los días a la oficina,Mucho menor que cuando iba todos los días a la oficina,Iguales que cuando iba todos los días a la oficina,Casi todas por videoconferencia,Mayor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influye,Mejoran mi productividad,Menor que cuando iba todos los días a la oficina,Mucho mayor que cuando iba todos los días a la oficina,Mucho 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oficina,Iguales que cuando iba todos los días a la oficina,Menor que cuando iba todos los días a la oficina,Iguales que cuando iba todos los días a la oficina,Mucho menor que cuando iba todos los días a la oficina,Mayores que cuando iba todos los días a la oficina,Iguales que cuando iba todos los días a la oficina,Igual que cuando iba todos los días a la oficina,Mucho menor que cuando iba todos los días a la oficina,Iguales que cuando iba todos los días a la oficina,Igual que cuando iba todos los días a la oficina,Mucho mayor que cuando iba todos los días a la oficina,Mucho más que cuando iba todos los días a la oficina,Iguales que cuando iba todos los días a la oficina,Igual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oficina,Iguales que cuando iba todos los días a la oficina,Igual que cuando iba todos los días a la oficina,Menor que cuando iba todos los días a la oficina,Menor que cuando iba todos los días a la oficina,Mayor que cuando iba todos los días a la oficina,Menor que cuando iba todos los días a la oficina,Igual que cuando iba todos los días a la oficina,Peor que cuando iba todos los días a la oficina,Mucho menor que cuando iba todos los días a la oficina,Mucho menor que cuando iba todos los días a la oficina,Mucho menor que cuando iba todos los días a la oficina,Menor que cuando iba todos los días a la oficina,Mayor que cuando iba todos los días a la oficina,Mayores que cuando iba todos los días a la oficina,Mucho menor que cuando iba todos los días a la oficina,Menor que cuando iba todos los días a la oficina,irobayab@banrep.gov.co,301+ empleados,0</v>
      </c>
    </row>
    <row r="32" spans="1:103" ht="14.4" x14ac:dyDescent="0.3">
      <c r="A32" s="42">
        <v>45561.707998541664</v>
      </c>
      <c r="B32" s="39" t="s">
        <v>205</v>
      </c>
      <c r="C32" s="39" t="s">
        <v>253</v>
      </c>
      <c r="D32" s="39" t="s">
        <v>41</v>
      </c>
      <c r="E32" s="39" t="s">
        <v>250</v>
      </c>
      <c r="F32" s="39" t="s">
        <v>39</v>
      </c>
      <c r="G32" s="39" t="s">
        <v>204</v>
      </c>
      <c r="H32" s="39" t="s">
        <v>37</v>
      </c>
      <c r="I32" s="39" t="s">
        <v>36</v>
      </c>
      <c r="J32" s="39" t="s">
        <v>290</v>
      </c>
      <c r="K32" s="39" t="s">
        <v>289</v>
      </c>
      <c r="L32" s="38"/>
      <c r="M32" s="39" t="s">
        <v>60</v>
      </c>
      <c r="N32" s="39" t="s">
        <v>91</v>
      </c>
      <c r="O32" s="39" t="s">
        <v>30</v>
      </c>
      <c r="P32" s="39" t="s">
        <v>58</v>
      </c>
      <c r="Q32" s="11" t="s">
        <v>28</v>
      </c>
      <c r="R32" s="39" t="s">
        <v>256</v>
      </c>
      <c r="S32" s="39" t="s">
        <v>78</v>
      </c>
      <c r="T32" s="39" t="s">
        <v>288</v>
      </c>
      <c r="U32" s="39" t="s">
        <v>216</v>
      </c>
      <c r="V32" s="39" t="s">
        <v>287</v>
      </c>
      <c r="W32" s="39" t="s">
        <v>286</v>
      </c>
      <c r="X32" s="39" t="s">
        <v>21</v>
      </c>
      <c r="Y32" s="39" t="s">
        <v>72</v>
      </c>
      <c r="Z32" s="39" t="s">
        <v>87</v>
      </c>
      <c r="AA32" s="39" t="s">
        <v>1</v>
      </c>
      <c r="AB32" s="39" t="s">
        <v>1</v>
      </c>
      <c r="AC32" s="39" t="s">
        <v>5</v>
      </c>
      <c r="AD32" s="39" t="s">
        <v>2</v>
      </c>
      <c r="AE32" s="39" t="s">
        <v>75</v>
      </c>
      <c r="AF32" s="39" t="s">
        <v>54</v>
      </c>
      <c r="AG32" s="39" t="s">
        <v>5</v>
      </c>
      <c r="AH32" s="39" t="s">
        <v>1</v>
      </c>
      <c r="AI32" s="39" t="s">
        <v>4</v>
      </c>
      <c r="AJ32" s="39" t="s">
        <v>4</v>
      </c>
      <c r="AK32" s="39" t="s">
        <v>53</v>
      </c>
      <c r="AL32" s="39" t="s">
        <v>74</v>
      </c>
      <c r="AM32" s="39" t="s">
        <v>14</v>
      </c>
      <c r="AN32" s="39" t="s">
        <v>1</v>
      </c>
      <c r="AO32" s="39" t="s">
        <v>4</v>
      </c>
      <c r="AP32" s="39" t="s">
        <v>49</v>
      </c>
      <c r="AQ32" s="39" t="s">
        <v>4</v>
      </c>
      <c r="AR32" s="39" t="s">
        <v>4</v>
      </c>
      <c r="AS32" s="39" t="s">
        <v>4</v>
      </c>
      <c r="AT32" s="39" t="s">
        <v>4</v>
      </c>
      <c r="AU32" s="39" t="s">
        <v>10</v>
      </c>
      <c r="AV32" s="39" t="s">
        <v>10</v>
      </c>
      <c r="AW32" s="39" t="s">
        <v>10</v>
      </c>
      <c r="AX32" s="39" t="s">
        <v>4</v>
      </c>
      <c r="AY32" s="39" t="s">
        <v>2</v>
      </c>
      <c r="AZ32" s="39" t="s">
        <v>5</v>
      </c>
      <c r="BA32" s="39" t="s">
        <v>4</v>
      </c>
      <c r="BB32" s="16" t="s">
        <v>1</v>
      </c>
      <c r="BC32" s="15" t="s">
        <v>4</v>
      </c>
      <c r="BD32" s="39" t="s">
        <v>1</v>
      </c>
      <c r="BE32" s="39" t="s">
        <v>4</v>
      </c>
      <c r="BF32" s="39" t="s">
        <v>1</v>
      </c>
      <c r="BG32" s="39" t="s">
        <v>47</v>
      </c>
      <c r="BH32" s="39" t="s">
        <v>2</v>
      </c>
      <c r="BI32" s="39" t="s">
        <v>4</v>
      </c>
      <c r="BJ32" s="39" t="s">
        <v>2</v>
      </c>
      <c r="BK32" s="39" t="s">
        <v>1</v>
      </c>
      <c r="BL32" s="39" t="s">
        <v>45</v>
      </c>
      <c r="BM32" s="39" t="s">
        <v>2</v>
      </c>
      <c r="BN32" s="39" t="s">
        <v>4</v>
      </c>
      <c r="BO32" s="39" t="s">
        <v>1</v>
      </c>
      <c r="BP32" s="39" t="s">
        <v>6</v>
      </c>
      <c r="BQ32" s="39" t="s">
        <v>4</v>
      </c>
      <c r="BR32" s="39" t="s">
        <v>1</v>
      </c>
      <c r="BS32" s="39" t="s">
        <v>4</v>
      </c>
      <c r="BT32" s="39" t="s">
        <v>2</v>
      </c>
      <c r="BU32" s="39" t="s">
        <v>48</v>
      </c>
      <c r="BV32" s="14" t="s">
        <v>4</v>
      </c>
      <c r="BW32" s="39" t="s">
        <v>5</v>
      </c>
      <c r="BX32" s="39" t="s">
        <v>47</v>
      </c>
      <c r="BY32" s="39" t="s">
        <v>4</v>
      </c>
      <c r="BZ32" s="39" t="s">
        <v>4</v>
      </c>
      <c r="CA32" s="39" t="s">
        <v>4</v>
      </c>
      <c r="CB32" s="39" t="s">
        <v>3</v>
      </c>
      <c r="CC32" s="39" t="s">
        <v>4</v>
      </c>
      <c r="CD32" s="39" t="s">
        <v>5</v>
      </c>
      <c r="CE32" s="39" t="s">
        <v>4</v>
      </c>
      <c r="CF32" s="39" t="s">
        <v>6</v>
      </c>
      <c r="CG32" s="39" t="s">
        <v>1</v>
      </c>
      <c r="CH32" s="39" t="s">
        <v>5</v>
      </c>
      <c r="CI32" s="39" t="s">
        <v>4</v>
      </c>
      <c r="CJ32" s="39" t="s">
        <v>4</v>
      </c>
      <c r="CK32" s="39" t="s">
        <v>1</v>
      </c>
      <c r="CL32" s="39" t="s">
        <v>4</v>
      </c>
      <c r="CM32" s="39" t="s">
        <v>4</v>
      </c>
      <c r="CN32" s="39" t="s">
        <v>5</v>
      </c>
      <c r="CO32" s="39" t="s">
        <v>1</v>
      </c>
      <c r="CP32" s="39" t="s">
        <v>1</v>
      </c>
      <c r="CQ32" s="39" t="s">
        <v>5</v>
      </c>
      <c r="CR32" s="39" t="s">
        <v>4</v>
      </c>
      <c r="CS32" s="39" t="s">
        <v>45</v>
      </c>
      <c r="CT32" s="39" t="s">
        <v>4</v>
      </c>
      <c r="CU32" s="39" t="s">
        <v>4</v>
      </c>
      <c r="CV32" s="44"/>
      <c r="CW32" t="s">
        <v>43</v>
      </c>
      <c r="CX32">
        <f>VLOOKUP(K32,Sheet2!$A$2:$B$58,2,0)</f>
        <v>0</v>
      </c>
      <c r="CY32" t="str">
        <f t="shared" si="1"/>
        <v>45561,7079985417,Colombia,&lt;35 años,Masculino,Universitario ,Como empleado de una empresa,Colombia ,11-20 años,5-10 años,Senior software developer ,Director of technology ,,&gt;500 empleados.,Empresa que desarrolla software a medida partiendo desde cero,Multinacional,Muy Frecuentemente,Alto,3-4 días,1-2 días,Para reuniones importantes anuncios,No me obligan,Anuncios, visitas de cliente y trabajo colaborativo ,Ninguno ,Híbrida casa (más días en casa que en la oficina),Consensuada por las dos partes,Totalmente en desacuerdo,Menor que cuando iba todos los días a la oficina,Menor que cuando iba todos los días a la oficina,Mayor que cuando iba todos los días a la oficina,Iguales que cuando iba todos los días a la oficina,Casi todas por videoconferencia,Mucho menor que cuando eran en la oficina,Mayor que cuando iba todos los días a la oficina,Menor que cuando iba todos los días a la oficina,Igual que cuando iba todos los días a la oficina,Igual que cuando iba todos los días a la oficina,Mucho Mejor que cuando iba todos los días a la oficina,Mejora mi desempeño en el trabajo,Mejoran mi productividad,Menor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oficina,Igual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oficina,Menor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oficina,Igual que cuando iba todos los días a la oficina,Menor que cuando iba todos los días a la oficina,Igual que cuando iba todos los días a la oficina,Iguales que cuando iba todos los días a la oficina,Peor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oficina,Menor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oficina,Igual que cuando iba todos los días a la oficina,Igual que cuando iba todos los días a la oficina,,301+ empleados,0</v>
      </c>
    </row>
    <row r="33" spans="1:103" ht="14.4" x14ac:dyDescent="0.3">
      <c r="A33" s="27">
        <v>45577.073428634263</v>
      </c>
      <c r="B33" s="25" t="s">
        <v>110</v>
      </c>
      <c r="C33" s="25" t="s">
        <v>253</v>
      </c>
      <c r="D33" s="25" t="s">
        <v>81</v>
      </c>
      <c r="E33" s="25" t="s">
        <v>134</v>
      </c>
      <c r="F33" s="25" t="s">
        <v>39</v>
      </c>
      <c r="G33" s="25" t="s">
        <v>141</v>
      </c>
      <c r="H33" s="25" t="s">
        <v>143</v>
      </c>
      <c r="I33" s="25" t="s">
        <v>195</v>
      </c>
      <c r="J33" s="25" t="s">
        <v>283</v>
      </c>
      <c r="K33" s="25" t="s">
        <v>282</v>
      </c>
      <c r="L33" s="26" t="s">
        <v>281</v>
      </c>
      <c r="M33" s="25" t="s">
        <v>60</v>
      </c>
      <c r="N33" s="25" t="s">
        <v>91</v>
      </c>
      <c r="O33" s="25" t="s">
        <v>30</v>
      </c>
      <c r="P33" s="25" t="s">
        <v>58</v>
      </c>
      <c r="Q33" s="11" t="s">
        <v>28</v>
      </c>
      <c r="R33" s="25" t="s">
        <v>256</v>
      </c>
      <c r="S33" s="25" t="s">
        <v>256</v>
      </c>
      <c r="T33" s="28"/>
      <c r="U33" s="26" t="s">
        <v>280</v>
      </c>
      <c r="V33" s="28"/>
      <c r="W33" s="25" t="s">
        <v>197</v>
      </c>
      <c r="X33" s="25" t="s">
        <v>21</v>
      </c>
      <c r="Y33" s="25" t="s">
        <v>72</v>
      </c>
      <c r="Z33" s="25" t="s">
        <v>19</v>
      </c>
      <c r="AA33" s="25" t="s">
        <v>1</v>
      </c>
      <c r="AB33" s="25" t="s">
        <v>1</v>
      </c>
      <c r="AC33" s="25" t="s">
        <v>1</v>
      </c>
      <c r="AD33" s="25" t="s">
        <v>76</v>
      </c>
      <c r="AE33" s="25" t="s">
        <v>75</v>
      </c>
      <c r="AF33" s="25" t="s">
        <v>17</v>
      </c>
      <c r="AG33" s="25" t="s">
        <v>5</v>
      </c>
      <c r="AH33" s="25" t="s">
        <v>5</v>
      </c>
      <c r="AI33" s="25" t="s">
        <v>5</v>
      </c>
      <c r="AJ33" s="25" t="s">
        <v>5</v>
      </c>
      <c r="AK33" s="25" t="s">
        <v>53</v>
      </c>
      <c r="AL33" s="25" t="s">
        <v>74</v>
      </c>
      <c r="AM33" s="25" t="s">
        <v>14</v>
      </c>
      <c r="AN33" s="25" t="s">
        <v>5</v>
      </c>
      <c r="AO33" s="25" t="s">
        <v>5</v>
      </c>
      <c r="AP33" s="25" t="s">
        <v>49</v>
      </c>
      <c r="AQ33" s="25" t="s">
        <v>4</v>
      </c>
      <c r="AR33" s="25" t="s">
        <v>67</v>
      </c>
      <c r="AS33" s="25" t="s">
        <v>67</v>
      </c>
      <c r="AT33" s="25" t="s">
        <v>8</v>
      </c>
      <c r="AU33" s="25" t="s">
        <v>10</v>
      </c>
      <c r="AV33" s="25" t="s">
        <v>10</v>
      </c>
      <c r="AW33" s="25" t="s">
        <v>4</v>
      </c>
      <c r="AX33" s="25" t="s">
        <v>10</v>
      </c>
      <c r="AY33" s="25" t="s">
        <v>45</v>
      </c>
      <c r="AZ33" s="25" t="s">
        <v>5</v>
      </c>
      <c r="BA33" s="25" t="s">
        <v>4</v>
      </c>
      <c r="BB33" s="16" t="s">
        <v>1</v>
      </c>
      <c r="BC33" s="15" t="s">
        <v>4</v>
      </c>
      <c r="BD33" s="25" t="s">
        <v>4</v>
      </c>
      <c r="BE33" s="25" t="s">
        <v>5</v>
      </c>
      <c r="BF33" s="25" t="s">
        <v>4</v>
      </c>
      <c r="BG33" s="25" t="s">
        <v>47</v>
      </c>
      <c r="BH33" s="25" t="s">
        <v>2</v>
      </c>
      <c r="BI33" s="25" t="s">
        <v>5</v>
      </c>
      <c r="BJ33" s="25" t="s">
        <v>2</v>
      </c>
      <c r="BK33" s="25" t="s">
        <v>47</v>
      </c>
      <c r="BL33" s="25" t="s">
        <v>45</v>
      </c>
      <c r="BM33" s="25" t="s">
        <v>50</v>
      </c>
      <c r="BN33" s="25" t="s">
        <v>67</v>
      </c>
      <c r="BO33" s="25" t="s">
        <v>1</v>
      </c>
      <c r="BP33" s="25" t="s">
        <v>6</v>
      </c>
      <c r="BQ33" s="25" t="s">
        <v>5</v>
      </c>
      <c r="BR33" s="25" t="s">
        <v>5</v>
      </c>
      <c r="BS33" s="25" t="s">
        <v>8</v>
      </c>
      <c r="BT33" s="25" t="s">
        <v>6</v>
      </c>
      <c r="BU33" s="25" t="s">
        <v>46</v>
      </c>
      <c r="BV33" s="14" t="s">
        <v>1</v>
      </c>
      <c r="BW33" s="25" t="s">
        <v>5</v>
      </c>
      <c r="BX33" s="25" t="s">
        <v>5</v>
      </c>
      <c r="BY33" s="25" t="s">
        <v>4</v>
      </c>
      <c r="BZ33" s="25" t="s">
        <v>1</v>
      </c>
      <c r="CA33" s="25" t="s">
        <v>5</v>
      </c>
      <c r="CB33" s="25" t="s">
        <v>5</v>
      </c>
      <c r="CC33" s="25" t="s">
        <v>1</v>
      </c>
      <c r="CD33" s="25" t="s">
        <v>4</v>
      </c>
      <c r="CE33" s="25" t="s">
        <v>4</v>
      </c>
      <c r="CF33" s="25" t="s">
        <v>2</v>
      </c>
      <c r="CG33" s="25" t="s">
        <v>5</v>
      </c>
      <c r="CH33" s="25" t="s">
        <v>5</v>
      </c>
      <c r="CI33" s="25" t="s">
        <v>7</v>
      </c>
      <c r="CJ33" s="25" t="s">
        <v>1</v>
      </c>
      <c r="CK33" s="25" t="s">
        <v>1</v>
      </c>
      <c r="CL33" s="25" t="s">
        <v>4</v>
      </c>
      <c r="CM33" s="25" t="s">
        <v>48</v>
      </c>
      <c r="CN33" s="25" t="s">
        <v>1</v>
      </c>
      <c r="CO33" s="25" t="s">
        <v>7</v>
      </c>
      <c r="CP33" s="25" t="s">
        <v>7</v>
      </c>
      <c r="CQ33" s="25" t="s">
        <v>5</v>
      </c>
      <c r="CR33" s="25" t="s">
        <v>4</v>
      </c>
      <c r="CS33" s="25" t="s">
        <v>45</v>
      </c>
      <c r="CT33" s="25" t="s">
        <v>1</v>
      </c>
      <c r="CU33" s="25" t="s">
        <v>5</v>
      </c>
      <c r="CV33" s="26" t="s">
        <v>279</v>
      </c>
      <c r="CW33" t="s">
        <v>43</v>
      </c>
      <c r="CX33">
        <f>VLOOKUP(K33,Sheet2!$A$2:$B$58,2,0)</f>
        <v>0</v>
      </c>
      <c r="CY33" t="str">
        <f t="shared" si="1"/>
        <v>45577,0734286343,España,&lt;35 años,Femenino,Ingenieria,Como empleado de una empresa,Francia,21-30 años,20-30 años,Gestor de proyectos ,Gestor de proyectos,Atos,&gt;500 empleados.,Empresa que desarrolla software a medida partiendo desde cero,Multinacional,Muy Frecuentemente,Alto,3-4 días,3-4 días,,Reuniones y coordinacion,,Parking,Híbrida casa (más días en casa que en la oficina),Consensuada por las dos partes,En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mi desempeño en el trabajo,Mejoran mi productividad,Mayor que cuando iba todos los días a la oficina,Mayor que cuando iba todos los días a la oficina,Menos que cuando iba todos los días a la oficina,Igual que cuando iba todos los días a la oficina,Mucho menos que cuando iba todos los días a la oficina,Mucho menos que cuando iba todos los días a la oficina,Más que cuando iba todos los días a la oficina,Mas que cuando iba todos los días a la oficina,Mas que cuando iba todos los días a la oficina,Igual que cuando iba todos los días a la oficina,Mas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oficina,Mayor que cuando iba todos los días a la oficina,Igual que cuando iba todos los días a la oficina,Mucho 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oficina,Mucho menores que cuando iba todos los días a la oficina,Mucho menos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oficina,Menores que cuando iba todos los días a la oficina,Mejor que cuando iba todos los días a la oficina,Menor que cuando iba todos los días a la oficina,Mayor que cuando iba todos los días a la oficina,Mayor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oficina,Mayor que cuando iba todos los días a la oficina,Mayor que cuando iba todos los días a la oficina,Mucho menor que cuando iba todos los días a la oficina,Menor que cuando iba todos los días a la oficina,Menor que cuando iba todos los días a la oficina,Igual que cuando iba todos los días a la oficina,Peor que cuando iba todos los días a la oficina,Menor que cuando iba todos los días a la oficina,Mucho menor que cuando iba todos los días a la oficina,Mucho menor que cuando iba todos los días a la oficina,Mayor que cuando iba todos los días a la oficina,Igual que cuando iba todos los días a la oficina,Mayores que cuando iba todos los días a la oficina,Menor que cuando iba todos los días a la oficina,Mayor que cuando iba todos los días a la oficina,lllmarivi@gmail.com,301+ empleados,0</v>
      </c>
    </row>
    <row r="34" spans="1:103" ht="14.4" x14ac:dyDescent="0.3">
      <c r="A34" s="27">
        <v>45569.444181863422</v>
      </c>
      <c r="B34" s="25" t="s">
        <v>110</v>
      </c>
      <c r="C34" s="25" t="s">
        <v>253</v>
      </c>
      <c r="D34" s="25" t="s">
        <v>41</v>
      </c>
      <c r="E34" s="25" t="s">
        <v>277</v>
      </c>
      <c r="F34" s="25" t="s">
        <v>39</v>
      </c>
      <c r="G34" s="25" t="s">
        <v>110</v>
      </c>
      <c r="H34" s="25" t="s">
        <v>37</v>
      </c>
      <c r="I34" s="25" t="s">
        <v>36</v>
      </c>
      <c r="J34" s="25" t="s">
        <v>276</v>
      </c>
      <c r="K34" s="25" t="s">
        <v>275</v>
      </c>
      <c r="L34" s="28"/>
      <c r="M34" s="25" t="s">
        <v>146</v>
      </c>
      <c r="N34" s="25" t="s">
        <v>91</v>
      </c>
      <c r="O34" s="25" t="s">
        <v>160</v>
      </c>
      <c r="P34" s="25" t="s">
        <v>136</v>
      </c>
      <c r="Q34" s="11" t="s">
        <v>28</v>
      </c>
      <c r="R34" s="25" t="s">
        <v>256</v>
      </c>
      <c r="S34" s="25" t="s">
        <v>78</v>
      </c>
      <c r="T34" s="28"/>
      <c r="U34" s="26" t="s">
        <v>155</v>
      </c>
      <c r="V34" s="28"/>
      <c r="W34" s="28"/>
      <c r="X34" s="25" t="s">
        <v>21</v>
      </c>
      <c r="Y34" s="25" t="s">
        <v>105</v>
      </c>
      <c r="Z34" s="25" t="s">
        <v>113</v>
      </c>
      <c r="AA34" s="25" t="s">
        <v>1</v>
      </c>
      <c r="AB34" s="25" t="s">
        <v>1</v>
      </c>
      <c r="AC34" s="25" t="s">
        <v>1</v>
      </c>
      <c r="AD34" s="25" t="s">
        <v>76</v>
      </c>
      <c r="AE34" s="25" t="s">
        <v>18</v>
      </c>
      <c r="AF34" s="25" t="s">
        <v>54</v>
      </c>
      <c r="AG34" s="25" t="s">
        <v>4</v>
      </c>
      <c r="AH34" s="25" t="s">
        <v>1</v>
      </c>
      <c r="AI34" s="25" t="s">
        <v>1</v>
      </c>
      <c r="AJ34" s="25" t="s">
        <v>4</v>
      </c>
      <c r="AK34" s="25" t="s">
        <v>4</v>
      </c>
      <c r="AL34" s="25" t="s">
        <v>15</v>
      </c>
      <c r="AM34" s="25" t="s">
        <v>68</v>
      </c>
      <c r="AN34" s="25" t="s">
        <v>1</v>
      </c>
      <c r="AO34" s="25" t="s">
        <v>5</v>
      </c>
      <c r="AP34" s="25" t="s">
        <v>8</v>
      </c>
      <c r="AQ34" s="25" t="s">
        <v>12</v>
      </c>
      <c r="AR34" s="25" t="s">
        <v>8</v>
      </c>
      <c r="AS34" s="25" t="s">
        <v>8</v>
      </c>
      <c r="AT34" s="25" t="s">
        <v>8</v>
      </c>
      <c r="AU34" s="25" t="s">
        <v>10</v>
      </c>
      <c r="AV34" s="25" t="s">
        <v>10</v>
      </c>
      <c r="AW34" s="25" t="s">
        <v>10</v>
      </c>
      <c r="AX34" s="25" t="s">
        <v>10</v>
      </c>
      <c r="AY34" s="25" t="s">
        <v>6</v>
      </c>
      <c r="AZ34" s="25" t="s">
        <v>1</v>
      </c>
      <c r="BA34" s="25" t="s">
        <v>5</v>
      </c>
      <c r="BB34" s="16" t="s">
        <v>1</v>
      </c>
      <c r="BC34" s="15" t="s">
        <v>5</v>
      </c>
      <c r="BD34" s="25" t="s">
        <v>1</v>
      </c>
      <c r="BE34" s="25" t="s">
        <v>1</v>
      </c>
      <c r="BF34" s="25" t="s">
        <v>1</v>
      </c>
      <c r="BG34" s="25" t="s">
        <v>47</v>
      </c>
      <c r="BH34" s="25" t="s">
        <v>2</v>
      </c>
      <c r="BI34" s="25" t="s">
        <v>1</v>
      </c>
      <c r="BJ34" s="25" t="s">
        <v>9</v>
      </c>
      <c r="BK34" s="25" t="s">
        <v>4</v>
      </c>
      <c r="BL34" s="25" t="s">
        <v>45</v>
      </c>
      <c r="BM34" s="25" t="s">
        <v>135</v>
      </c>
      <c r="BN34" s="25" t="s">
        <v>49</v>
      </c>
      <c r="BO34" s="25" t="s">
        <v>1</v>
      </c>
      <c r="BP34" s="25" t="s">
        <v>45</v>
      </c>
      <c r="BQ34" s="25" t="s">
        <v>4</v>
      </c>
      <c r="BR34" s="25" t="s">
        <v>5</v>
      </c>
      <c r="BS34" s="25" t="s">
        <v>4</v>
      </c>
      <c r="BT34" s="25" t="s">
        <v>2</v>
      </c>
      <c r="BU34" s="25" t="s">
        <v>4</v>
      </c>
      <c r="BV34" s="14" t="s">
        <v>4</v>
      </c>
      <c r="BW34" s="25" t="s">
        <v>4</v>
      </c>
      <c r="BX34" s="25" t="s">
        <v>47</v>
      </c>
      <c r="BY34" s="25" t="s">
        <v>4</v>
      </c>
      <c r="BZ34" s="25" t="s">
        <v>4</v>
      </c>
      <c r="CA34" s="25" t="s">
        <v>4</v>
      </c>
      <c r="CB34" s="25" t="s">
        <v>4</v>
      </c>
      <c r="CC34" s="25" t="s">
        <v>4</v>
      </c>
      <c r="CD34" s="25" t="s">
        <v>4</v>
      </c>
      <c r="CE34" s="25" t="s">
        <v>4</v>
      </c>
      <c r="CF34" s="25" t="s">
        <v>6</v>
      </c>
      <c r="CG34" s="25" t="s">
        <v>4</v>
      </c>
      <c r="CH34" s="25" t="s">
        <v>3</v>
      </c>
      <c r="CI34" s="25" t="s">
        <v>1</v>
      </c>
      <c r="CJ34" s="25" t="s">
        <v>4</v>
      </c>
      <c r="CK34" s="25" t="s">
        <v>1</v>
      </c>
      <c r="CL34" s="25" t="s">
        <v>4</v>
      </c>
      <c r="CM34" s="25" t="s">
        <v>48</v>
      </c>
      <c r="CN34" s="25" t="s">
        <v>4</v>
      </c>
      <c r="CO34" s="25" t="s">
        <v>1</v>
      </c>
      <c r="CP34" s="25" t="s">
        <v>1</v>
      </c>
      <c r="CQ34" s="25" t="s">
        <v>5</v>
      </c>
      <c r="CR34" s="25" t="s">
        <v>4</v>
      </c>
      <c r="CS34" s="25" t="s">
        <v>2</v>
      </c>
      <c r="CT34" s="25" t="s">
        <v>1</v>
      </c>
      <c r="CU34" s="25" t="s">
        <v>5</v>
      </c>
      <c r="CV34" s="24"/>
      <c r="CW34" t="s">
        <v>0</v>
      </c>
      <c r="CX34">
        <f>VLOOKUP(K34,Sheet2!$A$2:$B$58,2,0)</f>
        <v>0</v>
      </c>
      <c r="CY34" t="str">
        <f t="shared" si="1"/>
        <v>45569,4441818634,España,&lt;35 años,Masculino,Ingeniero informático,Como empleado de una empresa,España,11-20 años,5-10 años,Junior/Senior Developer,Senior Developer/ Project Manager,,51-150 empleados,Empresa que desarrolla software a medida partiendo desde cero,Nacional (múltiples sedes en el mismo país),Casi Nunca,Alto,3-4 días,1-2 días,,Reuniones presenciales,,,Híbrida casa (más días en casa que en la oficina),Decidida por ti,De acuerdo,Menor que cuando iba todos los días a la oficina,Menor que cuando iba todos los días a la oficina,Menor que cuando iba todos los días a la oficina,Diferentes que cuando iba todos los días a la oficina, ahora necesito menos horas para hacer lo mismo,Todas por videoconferencia,Mucho menor que cuando eran en la oficina,Igual que cuando iba todos los días a la oficina,Menor que cuando iba todos los días a la oficina,Menor que cuando iba todos los días a la oficina,Igual que cuando iba todos los días a la oficina,Igual que cuando iba todos los días a la oficina,No me influye,No afectan a mi productividad,Menor que cuando iba todos los días a la oficina,Mayor que cuando iba todos los días a la oficina,Más que cuando iba todos los días a la oficina,No trabajo con personas de distintas culturas,Más que cuando iba todos los días a la oficina,Más que cuando iba todos los días a la oficina,Más que cuando iba todos los días a la oficina,Mas que cuando iba todos los días a la oficina,Mas que cuando iba todos los días a la oficina,Mas que cuando iba todos los días a la oficina,Mas que cuando iba todos los días a la oficina,Menores que cuando iba todos los días a la oficina,Menor que cuando iba todos los días a la oficina,Mayor que cuando iba todos los días a la oficina,Menor que cuando iba todos los días a la oficina,Mayor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oficina,Menor que cuando iba todos los días a la oficina,No hay diferencias culturales en mi equipo,Igual que cuando iba todos los días a la oficina,Mayores que cuando iba todos los días a la oficina,No tengo que utilizar diferentes idiomas en mi trabajo,Menos que cuando iba todos los días a la oficina,Menor que cuando iba todos los días a la oficina,Mayores que cuando iba todos los días a la oficina,Igual que cuando iba todos los días a la oficina,Mayor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oficina,Menores que cuando iba todos los días a la oficina,Igual que cuando iba todos los días a la oficina,Mucho Mayor que cuando iba todos los días a la oficina,Menor que cuando iba todos los días a la oficina,Igual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oficina,Iguales que cuando iba todos los días a la oficina,Menor que cuando iba todos los días a la oficina,Mayor que cuando iba todos los días a la oficina,,&lt;301 empleados,0</v>
      </c>
    </row>
    <row r="35" spans="1:103" ht="14.4" x14ac:dyDescent="0.3">
      <c r="A35" s="13">
        <v>45562.123053784722</v>
      </c>
      <c r="B35" s="12" t="s">
        <v>38</v>
      </c>
      <c r="C35" s="6" t="s">
        <v>253</v>
      </c>
      <c r="D35" s="6" t="s">
        <v>41</v>
      </c>
      <c r="E35" s="6" t="s">
        <v>273</v>
      </c>
      <c r="F35" s="6" t="s">
        <v>145</v>
      </c>
      <c r="G35" s="6" t="s">
        <v>102</v>
      </c>
      <c r="H35" s="6" t="s">
        <v>36</v>
      </c>
      <c r="I35" s="6" t="s">
        <v>36</v>
      </c>
      <c r="J35" s="6" t="s">
        <v>272</v>
      </c>
      <c r="K35" s="6" t="s">
        <v>271</v>
      </c>
      <c r="L35" s="19"/>
      <c r="M35" s="6" t="s">
        <v>32</v>
      </c>
      <c r="N35" s="6" t="s">
        <v>91</v>
      </c>
      <c r="O35" s="6" t="s">
        <v>160</v>
      </c>
      <c r="P35" s="6" t="s">
        <v>136</v>
      </c>
      <c r="Q35" s="11" t="s">
        <v>28</v>
      </c>
      <c r="R35" s="6" t="s">
        <v>256</v>
      </c>
      <c r="S35" s="6" t="s">
        <v>78</v>
      </c>
      <c r="T35" s="6" t="s">
        <v>121</v>
      </c>
      <c r="U35" s="5"/>
      <c r="V35" s="10" t="s">
        <v>270</v>
      </c>
      <c r="W35" s="19"/>
      <c r="X35" s="6" t="s">
        <v>21</v>
      </c>
      <c r="Y35" s="6" t="s">
        <v>20</v>
      </c>
      <c r="Z35" s="6" t="s">
        <v>19</v>
      </c>
      <c r="AA35" s="6" t="s">
        <v>1</v>
      </c>
      <c r="AB35" s="6" t="s">
        <v>4</v>
      </c>
      <c r="AC35" s="6" t="s">
        <v>1</v>
      </c>
      <c r="AD35" s="6" t="s">
        <v>55</v>
      </c>
      <c r="AE35" s="6" t="s">
        <v>75</v>
      </c>
      <c r="AF35" s="6" t="s">
        <v>112</v>
      </c>
      <c r="AG35" s="6" t="s">
        <v>5</v>
      </c>
      <c r="AH35" s="6" t="s">
        <v>4</v>
      </c>
      <c r="AI35" s="6" t="s">
        <v>4</v>
      </c>
      <c r="AJ35" s="6" t="s">
        <v>5</v>
      </c>
      <c r="AK35" s="6" t="s">
        <v>5</v>
      </c>
      <c r="AL35" s="6" t="s">
        <v>74</v>
      </c>
      <c r="AM35" s="6" t="s">
        <v>68</v>
      </c>
      <c r="AN35" s="6" t="s">
        <v>4</v>
      </c>
      <c r="AO35" s="6" t="s">
        <v>1</v>
      </c>
      <c r="AP35" s="6" t="s">
        <v>4</v>
      </c>
      <c r="AQ35" s="6" t="s">
        <v>12</v>
      </c>
      <c r="AR35" s="6" t="s">
        <v>49</v>
      </c>
      <c r="AS35" s="6" t="s">
        <v>150</v>
      </c>
      <c r="AT35" s="6" t="s">
        <v>4</v>
      </c>
      <c r="AU35" s="6" t="s">
        <v>10</v>
      </c>
      <c r="AV35" s="6" t="s">
        <v>4</v>
      </c>
      <c r="AW35" s="6" t="s">
        <v>10</v>
      </c>
      <c r="AX35" s="6" t="s">
        <v>49</v>
      </c>
      <c r="AY35" s="6" t="s">
        <v>45</v>
      </c>
      <c r="AZ35" s="6" t="s">
        <v>5</v>
      </c>
      <c r="BA35" s="6" t="s">
        <v>4</v>
      </c>
      <c r="BB35" s="9" t="s">
        <v>1</v>
      </c>
      <c r="BC35" s="8" t="s">
        <v>4</v>
      </c>
      <c r="BD35" s="6" t="s">
        <v>1</v>
      </c>
      <c r="BE35" s="6" t="s">
        <v>1</v>
      </c>
      <c r="BF35" s="6" t="s">
        <v>4</v>
      </c>
      <c r="BG35" s="6" t="s">
        <v>47</v>
      </c>
      <c r="BH35" s="6" t="s">
        <v>2</v>
      </c>
      <c r="BI35" s="6" t="s">
        <v>5</v>
      </c>
      <c r="BJ35" s="6" t="s">
        <v>9</v>
      </c>
      <c r="BK35" s="6" t="s">
        <v>5</v>
      </c>
      <c r="BL35" s="6" t="s">
        <v>2</v>
      </c>
      <c r="BM35" s="6" t="s">
        <v>135</v>
      </c>
      <c r="BN35" s="6" t="s">
        <v>147</v>
      </c>
      <c r="BO35" s="6" t="s">
        <v>4</v>
      </c>
      <c r="BP35" s="6" t="s">
        <v>45</v>
      </c>
      <c r="BQ35" s="6" t="s">
        <v>47</v>
      </c>
      <c r="BR35" s="6" t="s">
        <v>4</v>
      </c>
      <c r="BS35" s="6" t="s">
        <v>4</v>
      </c>
      <c r="BT35" s="6" t="s">
        <v>2</v>
      </c>
      <c r="BU35" s="6" t="s">
        <v>4</v>
      </c>
      <c r="BV35" s="7" t="s">
        <v>5</v>
      </c>
      <c r="BW35" s="6" t="s">
        <v>5</v>
      </c>
      <c r="BX35" s="6" t="s">
        <v>47</v>
      </c>
      <c r="BY35" s="6" t="s">
        <v>4</v>
      </c>
      <c r="BZ35" s="6" t="s">
        <v>1</v>
      </c>
      <c r="CA35" s="6" t="s">
        <v>5</v>
      </c>
      <c r="CB35" s="6" t="s">
        <v>3</v>
      </c>
      <c r="CC35" s="6" t="s">
        <v>4</v>
      </c>
      <c r="CD35" s="6" t="s">
        <v>5</v>
      </c>
      <c r="CE35" s="6" t="s">
        <v>4</v>
      </c>
      <c r="CF35" s="6" t="s">
        <v>6</v>
      </c>
      <c r="CG35" s="6" t="s">
        <v>5</v>
      </c>
      <c r="CH35" s="6" t="s">
        <v>3</v>
      </c>
      <c r="CI35" s="6" t="s">
        <v>4</v>
      </c>
      <c r="CJ35" s="6" t="s">
        <v>1</v>
      </c>
      <c r="CK35" s="6" t="s">
        <v>1</v>
      </c>
      <c r="CL35" s="6" t="s">
        <v>4</v>
      </c>
      <c r="CM35" s="6" t="s">
        <v>48</v>
      </c>
      <c r="CN35" s="6" t="s">
        <v>4</v>
      </c>
      <c r="CO35" s="6" t="s">
        <v>1</v>
      </c>
      <c r="CP35" s="6" t="s">
        <v>4</v>
      </c>
      <c r="CQ35" s="6" t="s">
        <v>3</v>
      </c>
      <c r="CR35" s="6" t="s">
        <v>1</v>
      </c>
      <c r="CS35" s="6" t="s">
        <v>2</v>
      </c>
      <c r="CT35" s="6" t="s">
        <v>5</v>
      </c>
      <c r="CU35" s="6" t="s">
        <v>5</v>
      </c>
      <c r="CV35" s="18"/>
      <c r="CW35" t="s">
        <v>0</v>
      </c>
      <c r="CX35">
        <f>VLOOKUP(K35,Sheet2!$A$2:$B$58,2,0)</f>
        <v>0</v>
      </c>
      <c r="CY35" t="str">
        <f t="shared" si="1"/>
        <v>45562,1230537847,México,&lt;35 años,Masculino,Maestria ,De ambas formas,Mexico,5-10 años,5-10 años,Gerencia,Direccion,,&lt;50 empleados,Empresa que desarrolla software a medida partiendo desde cero,Nacional (múltiples sedes en el mismo país),Casi Nunca,Alto,3-4 días,1-2 días,No,,Reuniones todo el personal,,Híbrida casa (más días en casa que en la oficina),Impuesta por la empresa,En desacuerdo,Menor que cuando iba todos los días a la oficina,Igual que cuando iba todos los días a la oficina,Menor que cuando iba todos los días a la oficina,Muy diferentes que cuando iba todos los días a la oficina, ahora necesito muchas menos horas para hacer lo mismo,Casi todas por videoconferencia,Igual que cuando eran en la oficina,Mayor que cuando iba todos los días a la oficina,Igual que cuando iba todos los días a la oficina,Igual que cuando iba todos los días a la oficina,Mayor que cuando iba todos los días a la oficina,Mayor que cuando iba todos los días a la oficina,Mejora mi desempeño en el trabajo,No afectan a mi productividad,Igual que cuando iba todos los días a la oficina,Menor que cuando iba todos los días a la oficina,Igual que cuando iba todos los días a la oficina,No trabajo con personas de distintas culturas,Menos que cuando iba todos los días a la oficina,No trabajo  con personas que se encuentran geográficamente distribuidas,Igual que cuando iba todos los días a la oficina,Mas que cuando iba todos los días a la oficina,Igual que cuando iba todos los días a la oficina,Mas que cuando iba todos los días a la oficina,Menos que cuando iba todos los días a la oficina,Mayores que cuando iba todos los días a la oficina,Mayor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oficina,Mayor que cuando iba todos los días a la oficina,No hay diferencias culturales en mi equipo,Mayor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oficina,Mucho Mayor que cuando iba todos los días a la oficina,Igual que cuando iba todos los días a la oficina,Mayor que cuando iba todos los días a la oficina,Igual que cuando iba todos los días a la oficina,Menores que cuando iba todos los días a la oficina,Mayor que cuando iba todos los días a la oficina,Mucho Mayor que cuando iba todos los días a la oficina,Igual que cuando iba todos los días a la oficina,Menor que cuando iba todos los días a la oficina,Menor que cuando iba todos los días a la oficina,Igual que cuando iba todos los días a la oficina,Peor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oficina,Iguales que cuando iba todos los días a la oficina,Mayor que cuando iba todos los días a la oficina,Mayor que cuando iba todos los días a la oficina,,&lt;301 empleados,0</v>
      </c>
    </row>
    <row r="36" spans="1:103" ht="13.8" x14ac:dyDescent="0.3">
      <c r="A36" s="13">
        <v>45561.749681886577</v>
      </c>
      <c r="B36" s="12" t="s">
        <v>38</v>
      </c>
      <c r="C36" s="6" t="s">
        <v>253</v>
      </c>
      <c r="D36" s="6" t="s">
        <v>41</v>
      </c>
      <c r="E36" s="6" t="s">
        <v>111</v>
      </c>
      <c r="F36" s="6" t="s">
        <v>39</v>
      </c>
      <c r="G36" s="6" t="s">
        <v>102</v>
      </c>
      <c r="H36" s="6" t="s">
        <v>36</v>
      </c>
      <c r="I36" s="6" t="s">
        <v>64</v>
      </c>
      <c r="J36" s="6" t="s">
        <v>269</v>
      </c>
      <c r="K36" s="6" t="s">
        <v>268</v>
      </c>
      <c r="L36" s="6" t="s">
        <v>267</v>
      </c>
      <c r="M36" s="6" t="s">
        <v>60</v>
      </c>
      <c r="N36" s="6" t="s">
        <v>91</v>
      </c>
      <c r="O36" s="6" t="s">
        <v>30</v>
      </c>
      <c r="P36" s="6" t="s">
        <v>136</v>
      </c>
      <c r="Q36" s="11" t="s">
        <v>28</v>
      </c>
      <c r="R36" s="6" t="s">
        <v>256</v>
      </c>
      <c r="S36" s="6" t="s">
        <v>78</v>
      </c>
      <c r="T36" s="10" t="s">
        <v>266</v>
      </c>
      <c r="U36" s="6" t="s">
        <v>155</v>
      </c>
      <c r="V36" s="10" t="s">
        <v>265</v>
      </c>
      <c r="W36" s="6" t="s">
        <v>121</v>
      </c>
      <c r="X36" s="6" t="s">
        <v>21</v>
      </c>
      <c r="Y36" s="6" t="s">
        <v>72</v>
      </c>
      <c r="Z36" s="6" t="s">
        <v>87</v>
      </c>
      <c r="AA36" s="6" t="s">
        <v>1</v>
      </c>
      <c r="AB36" s="6" t="s">
        <v>1</v>
      </c>
      <c r="AC36" s="6" t="s">
        <v>1</v>
      </c>
      <c r="AD36" s="6" t="s">
        <v>76</v>
      </c>
      <c r="AE36" s="6" t="s">
        <v>75</v>
      </c>
      <c r="AF36" s="6" t="s">
        <v>17</v>
      </c>
      <c r="AG36" s="6" t="s">
        <v>5</v>
      </c>
      <c r="AH36" s="6" t="s">
        <v>5</v>
      </c>
      <c r="AI36" s="6" t="s">
        <v>1</v>
      </c>
      <c r="AJ36" s="6" t="s">
        <v>5</v>
      </c>
      <c r="AK36" s="6" t="s">
        <v>1</v>
      </c>
      <c r="AL36" s="6" t="s">
        <v>69</v>
      </c>
      <c r="AM36" s="6" t="s">
        <v>68</v>
      </c>
      <c r="AN36" s="6" t="s">
        <v>1</v>
      </c>
      <c r="AO36" s="6" t="s">
        <v>5</v>
      </c>
      <c r="AP36" s="6" t="s">
        <v>8</v>
      </c>
      <c r="AQ36" s="6" t="s">
        <v>4</v>
      </c>
      <c r="AR36" s="6" t="s">
        <v>4</v>
      </c>
      <c r="AS36" s="6" t="s">
        <v>4</v>
      </c>
      <c r="AT36" s="6" t="s">
        <v>11</v>
      </c>
      <c r="AU36" s="6" t="s">
        <v>10</v>
      </c>
      <c r="AV36" s="6" t="s">
        <v>11</v>
      </c>
      <c r="AW36" s="6" t="s">
        <v>4</v>
      </c>
      <c r="AX36" s="6" t="s">
        <v>4</v>
      </c>
      <c r="AY36" s="6" t="s">
        <v>45</v>
      </c>
      <c r="AZ36" s="6" t="s">
        <v>5</v>
      </c>
      <c r="BA36" s="6" t="s">
        <v>5</v>
      </c>
      <c r="BB36" s="9" t="s">
        <v>3</v>
      </c>
      <c r="BC36" s="8" t="s">
        <v>4</v>
      </c>
      <c r="BD36" s="6" t="s">
        <v>3</v>
      </c>
      <c r="BE36" s="6" t="s">
        <v>5</v>
      </c>
      <c r="BF36" s="6" t="s">
        <v>47</v>
      </c>
      <c r="BG36" s="6" t="s">
        <v>47</v>
      </c>
      <c r="BH36" s="6" t="s">
        <v>6</v>
      </c>
      <c r="BI36" s="6" t="s">
        <v>5</v>
      </c>
      <c r="BJ36" s="6" t="s">
        <v>2</v>
      </c>
      <c r="BK36" s="6" t="s">
        <v>4</v>
      </c>
      <c r="BL36" s="6" t="s">
        <v>45</v>
      </c>
      <c r="BM36" s="6" t="s">
        <v>2</v>
      </c>
      <c r="BN36" s="6" t="s">
        <v>4</v>
      </c>
      <c r="BO36" s="6" t="s">
        <v>1</v>
      </c>
      <c r="BP36" s="6" t="s">
        <v>6</v>
      </c>
      <c r="BQ36" s="6" t="s">
        <v>5</v>
      </c>
      <c r="BR36" s="6" t="s">
        <v>5</v>
      </c>
      <c r="BS36" s="6" t="s">
        <v>8</v>
      </c>
      <c r="BT36" s="6" t="s">
        <v>45</v>
      </c>
      <c r="BU36" s="6" t="s">
        <v>4</v>
      </c>
      <c r="BV36" s="7" t="s">
        <v>4</v>
      </c>
      <c r="BW36" s="6" t="s">
        <v>5</v>
      </c>
      <c r="BX36" s="6" t="s">
        <v>47</v>
      </c>
      <c r="BY36" s="6" t="s">
        <v>4</v>
      </c>
      <c r="BZ36" s="6" t="s">
        <v>1</v>
      </c>
      <c r="CA36" s="6" t="s">
        <v>4</v>
      </c>
      <c r="CB36" s="6" t="s">
        <v>1</v>
      </c>
      <c r="CC36" s="6" t="s">
        <v>1</v>
      </c>
      <c r="CD36" s="6" t="s">
        <v>5</v>
      </c>
      <c r="CE36" s="6" t="s">
        <v>4</v>
      </c>
      <c r="CF36" s="6" t="s">
        <v>6</v>
      </c>
      <c r="CG36" s="6" t="s">
        <v>5</v>
      </c>
      <c r="CH36" s="6" t="s">
        <v>7</v>
      </c>
      <c r="CI36" s="6" t="s">
        <v>1</v>
      </c>
      <c r="CJ36" s="6" t="s">
        <v>4</v>
      </c>
      <c r="CK36" s="6" t="s">
        <v>4</v>
      </c>
      <c r="CL36" s="6" t="s">
        <v>4</v>
      </c>
      <c r="CM36" s="6" t="s">
        <v>48</v>
      </c>
      <c r="CN36" s="6" t="s">
        <v>1</v>
      </c>
      <c r="CO36" s="6" t="s">
        <v>1</v>
      </c>
      <c r="CP36" s="6" t="s">
        <v>1</v>
      </c>
      <c r="CQ36" s="6" t="s">
        <v>5</v>
      </c>
      <c r="CR36" s="6" t="s">
        <v>4</v>
      </c>
      <c r="CS36" s="6" t="s">
        <v>45</v>
      </c>
      <c r="CT36" s="6" t="s">
        <v>1</v>
      </c>
      <c r="CU36" s="6" t="s">
        <v>4</v>
      </c>
      <c r="CV36" s="23" t="s">
        <v>264</v>
      </c>
      <c r="CW36" t="s">
        <v>43</v>
      </c>
      <c r="CX36">
        <f>VLOOKUP(K36,Sheet2!$A$2:$B$58,2,0)</f>
        <v>0</v>
      </c>
      <c r="CY36" t="str">
        <f t="shared" si="1"/>
        <v>45561,7496818866,México,&lt;35 años,Masculino,Maestria,Como empleado de una empresa,Mexico,5-10 años,&lt;5 años,Project Manager Jr,Manager de IA,Minsait,&gt;500 empleados.,Empresa que desarrolla software a medida partiendo desde cero,Multinacional,Casi Nunca,Alto,3-4 días,1-2 días,Reuniones, cliente o integración,Reuniones presenciales,Reuniones de seguimiento,No,Híbrida casa (más días en casa que en la oficina),Consensuada por las dos partes,Totalmente en desacuerdo,Menor que cuando iba todos los días a la oficina,Menor que cuando iba todos los días a la oficina,Menor que cuando iba todos los días a la oficina,Diferentes que cuando iba todos los días a la oficina, ahora necesito menos horas para hacer lo mismo,Casi todas por videoconferencia,Mayor que cuando eran en la oficina,Mayor que cuando iba todos los días a la oficina,Mayor que cuando iba todos los días a la oficina,Menor que cuando iba todos los días a la oficina,Mayor que cuando iba todos los días a la oficina,Menor que cuando iba todos los días a la oficina,Negativamente a la hora de desempeñar mi trabajo,No afectan a mi productividad,Menor que cuando iba todos los días a la oficina,Mayor que cuando iba todos los días a la oficina,Más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oficina,Mucho más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Mayor que cuando iba todos los días a la oficina,Igual que cuando iba todos los días a la oficina,Mucho Mayor que cuando iba todos los días a la oficina,Mayor que cuando iba todos los días a la oficina,Mucho mayor que cuando iba todos los días a la oficina,Mucho mayor que cuando iba todos los días a la oficina,Menores que cuando iba todos los días a la oficina,Mayor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oficina,Menor que cuando iba todos los días a la oficina,Igual que cuando iba todos los días a la oficina,Menor que cuando iba todos los días a la oficina,Menor que cuando iba todos los días a la oficina,Mayor que cuando iba todos los días a la oficina,Igual que cuando iba todos los días a la oficina,Menores que cuando iba todos los días a la oficina,Mayor que cuando iba todos los días a la oficina,Mucho menor que cuando iba todos los días a la oficina,Menor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oficina,Menor que cuando iba todos los días a la oficina,Menor que cuando iba todos los días a la oficina,Mayor que cuando iba todos los días a la oficina,Igual que cuando iba todos los días a la oficina,Mayores que cuando iba todos los días a la oficina,Menor que cuando iba todos los días a la oficina,Igual que cuando iba todos los días a la oficina,gallo9nitsuga@gmail.com,301+ empleados,0</v>
      </c>
    </row>
    <row r="37" spans="1:103" ht="14.4" x14ac:dyDescent="0.3">
      <c r="A37" s="17">
        <v>45567.76788615741</v>
      </c>
      <c r="B37" s="12" t="s">
        <v>38</v>
      </c>
      <c r="C37" s="12" t="s">
        <v>253</v>
      </c>
      <c r="D37" s="12" t="s">
        <v>81</v>
      </c>
      <c r="E37" s="12" t="s">
        <v>66</v>
      </c>
      <c r="F37" s="12" t="s">
        <v>39</v>
      </c>
      <c r="G37" s="12" t="s">
        <v>80</v>
      </c>
      <c r="H37" s="12" t="s">
        <v>37</v>
      </c>
      <c r="I37" s="12" t="s">
        <v>63</v>
      </c>
      <c r="J37" s="12" t="s">
        <v>263</v>
      </c>
      <c r="K37" s="12" t="s">
        <v>262</v>
      </c>
      <c r="L37" s="12" t="s">
        <v>261</v>
      </c>
      <c r="M37" s="12" t="s">
        <v>60</v>
      </c>
      <c r="N37" s="12" t="s">
        <v>59</v>
      </c>
      <c r="O37" s="12" t="s">
        <v>30</v>
      </c>
      <c r="P37" s="12" t="s">
        <v>58</v>
      </c>
      <c r="Q37" s="11" t="s">
        <v>28</v>
      </c>
      <c r="R37" s="12" t="s">
        <v>256</v>
      </c>
      <c r="S37" s="12" t="s">
        <v>78</v>
      </c>
      <c r="T37" s="20"/>
      <c r="U37" s="12" t="s">
        <v>260</v>
      </c>
      <c r="V37" s="20"/>
      <c r="W37" s="5"/>
      <c r="X37" s="12" t="s">
        <v>21</v>
      </c>
      <c r="Y37" s="12" t="s">
        <v>20</v>
      </c>
      <c r="Z37" s="12" t="s">
        <v>113</v>
      </c>
      <c r="AA37" s="12" t="s">
        <v>5</v>
      </c>
      <c r="AB37" s="12" t="s">
        <v>3</v>
      </c>
      <c r="AC37" s="12" t="s">
        <v>3</v>
      </c>
      <c r="AD37" s="12" t="s">
        <v>55</v>
      </c>
      <c r="AE37" s="12" t="s">
        <v>75</v>
      </c>
      <c r="AF37" s="12" t="s">
        <v>112</v>
      </c>
      <c r="AG37" s="12" t="s">
        <v>5</v>
      </c>
      <c r="AH37" s="12" t="s">
        <v>5</v>
      </c>
      <c r="AI37" s="12" t="s">
        <v>4</v>
      </c>
      <c r="AJ37" s="12" t="s">
        <v>3</v>
      </c>
      <c r="AK37" s="12" t="s">
        <v>4</v>
      </c>
      <c r="AL37" s="12" t="s">
        <v>74</v>
      </c>
      <c r="AM37" s="12" t="s">
        <v>14</v>
      </c>
      <c r="AN37" s="12" t="s">
        <v>4</v>
      </c>
      <c r="AO37" s="12" t="s">
        <v>5</v>
      </c>
      <c r="AP37" s="12" t="s">
        <v>8</v>
      </c>
      <c r="AQ37" s="12" t="s">
        <v>11</v>
      </c>
      <c r="AR37" s="12" t="s">
        <v>8</v>
      </c>
      <c r="AS37" s="12" t="s">
        <v>4</v>
      </c>
      <c r="AT37" s="12" t="s">
        <v>8</v>
      </c>
      <c r="AU37" s="12" t="s">
        <v>10</v>
      </c>
      <c r="AV37" s="12" t="s">
        <v>10</v>
      </c>
      <c r="AW37" s="12" t="s">
        <v>10</v>
      </c>
      <c r="AX37" s="12" t="s">
        <v>4</v>
      </c>
      <c r="AY37" s="12" t="s">
        <v>45</v>
      </c>
      <c r="AZ37" s="12" t="s">
        <v>5</v>
      </c>
      <c r="BA37" s="12" t="s">
        <v>1</v>
      </c>
      <c r="BB37" s="16" t="s">
        <v>5</v>
      </c>
      <c r="BC37" s="15" t="s">
        <v>5</v>
      </c>
      <c r="BD37" s="12" t="s">
        <v>5</v>
      </c>
      <c r="BE37" s="12" t="s">
        <v>5</v>
      </c>
      <c r="BF37" s="12" t="s">
        <v>47</v>
      </c>
      <c r="BG37" s="12" t="s">
        <v>47</v>
      </c>
      <c r="BH37" s="12" t="s">
        <v>2</v>
      </c>
      <c r="BI37" s="12" t="s">
        <v>5</v>
      </c>
      <c r="BJ37" s="12" t="s">
        <v>85</v>
      </c>
      <c r="BK37" s="12" t="s">
        <v>4</v>
      </c>
      <c r="BL37" s="12" t="s">
        <v>45</v>
      </c>
      <c r="BM37" s="12" t="s">
        <v>2</v>
      </c>
      <c r="BN37" s="12" t="s">
        <v>8</v>
      </c>
      <c r="BO37" s="12" t="s">
        <v>47</v>
      </c>
      <c r="BP37" s="12" t="s">
        <v>45</v>
      </c>
      <c r="BQ37" s="12" t="s">
        <v>5</v>
      </c>
      <c r="BR37" s="12" t="s">
        <v>5</v>
      </c>
      <c r="BS37" s="12" t="s">
        <v>8</v>
      </c>
      <c r="BT37" s="12" t="s">
        <v>2</v>
      </c>
      <c r="BU37" s="12" t="s">
        <v>4</v>
      </c>
      <c r="BV37" s="14" t="s">
        <v>5</v>
      </c>
      <c r="BW37" s="12" t="s">
        <v>5</v>
      </c>
      <c r="BX37" s="12" t="s">
        <v>47</v>
      </c>
      <c r="BY37" s="12" t="s">
        <v>3</v>
      </c>
      <c r="BZ37" s="12" t="s">
        <v>3</v>
      </c>
      <c r="CA37" s="12" t="s">
        <v>3</v>
      </c>
      <c r="CB37" s="12" t="s">
        <v>3</v>
      </c>
      <c r="CC37" s="12" t="s">
        <v>3</v>
      </c>
      <c r="CD37" s="12" t="s">
        <v>5</v>
      </c>
      <c r="CE37" s="12" t="s">
        <v>10</v>
      </c>
      <c r="CF37" s="12" t="s">
        <v>6</v>
      </c>
      <c r="CG37" s="12" t="s">
        <v>4</v>
      </c>
      <c r="CH37" s="12" t="s">
        <v>3</v>
      </c>
      <c r="CI37" s="12" t="s">
        <v>5</v>
      </c>
      <c r="CJ37" s="12" t="s">
        <v>1</v>
      </c>
      <c r="CK37" s="12" t="s">
        <v>3</v>
      </c>
      <c r="CL37" s="12" t="s">
        <v>3</v>
      </c>
      <c r="CM37" s="12" t="s">
        <v>48</v>
      </c>
      <c r="CN37" s="12" t="s">
        <v>3</v>
      </c>
      <c r="CO37" s="12" t="s">
        <v>7</v>
      </c>
      <c r="CP37" s="12" t="s">
        <v>1</v>
      </c>
      <c r="CQ37" s="12" t="s">
        <v>4</v>
      </c>
      <c r="CR37" s="12" t="s">
        <v>5</v>
      </c>
      <c r="CS37" s="12" t="s">
        <v>45</v>
      </c>
      <c r="CT37" s="12" t="s">
        <v>5</v>
      </c>
      <c r="CU37" s="12" t="s">
        <v>5</v>
      </c>
      <c r="CV37" s="5"/>
      <c r="CW37" t="s">
        <v>43</v>
      </c>
      <c r="CX37">
        <f>VLOOKUP(K37,Sheet2!$A$2:$B$58,2,0)</f>
        <v>0</v>
      </c>
      <c r="CY37" t="str">
        <f t="shared" si="1"/>
        <v>45567,7678861574,México,&lt;35 años,Femenino,Licenciatura,Como empleado de una empresa,Estados Unidos,11-20 años,10-20 años,Senior QA Engineer,Lead SDET,Internet Brands,&gt;500 empleados.,Empresa que subcontrata (outsourcing) los servicios de otra empresa situada en otro país,Multinacional,Muy Frecuentemente,Alto,3-4 días,1-2 días,,Se nos pide cumplir con 3 días a la semana de manera regular,,,Híbrida casa (más días en casa que en la oficina),Impuesta por la empresa,De acuerdo,Mayor que cuando iba todos los días a la oficina,Mucho Mayor que cuando iba todos los días a la oficina,Mucho Mayor que cuando iba todos los días a la oficina,Muy diferentes que cuando iba todos los días a la oficina, ahora necesito muchas menos horas para hacer lo mismo,Casi todas por videoconferencia,Igual que cuando eran en la oficina,Mayor que cuando iba todos los días a la oficina,Mayor que cuando iba todos los días a la oficina,Igual que cuando iba todos los días a la oficina,Mucho Mayor que cuando iba todos los días a la oficina,Igual que cuando iba todos los días a la oficina,Mejora mi desempeño en el trabajo,Mejoran mi productividad,Igual que cuando iba todos los días a la oficina,Mayor que cuando iba todos los días a la oficina,Más que cuando iba todos los días a la oficina,Mucho más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oficina,Mucho mayor que cuando iba todos los días a la oficina,Mucho mayor que cuando iba todos los días a la oficina,Iguales que cuando iba todos los días a la oficina,Mayor que cuando iba todos los días a la oficina,Mucho mayores que cuando iba todos los días a la oficina,Igual que cuando iba todos los días a la oficina,Mayores que cuando iba todos los días a la oficina,Iguales que cuando iba todos los días a la oficina,Más que cuando iba todos los días a la oficina,Mucho mayor que cuando iba todos los días a la oficina,Mayores que cuando iba todos los días a la oficina,Mayor que cuando iba todos los días a la oficina,Mayor que cuando iba todos los días a la oficina,Más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oficina,Mas que cuando iba todos los días a la oficina,Menores que cuando iba todos los días a la oficina,Igual que cuando iba todos los días a la oficina,Mucho Mayor que cuando iba todos los días a la oficina,Mayor que cuando iba todos los días a la oficina,Menor que cuando iba todos los días a la oficina,Mucho Mayor que cuando iba todos los días a la oficina,Mucho Mayor que cuando iba todos los días a la oficina,Peor que cuando iba todos los días a la oficina,Mucho Mayor que cuando iba todos los días a la oficina,Mucho menor que cuando iba todos los días a la oficina,Menor que cuando iba todos los días a la oficina,Igual que cuando iba todos los días a la oficina,Mayor que cuando iba todos los días a la oficina,Mayores que cuando iba todos los días a la oficina,Mayor que cuando iba todos los días a la oficina,Mayor que cuando iba todos los días a la oficina,,301+ empleados,0</v>
      </c>
    </row>
    <row r="38" spans="1:103" ht="14.4" x14ac:dyDescent="0.3">
      <c r="A38" s="17">
        <v>45574.827377743059</v>
      </c>
      <c r="B38" s="12" t="s">
        <v>38</v>
      </c>
      <c r="C38" s="12" t="s">
        <v>253</v>
      </c>
      <c r="D38" s="12" t="s">
        <v>41</v>
      </c>
      <c r="E38" s="12" t="s">
        <v>66</v>
      </c>
      <c r="F38" s="12" t="s">
        <v>39</v>
      </c>
      <c r="G38" s="12" t="s">
        <v>65</v>
      </c>
      <c r="H38" s="12" t="s">
        <v>37</v>
      </c>
      <c r="I38" s="12" t="s">
        <v>36</v>
      </c>
      <c r="J38" s="12" t="s">
        <v>259</v>
      </c>
      <c r="K38" s="12" t="s">
        <v>258</v>
      </c>
      <c r="L38" s="10" t="s">
        <v>257</v>
      </c>
      <c r="M38" s="12" t="s">
        <v>60</v>
      </c>
      <c r="N38" s="12" t="s">
        <v>59</v>
      </c>
      <c r="O38" s="12" t="s">
        <v>30</v>
      </c>
      <c r="P38" s="12" t="s">
        <v>58</v>
      </c>
      <c r="Q38" s="11" t="s">
        <v>28</v>
      </c>
      <c r="R38" s="12" t="s">
        <v>256</v>
      </c>
      <c r="S38" s="12" t="s">
        <v>78</v>
      </c>
      <c r="T38" s="5"/>
      <c r="U38" s="10" t="s">
        <v>255</v>
      </c>
      <c r="V38" s="5"/>
      <c r="W38" s="10" t="s">
        <v>254</v>
      </c>
      <c r="X38" s="12" t="s">
        <v>73</v>
      </c>
      <c r="Y38" s="12" t="s">
        <v>20</v>
      </c>
      <c r="Z38" s="12" t="s">
        <v>19</v>
      </c>
      <c r="AA38" s="12" t="s">
        <v>4</v>
      </c>
      <c r="AB38" s="12" t="s">
        <v>5</v>
      </c>
      <c r="AC38" s="12" t="s">
        <v>4</v>
      </c>
      <c r="AD38" s="12" t="s">
        <v>76</v>
      </c>
      <c r="AE38" s="12" t="s">
        <v>18</v>
      </c>
      <c r="AF38" s="12" t="s">
        <v>112</v>
      </c>
      <c r="AG38" s="12" t="s">
        <v>5</v>
      </c>
      <c r="AH38" s="12" t="s">
        <v>5</v>
      </c>
      <c r="AI38" s="12" t="s">
        <v>5</v>
      </c>
      <c r="AJ38" s="12" t="s">
        <v>4</v>
      </c>
      <c r="AK38" s="12" t="s">
        <v>53</v>
      </c>
      <c r="AL38" s="12" t="s">
        <v>74</v>
      </c>
      <c r="AM38" s="12" t="s">
        <v>68</v>
      </c>
      <c r="AN38" s="12" t="s">
        <v>4</v>
      </c>
      <c r="AO38" s="12" t="s">
        <v>4</v>
      </c>
      <c r="AP38" s="12" t="s">
        <v>4</v>
      </c>
      <c r="AQ38" s="12" t="s">
        <v>4</v>
      </c>
      <c r="AR38" s="12" t="s">
        <v>4</v>
      </c>
      <c r="AS38" s="12" t="s">
        <v>4</v>
      </c>
      <c r="AT38" s="12" t="s">
        <v>4</v>
      </c>
      <c r="AU38" s="12" t="s">
        <v>4</v>
      </c>
      <c r="AV38" s="12" t="s">
        <v>4</v>
      </c>
      <c r="AW38" s="12" t="s">
        <v>4</v>
      </c>
      <c r="AX38" s="12" t="s">
        <v>4</v>
      </c>
      <c r="AY38" s="12" t="s">
        <v>2</v>
      </c>
      <c r="AZ38" s="12" t="s">
        <v>4</v>
      </c>
      <c r="BA38" s="12" t="s">
        <v>4</v>
      </c>
      <c r="BB38" s="16" t="s">
        <v>1</v>
      </c>
      <c r="BC38" s="15" t="s">
        <v>4</v>
      </c>
      <c r="BD38" s="12" t="s">
        <v>4</v>
      </c>
      <c r="BE38" s="12" t="s">
        <v>1</v>
      </c>
      <c r="BF38" s="12" t="s">
        <v>4</v>
      </c>
      <c r="BG38" s="12" t="s">
        <v>5</v>
      </c>
      <c r="BH38" s="12" t="s">
        <v>6</v>
      </c>
      <c r="BI38" s="12" t="s">
        <v>4</v>
      </c>
      <c r="BJ38" s="12" t="s">
        <v>2</v>
      </c>
      <c r="BK38" s="12" t="s">
        <v>4</v>
      </c>
      <c r="BL38" s="12" t="s">
        <v>2</v>
      </c>
      <c r="BM38" s="12" t="s">
        <v>2</v>
      </c>
      <c r="BN38" s="12" t="s">
        <v>4</v>
      </c>
      <c r="BO38" s="12" t="s">
        <v>4</v>
      </c>
      <c r="BP38" s="12" t="s">
        <v>2</v>
      </c>
      <c r="BQ38" s="12" t="s">
        <v>4</v>
      </c>
      <c r="BR38" s="12" t="s">
        <v>4</v>
      </c>
      <c r="BS38" s="12" t="s">
        <v>4</v>
      </c>
      <c r="BT38" s="12" t="s">
        <v>2</v>
      </c>
      <c r="BU38" s="12" t="s">
        <v>4</v>
      </c>
      <c r="BV38" s="14" t="s">
        <v>4</v>
      </c>
      <c r="BW38" s="12" t="s">
        <v>4</v>
      </c>
      <c r="BX38" s="12" t="s">
        <v>47</v>
      </c>
      <c r="BY38" s="12" t="s">
        <v>4</v>
      </c>
      <c r="BZ38" s="12" t="s">
        <v>4</v>
      </c>
      <c r="CA38" s="12" t="s">
        <v>5</v>
      </c>
      <c r="CB38" s="12" t="s">
        <v>5</v>
      </c>
      <c r="CC38" s="12" t="s">
        <v>1</v>
      </c>
      <c r="CD38" s="12" t="s">
        <v>4</v>
      </c>
      <c r="CE38" s="12" t="s">
        <v>4</v>
      </c>
      <c r="CF38" s="12" t="s">
        <v>2</v>
      </c>
      <c r="CG38" s="12" t="s">
        <v>4</v>
      </c>
      <c r="CH38" s="12" t="s">
        <v>3</v>
      </c>
      <c r="CI38" s="12" t="s">
        <v>4</v>
      </c>
      <c r="CJ38" s="12" t="s">
        <v>1</v>
      </c>
      <c r="CK38" s="12" t="s">
        <v>4</v>
      </c>
      <c r="CL38" s="12" t="s">
        <v>4</v>
      </c>
      <c r="CM38" s="12" t="s">
        <v>4</v>
      </c>
      <c r="CN38" s="12" t="s">
        <v>4</v>
      </c>
      <c r="CO38" s="12" t="s">
        <v>1</v>
      </c>
      <c r="CP38" s="12" t="s">
        <v>4</v>
      </c>
      <c r="CQ38" s="12" t="s">
        <v>4</v>
      </c>
      <c r="CR38" s="12" t="s">
        <v>7</v>
      </c>
      <c r="CS38" s="12" t="s">
        <v>2</v>
      </c>
      <c r="CT38" s="12" t="s">
        <v>4</v>
      </c>
      <c r="CU38" s="12" t="s">
        <v>4</v>
      </c>
      <c r="CV38" s="5"/>
      <c r="CW38" t="s">
        <v>43</v>
      </c>
      <c r="CX38">
        <f>VLOOKUP(K38,Sheet2!$A$2:$B$58,2,0)</f>
        <v>0</v>
      </c>
      <c r="CY38" t="str">
        <f t="shared" ref="CY38:CY49" si="2">_xlfn.TEXTJOIN(",",FALSE,A38:CX38)</f>
        <v>45574,8273777431,México,&lt;35 años,Masculino,Licenciatura,Como empleado de una empresa,USA,11-20 años,5-10 años,Technical Lead,Engineering Manager,Cognizant,&gt;500 empleados.,Empresa que subcontrata (outsourcing) los servicios de otra empresa situada en otro país,Multinacional,Muy Frecuentemente,Alto,3-4 días,1-2 días,,2 dias a la semana,,nada,Remota ( todos los días en casa),Impuesta por la empresa,En desacuerdo,Igual que cuando iba todos los días a la oficina,Mayor que cuando iba todos los días a la oficina,Igual que cuando iba todos los días a la oficina,Diferentes que cuando iba todos los días a la oficina, ahora necesito menos horas para hacer lo mismo,Todas por videoconferencia,Igual que cuando eran en la oficina,Mayor que cuando iba todos los días a la oficina,Mayor que cuando iba todos los días a la oficina,Mayor que cuando iba todos los días a la oficina,Igual que cuando iba todos los días a la oficina,Mucho Mejor que cuando iba todos los días a la oficina,Mejora mi desempeño en el trabajo,No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oficina,Mayor que cuando iba todos los días a la oficina,Mayor que cuando iba todos los días a la oficina,Menor que cuando iba todos los días a la oficina,Igual que cuando iba todos los días a la oficina,Igual que cuando iba todos los días a la oficina,Iguales que cuando iba todos los días a la oficina,Igual que cuando iba todos los días a la oficina,Mucho Mayor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oficina,Mucho menor que cuando iba todos los días a la oficina,Iguales que cuando iba todos los días a la oficina,Igual que cuando iba todos los días a la oficina,Igual que cuando iba todos los días a la oficina,,301+ empleados,0</v>
      </c>
    </row>
    <row r="39" spans="1:103" ht="14.4" x14ac:dyDescent="0.3">
      <c r="A39" s="42">
        <v>45574.581945821759</v>
      </c>
      <c r="B39" s="39" t="s">
        <v>205</v>
      </c>
      <c r="C39" s="39" t="s">
        <v>42</v>
      </c>
      <c r="D39" s="39" t="s">
        <v>81</v>
      </c>
      <c r="E39" s="39" t="s">
        <v>249</v>
      </c>
      <c r="F39" s="39" t="s">
        <v>39</v>
      </c>
      <c r="G39" s="39" t="s">
        <v>248</v>
      </c>
      <c r="H39" s="39" t="s">
        <v>36</v>
      </c>
      <c r="I39" s="39" t="s">
        <v>36</v>
      </c>
      <c r="J39" s="39" t="s">
        <v>247</v>
      </c>
      <c r="K39" s="39" t="s">
        <v>246</v>
      </c>
      <c r="L39" s="39" t="s">
        <v>245</v>
      </c>
      <c r="M39" s="39" t="s">
        <v>60</v>
      </c>
      <c r="N39" s="39" t="s">
        <v>79</v>
      </c>
      <c r="O39" s="39" t="s">
        <v>144</v>
      </c>
      <c r="P39" s="39" t="s">
        <v>136</v>
      </c>
      <c r="Q39" s="11" t="s">
        <v>28</v>
      </c>
      <c r="R39" s="39" t="s">
        <v>27</v>
      </c>
      <c r="S39" s="39" t="s">
        <v>244</v>
      </c>
      <c r="T39" s="39" t="s">
        <v>243</v>
      </c>
      <c r="U39" s="39" t="s">
        <v>243</v>
      </c>
      <c r="V39" s="39" t="s">
        <v>242</v>
      </c>
      <c r="W39" s="39" t="s">
        <v>241</v>
      </c>
      <c r="X39" s="39" t="s">
        <v>240</v>
      </c>
      <c r="Y39" s="39" t="s">
        <v>20</v>
      </c>
      <c r="Z39" s="39" t="s">
        <v>19</v>
      </c>
      <c r="AA39" s="39" t="s">
        <v>4</v>
      </c>
      <c r="AB39" s="39" t="s">
        <v>4</v>
      </c>
      <c r="AC39" s="39" t="s">
        <v>4</v>
      </c>
      <c r="AD39" s="39" t="s">
        <v>2</v>
      </c>
      <c r="AE39" s="39" t="s">
        <v>162</v>
      </c>
      <c r="AF39" s="39" t="s">
        <v>156</v>
      </c>
      <c r="AG39" s="39" t="s">
        <v>4</v>
      </c>
      <c r="AH39" s="39" t="s">
        <v>4</v>
      </c>
      <c r="AI39" s="39" t="s">
        <v>4</v>
      </c>
      <c r="AJ39" s="39" t="s">
        <v>4</v>
      </c>
      <c r="AK39" s="39" t="s">
        <v>4</v>
      </c>
      <c r="AL39" s="39" t="s">
        <v>15</v>
      </c>
      <c r="AM39" s="39" t="s">
        <v>68</v>
      </c>
      <c r="AN39" s="39" t="s">
        <v>4</v>
      </c>
      <c r="AO39" s="39" t="s">
        <v>4</v>
      </c>
      <c r="AP39" s="39" t="s">
        <v>4</v>
      </c>
      <c r="AQ39" s="39" t="s">
        <v>4</v>
      </c>
      <c r="AR39" s="39" t="s">
        <v>4</v>
      </c>
      <c r="AS39" s="39" t="s">
        <v>4</v>
      </c>
      <c r="AT39" s="39" t="s">
        <v>4</v>
      </c>
      <c r="AU39" s="39" t="s">
        <v>4</v>
      </c>
      <c r="AV39" s="39" t="s">
        <v>4</v>
      </c>
      <c r="AW39" s="39" t="s">
        <v>4</v>
      </c>
      <c r="AX39" s="39" t="s">
        <v>4</v>
      </c>
      <c r="AY39" s="39" t="s">
        <v>2</v>
      </c>
      <c r="AZ39" s="39" t="s">
        <v>4</v>
      </c>
      <c r="BA39" s="39" t="s">
        <v>4</v>
      </c>
      <c r="BB39" s="16" t="s">
        <v>4</v>
      </c>
      <c r="BC39" s="15" t="s">
        <v>4</v>
      </c>
      <c r="BD39" s="39" t="s">
        <v>4</v>
      </c>
      <c r="BE39" s="39" t="s">
        <v>4</v>
      </c>
      <c r="BF39" s="39" t="s">
        <v>4</v>
      </c>
      <c r="BG39" s="39" t="s">
        <v>4</v>
      </c>
      <c r="BH39" s="39" t="s">
        <v>2</v>
      </c>
      <c r="BI39" s="39" t="s">
        <v>4</v>
      </c>
      <c r="BJ39" s="39" t="s">
        <v>2</v>
      </c>
      <c r="BK39" s="39" t="s">
        <v>4</v>
      </c>
      <c r="BL39" s="39" t="s">
        <v>2</v>
      </c>
      <c r="BM39" s="39" t="s">
        <v>2</v>
      </c>
      <c r="BN39" s="39" t="s">
        <v>4</v>
      </c>
      <c r="BO39" s="39" t="s">
        <v>4</v>
      </c>
      <c r="BP39" s="39" t="s">
        <v>2</v>
      </c>
      <c r="BQ39" s="39" t="s">
        <v>4</v>
      </c>
      <c r="BR39" s="39" t="s">
        <v>4</v>
      </c>
      <c r="BS39" s="39" t="s">
        <v>4</v>
      </c>
      <c r="BT39" s="39" t="s">
        <v>2</v>
      </c>
      <c r="BU39" s="39" t="s">
        <v>4</v>
      </c>
      <c r="BV39" s="14" t="s">
        <v>4</v>
      </c>
      <c r="BW39" s="39" t="s">
        <v>4</v>
      </c>
      <c r="BX39" s="39" t="s">
        <v>4</v>
      </c>
      <c r="BY39" s="39" t="s">
        <v>4</v>
      </c>
      <c r="BZ39" s="39" t="s">
        <v>4</v>
      </c>
      <c r="CA39" s="39" t="s">
        <v>4</v>
      </c>
      <c r="CB39" s="39" t="s">
        <v>4</v>
      </c>
      <c r="CC39" s="39" t="s">
        <v>4</v>
      </c>
      <c r="CD39" s="39" t="s">
        <v>4</v>
      </c>
      <c r="CE39" s="39" t="s">
        <v>4</v>
      </c>
      <c r="CF39" s="39" t="s">
        <v>2</v>
      </c>
      <c r="CG39" s="39" t="s">
        <v>4</v>
      </c>
      <c r="CH39" s="39" t="s">
        <v>4</v>
      </c>
      <c r="CI39" s="39" t="s">
        <v>4</v>
      </c>
      <c r="CJ39" s="39" t="s">
        <v>4</v>
      </c>
      <c r="CK39" s="39" t="s">
        <v>4</v>
      </c>
      <c r="CL39" s="39" t="s">
        <v>4</v>
      </c>
      <c r="CM39" s="39" t="s">
        <v>4</v>
      </c>
      <c r="CN39" s="39" t="s">
        <v>4</v>
      </c>
      <c r="CO39" s="39" t="s">
        <v>4</v>
      </c>
      <c r="CP39" s="39" t="s">
        <v>4</v>
      </c>
      <c r="CQ39" s="39" t="s">
        <v>4</v>
      </c>
      <c r="CR39" s="39" t="s">
        <v>4</v>
      </c>
      <c r="CS39" s="39" t="s">
        <v>2</v>
      </c>
      <c r="CT39" s="39" t="s">
        <v>4</v>
      </c>
      <c r="CU39" s="39" t="s">
        <v>4</v>
      </c>
      <c r="CV39" s="44"/>
      <c r="CW39" t="s">
        <v>43</v>
      </c>
      <c r="CX39">
        <f>VLOOKUP(K39,Sheet2!$A$2:$B$58,2,0)</f>
        <v>0</v>
      </c>
      <c r="CY39" t="str">
        <f t="shared" si="2"/>
        <v>45574,5819458218,Colombia,36+ años,Femenino,POSTGRADOS,Como empleado de una empresa,BOGOTA,5-10 años,5-10 años,COORDINADOR MEDICO,COORDINADOR DE DATA CLINICAL ANALYTICS,HUSI,&gt;500 empleados.,Empresa que subcontrata (outsourcing) los servicios de otra del mismo país,Local,Casi Nunca,Alto,4-5 días,&gt;5 días,TODOS LOS DIAS,TODOS LOS DIAS,TODOS LOS DIAS ,NO,Presencial (todos los días en la oficina),Impuesta por la empresa,En desacuerdo,Igual que cuando iba todos los días a la oficina,Igual que cuando iba todos los días a la oficina,Igual que cuando iba todos los días a la oficina,Iguales que cuando iba todos los días a la oficina,La Mitad por videoconferencia y la mitad presencial,Mucho 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40" spans="1:103" ht="14.4" x14ac:dyDescent="0.3">
      <c r="A40" s="40">
        <v>45562.764146782407</v>
      </c>
      <c r="B40" s="39" t="s">
        <v>205</v>
      </c>
      <c r="C40" s="37" t="s">
        <v>42</v>
      </c>
      <c r="D40" s="37" t="s">
        <v>41</v>
      </c>
      <c r="E40" s="37" t="s">
        <v>237</v>
      </c>
      <c r="F40" s="37" t="s">
        <v>39</v>
      </c>
      <c r="G40" s="37" t="s">
        <v>205</v>
      </c>
      <c r="H40" s="37" t="s">
        <v>37</v>
      </c>
      <c r="I40" s="37" t="s">
        <v>63</v>
      </c>
      <c r="J40" s="37" t="s">
        <v>236</v>
      </c>
      <c r="K40" s="37" t="s">
        <v>235</v>
      </c>
      <c r="L40" s="36" t="s">
        <v>234</v>
      </c>
      <c r="M40" s="37" t="s">
        <v>146</v>
      </c>
      <c r="N40" s="37" t="s">
        <v>31</v>
      </c>
      <c r="O40" s="37" t="s">
        <v>160</v>
      </c>
      <c r="P40" s="37" t="s">
        <v>97</v>
      </c>
      <c r="Q40" s="11" t="s">
        <v>28</v>
      </c>
      <c r="R40" s="37" t="s">
        <v>27</v>
      </c>
      <c r="S40" s="37" t="s">
        <v>78</v>
      </c>
      <c r="T40" s="36" t="s">
        <v>233</v>
      </c>
      <c r="U40" s="37" t="s">
        <v>232</v>
      </c>
      <c r="V40" s="36" t="s">
        <v>231</v>
      </c>
      <c r="W40" s="36" t="s">
        <v>26</v>
      </c>
      <c r="X40" s="37" t="s">
        <v>152</v>
      </c>
      <c r="Y40" s="37" t="s">
        <v>105</v>
      </c>
      <c r="Z40" s="37" t="s">
        <v>113</v>
      </c>
      <c r="AA40" s="37" t="s">
        <v>4</v>
      </c>
      <c r="AB40" s="37" t="s">
        <v>4</v>
      </c>
      <c r="AC40" s="37" t="s">
        <v>4</v>
      </c>
      <c r="AD40" s="37" t="s">
        <v>76</v>
      </c>
      <c r="AE40" s="37" t="s">
        <v>75</v>
      </c>
      <c r="AF40" s="37" t="s">
        <v>112</v>
      </c>
      <c r="AG40" s="37" t="s">
        <v>3</v>
      </c>
      <c r="AH40" s="37" t="s">
        <v>3</v>
      </c>
      <c r="AI40" s="37" t="s">
        <v>3</v>
      </c>
      <c r="AJ40" s="37" t="s">
        <v>4</v>
      </c>
      <c r="AK40" s="37" t="s">
        <v>4</v>
      </c>
      <c r="AL40" s="37" t="s">
        <v>52</v>
      </c>
      <c r="AM40" s="37" t="s">
        <v>51</v>
      </c>
      <c r="AN40" s="37" t="s">
        <v>4</v>
      </c>
      <c r="AO40" s="37" t="s">
        <v>7</v>
      </c>
      <c r="AP40" s="37" t="s">
        <v>67</v>
      </c>
      <c r="AQ40" s="37" t="s">
        <v>4</v>
      </c>
      <c r="AR40" s="37" t="s">
        <v>4</v>
      </c>
      <c r="AS40" s="37" t="s">
        <v>4</v>
      </c>
      <c r="AT40" s="37" t="s">
        <v>4</v>
      </c>
      <c r="AU40" s="37" t="s">
        <v>49</v>
      </c>
      <c r="AV40" s="37" t="s">
        <v>10</v>
      </c>
      <c r="AW40" s="37" t="s">
        <v>4</v>
      </c>
      <c r="AX40" s="37" t="s">
        <v>4</v>
      </c>
      <c r="AY40" s="37" t="s">
        <v>2</v>
      </c>
      <c r="AZ40" s="37" t="s">
        <v>4</v>
      </c>
      <c r="BA40" s="37" t="s">
        <v>4</v>
      </c>
      <c r="BB40" s="9" t="s">
        <v>1</v>
      </c>
      <c r="BC40" s="8" t="s">
        <v>4</v>
      </c>
      <c r="BD40" s="37" t="s">
        <v>4</v>
      </c>
      <c r="BE40" s="37" t="s">
        <v>1</v>
      </c>
      <c r="BF40" s="37" t="s">
        <v>4</v>
      </c>
      <c r="BG40" s="37" t="s">
        <v>47</v>
      </c>
      <c r="BH40" s="37" t="s">
        <v>2</v>
      </c>
      <c r="BI40" s="37" t="s">
        <v>47</v>
      </c>
      <c r="BJ40" s="37" t="s">
        <v>45</v>
      </c>
      <c r="BK40" s="37" t="s">
        <v>5</v>
      </c>
      <c r="BL40" s="37" t="s">
        <v>45</v>
      </c>
      <c r="BM40" s="37" t="s">
        <v>2</v>
      </c>
      <c r="BN40" s="37" t="s">
        <v>4</v>
      </c>
      <c r="BO40" s="37" t="s">
        <v>4</v>
      </c>
      <c r="BP40" s="37" t="s">
        <v>45</v>
      </c>
      <c r="BQ40" s="37" t="s">
        <v>47</v>
      </c>
      <c r="BR40" s="37" t="s">
        <v>4</v>
      </c>
      <c r="BS40" s="37" t="s">
        <v>4</v>
      </c>
      <c r="BT40" s="37" t="s">
        <v>2</v>
      </c>
      <c r="BU40" s="37" t="s">
        <v>46</v>
      </c>
      <c r="BV40" s="7" t="s">
        <v>3</v>
      </c>
      <c r="BW40" s="37" t="s">
        <v>5</v>
      </c>
      <c r="BX40" s="37" t="s">
        <v>5</v>
      </c>
      <c r="BY40" s="37" t="s">
        <v>5</v>
      </c>
      <c r="BZ40" s="37" t="s">
        <v>5</v>
      </c>
      <c r="CA40" s="37" t="s">
        <v>4</v>
      </c>
      <c r="CB40" s="37" t="s">
        <v>5</v>
      </c>
      <c r="CC40" s="37" t="s">
        <v>5</v>
      </c>
      <c r="CD40" s="37" t="s">
        <v>4</v>
      </c>
      <c r="CE40" s="37" t="s">
        <v>10</v>
      </c>
      <c r="CF40" s="37" t="s">
        <v>45</v>
      </c>
      <c r="CG40" s="37" t="s">
        <v>5</v>
      </c>
      <c r="CH40" s="37" t="s">
        <v>5</v>
      </c>
      <c r="CI40" s="37" t="s">
        <v>4</v>
      </c>
      <c r="CJ40" s="37" t="s">
        <v>4</v>
      </c>
      <c r="CK40" s="37" t="s">
        <v>1</v>
      </c>
      <c r="CL40" s="37" t="s">
        <v>4</v>
      </c>
      <c r="CM40" s="37" t="s">
        <v>46</v>
      </c>
      <c r="CN40" s="37" t="s">
        <v>4</v>
      </c>
      <c r="CO40" s="37" t="s">
        <v>1</v>
      </c>
      <c r="CP40" s="37" t="s">
        <v>4</v>
      </c>
      <c r="CQ40" s="37" t="s">
        <v>3</v>
      </c>
      <c r="CR40" s="37" t="s">
        <v>1</v>
      </c>
      <c r="CS40" s="37" t="s">
        <v>6</v>
      </c>
      <c r="CT40" s="37" t="s">
        <v>5</v>
      </c>
      <c r="CU40" s="37" t="s">
        <v>47</v>
      </c>
      <c r="CV40" s="38"/>
      <c r="CW40" t="s">
        <v>0</v>
      </c>
      <c r="CX40">
        <f>VLOOKUP(K40,Sheet2!$A$2:$B$58,2,0)</f>
        <v>1</v>
      </c>
      <c r="CY40" t="str">
        <f t="shared" si="2"/>
        <v>45562,7641467824,Colombia,36+ años,Masculino,Phd,Como empleado de una empresa,Colombia,11-20 años,10-20 años,Gerente de TI,Ceo,Software Colombia S.A.S.,51-150 empleados,Fábrica de Software,Nacional (múltiples sedes en el mismo país),A veces,Alto,4-5 días,1-2 días,Spring review,Reuniones con clientes,Seguimiento de proyectos importantes,Ninguno,Híbrida oficina (más días en la oficina que en casa),Decidida por ti,De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oficina,Mejora mucho mi desempeño en el trabajo,Mejoran mucho mi productividad,Igual que cuando iba todos los días a la oficina,Mucho menor que cuando iba todos los días a la oficina,Mucho menos que cuando iba todos los días a la oficina,Igual que cuando iba todos los días a la oficina,Igual que cuando iba todos los días a la oficina,Igual que cuando iba todos los días a la oficina,Igual que cuando iba todos los días a la oficina,Menos que cuando iba todos los días a la oficina,Mas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oficina,Mucho mayor que cuando iba todos los días a la oficina,Iguales que cuando iba todos los días a la oficina,Mucho mayor que cuando iba todos los días a la oficina,Mayores que cuando iba todos los días a la oficina,Mayor que cuando iba todos los días a la oficina,Mayores que cuando iba todos los días a la oficina,Iguales que cuando iba todos los días a la oficina,Igual que cuando iba todos los días a la oficina,Igual que cuando iba todos los días a la oficina,Mayores que cuando iba todos los días a la oficina,Mucho 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oficina,Mayores que cuando iba todos los días a la oficina,Mayor que cuando iba todos los días a la oficina,Mayor que cuando iba todos los días a la oficina,Igual que cuando iba todos los días a la oficina,Igual que cuando iba todos los días a la oficina,Menor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oficina,Menor que cuando iba todos los días a la oficina,Menores que cuando iba todos los días a la oficina,Mayor que cuando iba todos los días a la oficina,Mucho mayor que cuando iba todos los días a la oficina,,&lt;301 empleados,1</v>
      </c>
    </row>
    <row r="41" spans="1:103" ht="14.4" x14ac:dyDescent="0.3">
      <c r="A41" s="42">
        <v>45565.799869953698</v>
      </c>
      <c r="B41" s="39" t="s">
        <v>205</v>
      </c>
      <c r="C41" s="39" t="s">
        <v>42</v>
      </c>
      <c r="D41" s="39" t="s">
        <v>81</v>
      </c>
      <c r="E41" s="39" t="s">
        <v>111</v>
      </c>
      <c r="F41" s="39" t="s">
        <v>39</v>
      </c>
      <c r="G41" s="39" t="s">
        <v>205</v>
      </c>
      <c r="H41" s="39" t="s">
        <v>36</v>
      </c>
      <c r="I41" s="39" t="s">
        <v>36</v>
      </c>
      <c r="J41" s="39" t="s">
        <v>230</v>
      </c>
      <c r="K41" s="39" t="s">
        <v>229</v>
      </c>
      <c r="L41" s="39" t="s">
        <v>221</v>
      </c>
      <c r="M41" s="39" t="s">
        <v>137</v>
      </c>
      <c r="N41" s="39" t="s">
        <v>91</v>
      </c>
      <c r="O41" s="39" t="s">
        <v>144</v>
      </c>
      <c r="P41" s="39" t="s">
        <v>97</v>
      </c>
      <c r="Q41" s="11" t="s">
        <v>28</v>
      </c>
      <c r="R41" s="39" t="s">
        <v>27</v>
      </c>
      <c r="S41" s="39" t="s">
        <v>26</v>
      </c>
      <c r="T41" s="39" t="s">
        <v>228</v>
      </c>
      <c r="U41" s="38"/>
      <c r="V41" s="41"/>
      <c r="W41" s="41"/>
      <c r="X41" s="39" t="s">
        <v>73</v>
      </c>
      <c r="Y41" s="39" t="s">
        <v>72</v>
      </c>
      <c r="Z41" s="39" t="s">
        <v>87</v>
      </c>
      <c r="AA41" s="39" t="s">
        <v>4</v>
      </c>
      <c r="AB41" s="39" t="s">
        <v>4</v>
      </c>
      <c r="AC41" s="39" t="s">
        <v>4</v>
      </c>
      <c r="AD41" s="39" t="s">
        <v>55</v>
      </c>
      <c r="AE41" s="39" t="s">
        <v>75</v>
      </c>
      <c r="AF41" s="39" t="s">
        <v>70</v>
      </c>
      <c r="AG41" s="39" t="s">
        <v>5</v>
      </c>
      <c r="AH41" s="39" t="s">
        <v>3</v>
      </c>
      <c r="AI41" s="39" t="s">
        <v>5</v>
      </c>
      <c r="AJ41" s="39" t="s">
        <v>5</v>
      </c>
      <c r="AK41" s="39" t="s">
        <v>5</v>
      </c>
      <c r="AL41" s="39" t="s">
        <v>74</v>
      </c>
      <c r="AM41" s="39" t="s">
        <v>68</v>
      </c>
      <c r="AN41" s="39" t="s">
        <v>5</v>
      </c>
      <c r="AO41" s="39" t="s">
        <v>4</v>
      </c>
      <c r="AP41" s="39" t="s">
        <v>4</v>
      </c>
      <c r="AQ41" s="39" t="s">
        <v>4</v>
      </c>
      <c r="AR41" s="39" t="s">
        <v>86</v>
      </c>
      <c r="AS41" s="39" t="s">
        <v>67</v>
      </c>
      <c r="AT41" s="39" t="s">
        <v>8</v>
      </c>
      <c r="AU41" s="39" t="s">
        <v>4</v>
      </c>
      <c r="AV41" s="39" t="s">
        <v>10</v>
      </c>
      <c r="AW41" s="39" t="s">
        <v>4</v>
      </c>
      <c r="AX41" s="39" t="s">
        <v>4</v>
      </c>
      <c r="AY41" s="39" t="s">
        <v>45</v>
      </c>
      <c r="AZ41" s="39" t="s">
        <v>5</v>
      </c>
      <c r="BA41" s="39" t="s">
        <v>4</v>
      </c>
      <c r="BB41" s="16" t="s">
        <v>5</v>
      </c>
      <c r="BC41" s="15" t="s">
        <v>4</v>
      </c>
      <c r="BD41" s="39" t="s">
        <v>4</v>
      </c>
      <c r="BE41" s="39" t="s">
        <v>5</v>
      </c>
      <c r="BF41" s="39" t="s">
        <v>1</v>
      </c>
      <c r="BG41" s="39" t="s">
        <v>5</v>
      </c>
      <c r="BH41" s="39" t="s">
        <v>6</v>
      </c>
      <c r="BI41" s="39" t="s">
        <v>47</v>
      </c>
      <c r="BJ41" s="39" t="s">
        <v>6</v>
      </c>
      <c r="BK41" s="39" t="s">
        <v>47</v>
      </c>
      <c r="BL41" s="39" t="s">
        <v>2</v>
      </c>
      <c r="BM41" s="39" t="s">
        <v>2</v>
      </c>
      <c r="BN41" s="39" t="s">
        <v>147</v>
      </c>
      <c r="BO41" s="39" t="s">
        <v>4</v>
      </c>
      <c r="BP41" s="39" t="s">
        <v>6</v>
      </c>
      <c r="BQ41" s="39" t="s">
        <v>5</v>
      </c>
      <c r="BR41" s="39" t="s">
        <v>4</v>
      </c>
      <c r="BS41" s="39" t="s">
        <v>4</v>
      </c>
      <c r="BT41" s="39" t="s">
        <v>2</v>
      </c>
      <c r="BU41" s="39" t="s">
        <v>46</v>
      </c>
      <c r="BV41" s="14" t="s">
        <v>3</v>
      </c>
      <c r="BW41" s="39" t="s">
        <v>3</v>
      </c>
      <c r="BX41" s="39" t="s">
        <v>47</v>
      </c>
      <c r="BY41" s="39" t="s">
        <v>4</v>
      </c>
      <c r="BZ41" s="39" t="s">
        <v>5</v>
      </c>
      <c r="CA41" s="39" t="s">
        <v>4</v>
      </c>
      <c r="CB41" s="39" t="s">
        <v>3</v>
      </c>
      <c r="CC41" s="39" t="s">
        <v>3</v>
      </c>
      <c r="CD41" s="39" t="s">
        <v>4</v>
      </c>
      <c r="CE41" s="39" t="s">
        <v>4</v>
      </c>
      <c r="CF41" s="39" t="s">
        <v>2</v>
      </c>
      <c r="CG41" s="39" t="s">
        <v>5</v>
      </c>
      <c r="CH41" s="39" t="s">
        <v>1</v>
      </c>
      <c r="CI41" s="39" t="s">
        <v>4</v>
      </c>
      <c r="CJ41" s="39" t="s">
        <v>1</v>
      </c>
      <c r="CK41" s="39" t="s">
        <v>5</v>
      </c>
      <c r="CL41" s="39" t="s">
        <v>4</v>
      </c>
      <c r="CM41" s="39" t="s">
        <v>46</v>
      </c>
      <c r="CN41" s="39" t="s">
        <v>4</v>
      </c>
      <c r="CO41" s="39" t="s">
        <v>1</v>
      </c>
      <c r="CP41" s="39" t="s">
        <v>5</v>
      </c>
      <c r="CQ41" s="39" t="s">
        <v>5</v>
      </c>
      <c r="CR41" s="39" t="s">
        <v>1</v>
      </c>
      <c r="CS41" s="39" t="s">
        <v>2</v>
      </c>
      <c r="CT41" s="39" t="s">
        <v>4</v>
      </c>
      <c r="CU41" s="39" t="s">
        <v>5</v>
      </c>
      <c r="CV41" s="36" t="s">
        <v>227</v>
      </c>
      <c r="CW41" t="s">
        <v>43</v>
      </c>
      <c r="CX41">
        <f>VLOOKUP(K41,Sheet2!$A$2:$B$58,2,0)</f>
        <v>0</v>
      </c>
      <c r="CY41" t="str">
        <f t="shared" si="2"/>
        <v>45565,7998699537,Colombia,36+ años,Femenino,Maestria,Como empleado de una empresa,Colombia,5-10 años,5-10 años,Ingeniera de desarrollo de software Senior,Coordinadora Equipo de Desarrollo de Software,Universidad de los Andes,301-500 empleados,Empresa que desarrolla software a medida partiendo desde cero,Local,A veces,Alto,4-5 días,Ninguno,Integraciones de equipo, Reuniones con foco estratégico, Reuniones con equipo interdisciplinar no solo el área de TI.,,,,Remota ( todos los días en casa),Consensuada por las dos partes,Totalmente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mismo,Casi todas por videoconferencia,Menor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trabajo,No afectan a mi productividad,Mayor que cuando iba todos los días a la oficina,Igual que cuando iba todos los días a la oficina,Igual que cuando iba todos los días a la oficina,Igual que cuando iba todos los días a la oficina,No trabajo con personas con un horario distinto al mío,Mucho menos que cuando iba todos los días a la oficina,Más que cuando iba todos los días a la oficina,Igual que cuando iba todos los días a la oficina,Mas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oficina,Menores que cuando iba todos los días a la oficina,Mucho mayor que cuando iba todos los días a la oficina,Menores que cuando iba todos los días a la oficina,Mucho mayor que cuando iba todos los días a la oficina,Iguales que cuando iba todos los días a la oficina,Iguales que cuando iba todos los días a la oficina,No trabajo con personas con distintos horarios,Igual que cuando iba todos los días a la oficina,Menores que cuando iba todos los días a la oficina,Mayor que cuando iba todos los días a la oficina,Igual que cuando iba todos los días a la oficina,Igual que cuando iba todos los días a la oficina,Iguales que cuando iba todos los días a la oficina,Mejor que cuando iba todos los días a la oficina,Mucho Mayor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oficina,Mucho Mayor que cuando iba todos los días a la oficina,Mucho Mayor que cuando iba todos los días a la oficina,Igual que cuando iba todos los días a la oficina,Igual que cuando iba todos los días a la oficina,Iguales que cuando iba todos los días a la oficina,Mayor que cuando iba todos los días a la oficina,Menor que cuando iba todos los días a la oficina,Igual que cuando iba todos los días a la oficina,Menor que cuando iba todos los días a la oficina,Mayor que cuando iba todos los días a la oficina,Igual que cuando iba todos los días a la oficina,Mejor que cuando iba todos los días a la oficina,Igual que cuando iba todos los días a la oficina,Menor que cuando iba todos los días a la oficina,Mayor que cuando iba todos los días a la oficina,Mayor que cuando iba todos los días a la oficina,Menor que cuando iba todos los días a la oficina,Iguales que cuando iba todos los días a la oficina,Igual que cuando iba todos los días a la oficina,Mayor que cuando iba todos los días a la oficina,cv.hernandez10@uniandes.edu.co,301+ empleados,0</v>
      </c>
    </row>
    <row r="42" spans="1:103" ht="14.4" x14ac:dyDescent="0.3">
      <c r="A42" s="40">
        <v>45573.012349189812</v>
      </c>
      <c r="B42" s="39" t="s">
        <v>205</v>
      </c>
      <c r="C42" s="37" t="s">
        <v>42</v>
      </c>
      <c r="D42" s="37" t="s">
        <v>41</v>
      </c>
      <c r="E42" s="37" t="s">
        <v>173</v>
      </c>
      <c r="F42" s="37" t="s">
        <v>39</v>
      </c>
      <c r="G42" s="37" t="s">
        <v>205</v>
      </c>
      <c r="H42" s="37" t="s">
        <v>37</v>
      </c>
      <c r="I42" s="37" t="s">
        <v>36</v>
      </c>
      <c r="J42" s="37" t="s">
        <v>226</v>
      </c>
      <c r="K42" s="37" t="s">
        <v>225</v>
      </c>
      <c r="L42" s="38"/>
      <c r="M42" s="37" t="s">
        <v>98</v>
      </c>
      <c r="N42" s="37" t="s">
        <v>91</v>
      </c>
      <c r="O42" s="37" t="s">
        <v>144</v>
      </c>
      <c r="P42" s="37" t="s">
        <v>136</v>
      </c>
      <c r="Q42" s="11" t="s">
        <v>28</v>
      </c>
      <c r="R42" s="37" t="s">
        <v>27</v>
      </c>
      <c r="S42" s="37" t="s">
        <v>26</v>
      </c>
      <c r="T42" s="36" t="s">
        <v>148</v>
      </c>
      <c r="U42" s="36" t="s">
        <v>148</v>
      </c>
      <c r="V42" s="36" t="s">
        <v>224</v>
      </c>
      <c r="W42" s="36" t="s">
        <v>26</v>
      </c>
      <c r="X42" s="37" t="s">
        <v>73</v>
      </c>
      <c r="Y42" s="37" t="s">
        <v>72</v>
      </c>
      <c r="Z42" s="37" t="s">
        <v>113</v>
      </c>
      <c r="AA42" s="37" t="s">
        <v>5</v>
      </c>
      <c r="AB42" s="37" t="s">
        <v>4</v>
      </c>
      <c r="AC42" s="37" t="s">
        <v>4</v>
      </c>
      <c r="AD42" s="37" t="s">
        <v>2</v>
      </c>
      <c r="AE42" s="37" t="s">
        <v>18</v>
      </c>
      <c r="AF42" s="37" t="s">
        <v>54</v>
      </c>
      <c r="AG42" s="37" t="s">
        <v>3</v>
      </c>
      <c r="AH42" s="37" t="s">
        <v>3</v>
      </c>
      <c r="AI42" s="37" t="s">
        <v>5</v>
      </c>
      <c r="AJ42" s="37" t="s">
        <v>5</v>
      </c>
      <c r="AK42" s="37" t="s">
        <v>53</v>
      </c>
      <c r="AL42" s="37" t="s">
        <v>74</v>
      </c>
      <c r="AM42" s="37" t="s">
        <v>14</v>
      </c>
      <c r="AN42" s="37" t="s">
        <v>47</v>
      </c>
      <c r="AO42" s="37" t="s">
        <v>1</v>
      </c>
      <c r="AP42" s="37" t="s">
        <v>49</v>
      </c>
      <c r="AQ42" s="37" t="s">
        <v>4</v>
      </c>
      <c r="AR42" s="37" t="s">
        <v>86</v>
      </c>
      <c r="AS42" s="37" t="s">
        <v>4</v>
      </c>
      <c r="AT42" s="37" t="s">
        <v>49</v>
      </c>
      <c r="AU42" s="37" t="s">
        <v>67</v>
      </c>
      <c r="AV42" s="37" t="s">
        <v>4</v>
      </c>
      <c r="AW42" s="37" t="s">
        <v>4</v>
      </c>
      <c r="AX42" s="37" t="s">
        <v>4</v>
      </c>
      <c r="AY42" s="37" t="s">
        <v>45</v>
      </c>
      <c r="AZ42" s="37" t="s">
        <v>5</v>
      </c>
      <c r="BA42" s="37" t="s">
        <v>5</v>
      </c>
      <c r="BB42" s="9" t="s">
        <v>7</v>
      </c>
      <c r="BC42" s="8" t="s">
        <v>4</v>
      </c>
      <c r="BD42" s="37" t="s">
        <v>7</v>
      </c>
      <c r="BE42" s="37" t="s">
        <v>7</v>
      </c>
      <c r="BF42" s="37" t="s">
        <v>4</v>
      </c>
      <c r="BG42" s="37" t="s">
        <v>47</v>
      </c>
      <c r="BH42" s="37" t="s">
        <v>2</v>
      </c>
      <c r="BI42" s="37" t="s">
        <v>47</v>
      </c>
      <c r="BJ42" s="37" t="s">
        <v>2</v>
      </c>
      <c r="BK42" s="37" t="s">
        <v>5</v>
      </c>
      <c r="BL42" s="37" t="s">
        <v>2</v>
      </c>
      <c r="BM42" s="37" t="s">
        <v>135</v>
      </c>
      <c r="BN42" s="37" t="s">
        <v>147</v>
      </c>
      <c r="BO42" s="37" t="s">
        <v>4</v>
      </c>
      <c r="BP42" s="37" t="s">
        <v>50</v>
      </c>
      <c r="BQ42" s="37" t="s">
        <v>47</v>
      </c>
      <c r="BR42" s="37" t="s">
        <v>4</v>
      </c>
      <c r="BS42" s="37" t="s">
        <v>49</v>
      </c>
      <c r="BT42" s="37" t="s">
        <v>6</v>
      </c>
      <c r="BU42" s="37" t="s">
        <v>104</v>
      </c>
      <c r="BV42" s="7" t="s">
        <v>3</v>
      </c>
      <c r="BW42" s="37" t="s">
        <v>3</v>
      </c>
      <c r="BX42" s="37" t="s">
        <v>47</v>
      </c>
      <c r="BY42" s="37" t="s">
        <v>4</v>
      </c>
      <c r="BZ42" s="37" t="s">
        <v>4</v>
      </c>
      <c r="CA42" s="37" t="s">
        <v>5</v>
      </c>
      <c r="CB42" s="37" t="s">
        <v>3</v>
      </c>
      <c r="CC42" s="37" t="s">
        <v>7</v>
      </c>
      <c r="CD42" s="37" t="s">
        <v>5</v>
      </c>
      <c r="CE42" s="37" t="s">
        <v>4</v>
      </c>
      <c r="CF42" s="37" t="s">
        <v>2</v>
      </c>
      <c r="CG42" s="37" t="s">
        <v>5</v>
      </c>
      <c r="CH42" s="37" t="s">
        <v>3</v>
      </c>
      <c r="CI42" s="37" t="s">
        <v>4</v>
      </c>
      <c r="CJ42" s="37" t="s">
        <v>1</v>
      </c>
      <c r="CK42" s="37" t="s">
        <v>5</v>
      </c>
      <c r="CL42" s="37" t="s">
        <v>1</v>
      </c>
      <c r="CM42" s="37" t="s">
        <v>53</v>
      </c>
      <c r="CN42" s="37" t="s">
        <v>4</v>
      </c>
      <c r="CO42" s="37" t="s">
        <v>4</v>
      </c>
      <c r="CP42" s="37" t="s">
        <v>5</v>
      </c>
      <c r="CQ42" s="37" t="s">
        <v>5</v>
      </c>
      <c r="CR42" s="37" t="s">
        <v>7</v>
      </c>
      <c r="CS42" s="37" t="s">
        <v>6</v>
      </c>
      <c r="CT42" s="37" t="s">
        <v>5</v>
      </c>
      <c r="CU42" s="37" t="s">
        <v>5</v>
      </c>
      <c r="CV42" s="45" t="s">
        <v>223</v>
      </c>
      <c r="CW42" t="s">
        <v>0</v>
      </c>
      <c r="CX42">
        <f>VLOOKUP(K42,Sheet2!$A$2:$B$58,2,0)</f>
        <v>0</v>
      </c>
      <c r="CY42" t="str">
        <f t="shared" si="2"/>
        <v>45573,0123491898,Colombia,36+ años,Masculino,Postgrado,Como empleado de una empresa,Colombia,11-20 años,5-10 años,Ingeniero de desarrollo de software,Director de desarrollo de soluciones,,151-300 empleados,Empresa que desarrolla software a medida partiendo desde cero,Local,Casi Nunca,Alto,4-5 días,Ninguno,NA,NA,para encuentros de toda la empresa ,Ninguno,Remota ( todos los días en casa),Consensuada por las dos partes,De acuerdo,Mayor que cuando iba todos los días a la oficina,Igual que cuando iba todos los días a la oficina,Igual que cuando iba todos los días a la oficina,Iguales que cuando iba todos los días a la oficina,Todas por videoconferencia,Mucho menor que cuando eran en la oficina,Mucho Mayor que cuando iba todos los días a la oficina,Mucho Mayor que cuando iba todos los días a la oficina,Mayor que cuando iba todos los días a la oficina,Mayor que cuando iba todos los días a la oficina,Mucho Mejor que cuando iba todos los días a la oficina,Mejora mi desempeño en el trabajo,Mejoran mi productividad,Mucho mayor que cuando iba todos los días a la oficina,Menor que cuando iba todos los días a la oficina,Menos que cuando iba todos los días a la oficina,Igual que cuando iba todos los días a la oficina,No trabajo con personas con un horario distinto al mío,Igual que cuando iba todos los días a la oficina,Menos que cuando iba todos los días a la oficina,Mucho menos que cuando iba todos los días a la oficina,Igual que cuando iba todos los días a la oficina,Igual que cuando iba todos los días a la oficina,Igual que cuando iba todos los días a la oficina,Mayores que cuando iba todos los días a la oficina,Mayor que cuando iba todos los días a la oficina,Mayor que cuando iba todos los días a la oficina,Mucho menor que cuando iba todos los días a la oficina,Igual que cuando iba todos los días a la oficina,Mucho 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oficina,No tengo que utilizar diferentes idiomas en mi trabajo,No trabajo con personas con distintos horarios,Igual que cuando iba todos los días a la oficina,Mucho menores que cuando iba todos los días a la oficina,Mucho mayor que cuando iba todos los días a la oficina,Igual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 que cuando iba todos los días a la oficina,Mucho Mayor que cuando iba todos los días a la oficina,Mucho menor que cuando iba todos los días a la oficina,Mayor que cuando iba todos los días a la oficina,Igual que cuando iba todos los días a la oficina,Iguales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oficina,Menor que cuando iba todos los días a la oficina,Mucho Mejor que cuando iba todos los días a la oficina,Igual que cuando iba todos los días a la oficina,Igual que cuando iba todos los días a la oficina,Mayor que cuando iba todos los días a la oficina,Mayor que cuando iba todos los días a la oficina,Mucho menor que cuando iba todos los días a la oficina,Menores que cuando iba todos los días a la oficina,Mayor que cuando iba todos los días a la oficina,Mayor que cuando iba todos los días a la oficina,john.osorioc@outlook.com,&lt;301 empleados,0</v>
      </c>
    </row>
    <row r="43" spans="1:103" ht="13.8" x14ac:dyDescent="0.3">
      <c r="A43" s="40">
        <v>45561.694988043979</v>
      </c>
      <c r="B43" s="39" t="s">
        <v>205</v>
      </c>
      <c r="C43" s="37" t="s">
        <v>42</v>
      </c>
      <c r="D43" s="37" t="s">
        <v>41</v>
      </c>
      <c r="E43" s="37" t="s">
        <v>103</v>
      </c>
      <c r="F43" s="37" t="s">
        <v>39</v>
      </c>
      <c r="G43" s="37" t="s">
        <v>205</v>
      </c>
      <c r="H43" s="37" t="s">
        <v>37</v>
      </c>
      <c r="I43" s="37" t="s">
        <v>36</v>
      </c>
      <c r="J43" s="37" t="s">
        <v>220</v>
      </c>
      <c r="K43" s="37" t="s">
        <v>219</v>
      </c>
      <c r="L43" s="37" t="s">
        <v>218</v>
      </c>
      <c r="M43" s="37" t="s">
        <v>60</v>
      </c>
      <c r="N43" s="37" t="s">
        <v>91</v>
      </c>
      <c r="O43" s="37" t="s">
        <v>30</v>
      </c>
      <c r="P43" s="37" t="s">
        <v>136</v>
      </c>
      <c r="Q43" s="11" t="s">
        <v>28</v>
      </c>
      <c r="R43" s="37" t="s">
        <v>27</v>
      </c>
      <c r="S43" s="37" t="s">
        <v>78</v>
      </c>
      <c r="T43" s="36" t="s">
        <v>217</v>
      </c>
      <c r="U43" s="36" t="s">
        <v>216</v>
      </c>
      <c r="V43" s="37" t="s">
        <v>181</v>
      </c>
      <c r="W43" s="37" t="s">
        <v>121</v>
      </c>
      <c r="X43" s="37" t="s">
        <v>73</v>
      </c>
      <c r="Y43" s="37" t="s">
        <v>105</v>
      </c>
      <c r="Z43" s="37" t="s">
        <v>113</v>
      </c>
      <c r="AA43" s="37" t="s">
        <v>5</v>
      </c>
      <c r="AB43" s="37" t="s">
        <v>4</v>
      </c>
      <c r="AC43" s="37" t="s">
        <v>4</v>
      </c>
      <c r="AD43" s="37" t="s">
        <v>76</v>
      </c>
      <c r="AE43" s="37" t="s">
        <v>162</v>
      </c>
      <c r="AF43" s="37" t="s">
        <v>54</v>
      </c>
      <c r="AG43" s="37" t="s">
        <v>5</v>
      </c>
      <c r="AH43" s="37" t="s">
        <v>3</v>
      </c>
      <c r="AI43" s="37" t="s">
        <v>5</v>
      </c>
      <c r="AJ43" s="37" t="s">
        <v>5</v>
      </c>
      <c r="AK43" s="37" t="s">
        <v>5</v>
      </c>
      <c r="AL43" s="37" t="s">
        <v>74</v>
      </c>
      <c r="AM43" s="37" t="s">
        <v>14</v>
      </c>
      <c r="AN43" s="37" t="s">
        <v>5</v>
      </c>
      <c r="AO43" s="37" t="s">
        <v>47</v>
      </c>
      <c r="AP43" s="37" t="s">
        <v>11</v>
      </c>
      <c r="AQ43" s="37" t="s">
        <v>4</v>
      </c>
      <c r="AR43" s="37" t="s">
        <v>4</v>
      </c>
      <c r="AS43" s="37" t="s">
        <v>150</v>
      </c>
      <c r="AT43" s="37" t="s">
        <v>11</v>
      </c>
      <c r="AU43" s="37" t="s">
        <v>49</v>
      </c>
      <c r="AV43" s="37" t="s">
        <v>49</v>
      </c>
      <c r="AW43" s="37" t="s">
        <v>49</v>
      </c>
      <c r="AX43" s="37" t="s">
        <v>49</v>
      </c>
      <c r="AY43" s="37" t="s">
        <v>45</v>
      </c>
      <c r="AZ43" s="37" t="s">
        <v>5</v>
      </c>
      <c r="BA43" s="37" t="s">
        <v>5</v>
      </c>
      <c r="BB43" s="9" t="s">
        <v>1</v>
      </c>
      <c r="BC43" s="8" t="s">
        <v>3</v>
      </c>
      <c r="BD43" s="37" t="s">
        <v>3</v>
      </c>
      <c r="BE43" s="37" t="s">
        <v>7</v>
      </c>
      <c r="BF43" s="37" t="s">
        <v>7</v>
      </c>
      <c r="BG43" s="37" t="s">
        <v>47</v>
      </c>
      <c r="BH43" s="37" t="s">
        <v>2</v>
      </c>
      <c r="BI43" s="37" t="s">
        <v>5</v>
      </c>
      <c r="BJ43" s="37" t="s">
        <v>9</v>
      </c>
      <c r="BK43" s="37" t="s">
        <v>47</v>
      </c>
      <c r="BL43" s="37" t="s">
        <v>6</v>
      </c>
      <c r="BM43" s="37" t="s">
        <v>135</v>
      </c>
      <c r="BN43" s="37" t="s">
        <v>147</v>
      </c>
      <c r="BO43" s="37" t="s">
        <v>4</v>
      </c>
      <c r="BP43" s="37" t="s">
        <v>6</v>
      </c>
      <c r="BQ43" s="37" t="s">
        <v>1</v>
      </c>
      <c r="BR43" s="37" t="s">
        <v>1</v>
      </c>
      <c r="BS43" s="37" t="s">
        <v>49</v>
      </c>
      <c r="BT43" s="37" t="s">
        <v>6</v>
      </c>
      <c r="BU43" s="37" t="s">
        <v>104</v>
      </c>
      <c r="BV43" s="7" t="s">
        <v>3</v>
      </c>
      <c r="BW43" s="37" t="s">
        <v>5</v>
      </c>
      <c r="BX43" s="37" t="s">
        <v>5</v>
      </c>
      <c r="BY43" s="37" t="s">
        <v>3</v>
      </c>
      <c r="BZ43" s="37" t="s">
        <v>3</v>
      </c>
      <c r="CA43" s="37" t="s">
        <v>3</v>
      </c>
      <c r="CB43" s="37" t="s">
        <v>3</v>
      </c>
      <c r="CC43" s="37" t="s">
        <v>3</v>
      </c>
      <c r="CD43" s="37" t="s">
        <v>47</v>
      </c>
      <c r="CE43" s="37" t="s">
        <v>83</v>
      </c>
      <c r="CF43" s="37" t="s">
        <v>45</v>
      </c>
      <c r="CG43" s="37" t="s">
        <v>5</v>
      </c>
      <c r="CH43" s="37" t="s">
        <v>3</v>
      </c>
      <c r="CI43" s="37" t="s">
        <v>5</v>
      </c>
      <c r="CJ43" s="37" t="s">
        <v>5</v>
      </c>
      <c r="CK43" s="37" t="s">
        <v>5</v>
      </c>
      <c r="CL43" s="37" t="s">
        <v>5</v>
      </c>
      <c r="CM43" s="37" t="s">
        <v>46</v>
      </c>
      <c r="CN43" s="37" t="s">
        <v>5</v>
      </c>
      <c r="CO43" s="37" t="s">
        <v>5</v>
      </c>
      <c r="CP43" s="37" t="s">
        <v>5</v>
      </c>
      <c r="CQ43" s="37" t="s">
        <v>5</v>
      </c>
      <c r="CR43" s="37" t="s">
        <v>5</v>
      </c>
      <c r="CS43" s="37" t="s">
        <v>6</v>
      </c>
      <c r="CT43" s="37" t="s">
        <v>3</v>
      </c>
      <c r="CU43" s="37" t="s">
        <v>47</v>
      </c>
      <c r="CV43" s="36" t="s">
        <v>215</v>
      </c>
      <c r="CW43" t="s">
        <v>43</v>
      </c>
      <c r="CX43">
        <f>VLOOKUP(K43,Sheet2!$A$2:$B$58,2,0)</f>
        <v>0</v>
      </c>
      <c r="CY43" t="str">
        <f t="shared" si="2"/>
        <v>45561,694988044,Colombia,36+ años,Masculino,Maestría,Como empleado de una empresa,Colombia,11-20 años,5-10 años,Instructor,Gerente de Innovación y Tecnología,Automundial,&gt;500 empleados.,Empresa que desarrolla software a medida partiendo desde cero,Multinacional,Casi Nunca,Alto,4-5 días,1-2 días,Reuniones específicas,No me obligan,Reuniones puntuales,No,Remota ( todos los días en casa),Decidida por ti,De acuerdo,Mayor que cuando iba todos los días a la oficina,Igual que cuando iba todos los días a la oficina,Igual que cuando iba todos los días a la oficina,Diferentes que cuando iba todos los días a la oficina, ahora necesito menos horas para hacer lo mismo,La Mitad por videoconferencia y la mitad presencial,Mucho menor que cuando eran en la oficina,Mayor que cuando iba todos los días a la oficina,Mucho Mayor que cuando iba todos los días a la oficina,Mayor que cuando iba todos los días a la oficina,Mayor que cuando iba todos los días a la oficina,Mayor que cuando iba todos los días a la oficina,Mejora mi desempeño en el trabajo,Mejoran mi productividad,Mayor que cuando iba todos los días a la oficina,Mucho mayor que cuando iba todos los días a la oficina,Mucho más que cuando iba todos los días a la oficina,Igual que cuando iba todos los días a la oficina,Igual que cuando iba todos los días a la oficina,No trabajo  con personas que se encuentran geográficamente distribuidas,Mucho más que cuando iba todos los días a la oficina,Menos que cuando iba todos los días a la oficina,Menos que cuando iba todos los días a la oficina,Menos que cuando iba todos los días a la oficina,Menos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oficina,Mucho Mayor que cuando iba todos los días a la oficina,Mucho menor que cuando iba todos los días a la oficina,Mucho menor que cuando iba todos los días a la oficina,Mucho mayor que cuando iba todos los días a la oficina,Iguales que cuando iba todos los días a la oficina,Mayor que cuando iba todos los días a la oficina,No hay diferencias culturales en mi equipo,Mucho mayor que cuando iba todos los días a la oficina,Menores que cuando iba todos los días a la oficina,No tengo que utilizar diferentes idiomas en mi trabajo,No trabajo con personas con distintos horarios,Igual que cuando iba todos los días a la oficina,Menores que cuando iba todos los días a la oficina,Menor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oficina,Mayor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oficina,Mayores que cuando iba todos los días a la oficina,Mayor que cuando iba todos los días a la oficina,Mucho Mayor que cuando iba todos los días a la oficina,Mayor que cuando iba todos los días a la oficina,Mayor que cuando iba todos los días a la oficina,Mayor que cuando iba todos los días a la oficina,Mayor que cuando iba todos los días a la oficina,Mejor que cuando iba todos los días a la oficina,Mayor que cuando iba todos los días a la oficina,Mayor que cuando iba todos los días a la oficina,Mayor que cuando iba todos los días a la oficina,Mayor que cuando iba todos los días a la oficina,Mayor que cuando iba todos los días a la oficina,Menores que cuando iba todos los días a la oficina,Mucho Mayor que cuando iba todos los días a la oficina,Mucho mayor que cuando iba todos los días a la oficina,arielqs@gmail.com,301+ empleados,0</v>
      </c>
    </row>
    <row r="44" spans="1:103" ht="14.4" x14ac:dyDescent="0.3">
      <c r="A44" s="40">
        <v>45569.875840925924</v>
      </c>
      <c r="B44" s="39" t="s">
        <v>205</v>
      </c>
      <c r="C44" s="37" t="s">
        <v>42</v>
      </c>
      <c r="D44" s="37" t="s">
        <v>41</v>
      </c>
      <c r="E44" s="37" t="s">
        <v>213</v>
      </c>
      <c r="F44" s="37" t="s">
        <v>145</v>
      </c>
      <c r="G44" s="37" t="s">
        <v>205</v>
      </c>
      <c r="H44" s="37" t="s">
        <v>36</v>
      </c>
      <c r="I44" s="37" t="s">
        <v>64</v>
      </c>
      <c r="J44" s="37" t="s">
        <v>212</v>
      </c>
      <c r="K44" s="37" t="s">
        <v>211</v>
      </c>
      <c r="L44" s="36" t="s">
        <v>210</v>
      </c>
      <c r="M44" s="37" t="s">
        <v>137</v>
      </c>
      <c r="N44" s="37" t="s">
        <v>91</v>
      </c>
      <c r="O44" s="37" t="s">
        <v>30</v>
      </c>
      <c r="P44" s="37" t="s">
        <v>29</v>
      </c>
      <c r="Q44" s="11" t="s">
        <v>28</v>
      </c>
      <c r="R44" s="37" t="s">
        <v>27</v>
      </c>
      <c r="S44" s="37" t="s">
        <v>26</v>
      </c>
      <c r="T44" s="37" t="s">
        <v>209</v>
      </c>
      <c r="U44" s="37" t="s">
        <v>208</v>
      </c>
      <c r="V44" s="37" t="s">
        <v>207</v>
      </c>
      <c r="W44" s="37" t="s">
        <v>206</v>
      </c>
      <c r="X44" s="37" t="s">
        <v>73</v>
      </c>
      <c r="Y44" s="37" t="s">
        <v>20</v>
      </c>
      <c r="Z44" s="37" t="s">
        <v>77</v>
      </c>
      <c r="AA44" s="37" t="s">
        <v>4</v>
      </c>
      <c r="AB44" s="37" t="s">
        <v>4</v>
      </c>
      <c r="AC44" s="37" t="s">
        <v>4</v>
      </c>
      <c r="AD44" s="37" t="s">
        <v>76</v>
      </c>
      <c r="AE44" s="37" t="s">
        <v>18</v>
      </c>
      <c r="AF44" s="37" t="s">
        <v>112</v>
      </c>
      <c r="AG44" s="37" t="s">
        <v>3</v>
      </c>
      <c r="AH44" s="37" t="s">
        <v>3</v>
      </c>
      <c r="AI44" s="37" t="s">
        <v>3</v>
      </c>
      <c r="AJ44" s="37" t="s">
        <v>3</v>
      </c>
      <c r="AK44" s="37" t="s">
        <v>5</v>
      </c>
      <c r="AL44" s="37" t="s">
        <v>15</v>
      </c>
      <c r="AM44" s="37" t="s">
        <v>51</v>
      </c>
      <c r="AN44" s="37" t="s">
        <v>47</v>
      </c>
      <c r="AO44" s="37" t="s">
        <v>13</v>
      </c>
      <c r="AP44" s="37" t="s">
        <v>13</v>
      </c>
      <c r="AQ44" s="37" t="s">
        <v>67</v>
      </c>
      <c r="AR44" s="37" t="s">
        <v>67</v>
      </c>
      <c r="AS44" s="37" t="s">
        <v>67</v>
      </c>
      <c r="AT44" s="37" t="s">
        <v>67</v>
      </c>
      <c r="AU44" s="37" t="s">
        <v>67</v>
      </c>
      <c r="AV44" s="37" t="s">
        <v>4</v>
      </c>
      <c r="AW44" s="37" t="s">
        <v>67</v>
      </c>
      <c r="AX44" s="37" t="s">
        <v>67</v>
      </c>
      <c r="AY44" s="37" t="s">
        <v>82</v>
      </c>
      <c r="AZ44" s="37" t="s">
        <v>3</v>
      </c>
      <c r="BA44" s="37" t="s">
        <v>3</v>
      </c>
      <c r="BB44" s="9" t="s">
        <v>7</v>
      </c>
      <c r="BC44" s="8" t="s">
        <v>3</v>
      </c>
      <c r="BD44" s="37" t="s">
        <v>7</v>
      </c>
      <c r="BE44" s="37" t="s">
        <v>7</v>
      </c>
      <c r="BF44" s="37" t="s">
        <v>7</v>
      </c>
      <c r="BG44" s="37" t="s">
        <v>47</v>
      </c>
      <c r="BH44" s="37" t="s">
        <v>50</v>
      </c>
      <c r="BI44" s="37" t="s">
        <v>47</v>
      </c>
      <c r="BJ44" s="37" t="s">
        <v>9</v>
      </c>
      <c r="BK44" s="37" t="s">
        <v>47</v>
      </c>
      <c r="BL44" s="37" t="s">
        <v>85</v>
      </c>
      <c r="BM44" s="37" t="s">
        <v>135</v>
      </c>
      <c r="BN44" s="37" t="s">
        <v>49</v>
      </c>
      <c r="BO44" s="37" t="s">
        <v>47</v>
      </c>
      <c r="BP44" s="37" t="s">
        <v>6</v>
      </c>
      <c r="BQ44" s="37" t="s">
        <v>47</v>
      </c>
      <c r="BR44" s="37" t="s">
        <v>4</v>
      </c>
      <c r="BS44" s="37" t="s">
        <v>67</v>
      </c>
      <c r="BT44" s="37" t="s">
        <v>50</v>
      </c>
      <c r="BU44" s="37" t="s">
        <v>104</v>
      </c>
      <c r="BV44" s="7" t="s">
        <v>3</v>
      </c>
      <c r="BW44" s="37" t="s">
        <v>3</v>
      </c>
      <c r="BX44" s="37" t="s">
        <v>47</v>
      </c>
      <c r="BY44" s="37" t="s">
        <v>3</v>
      </c>
      <c r="BZ44" s="37" t="s">
        <v>3</v>
      </c>
      <c r="CA44" s="37" t="s">
        <v>3</v>
      </c>
      <c r="CB44" s="37" t="s">
        <v>3</v>
      </c>
      <c r="CC44" s="37" t="s">
        <v>7</v>
      </c>
      <c r="CD44" s="37" t="s">
        <v>1</v>
      </c>
      <c r="CE44" s="37" t="s">
        <v>4</v>
      </c>
      <c r="CF44" s="37" t="s">
        <v>82</v>
      </c>
      <c r="CG44" s="37" t="s">
        <v>3</v>
      </c>
      <c r="CH44" s="37" t="s">
        <v>3</v>
      </c>
      <c r="CI44" s="37" t="s">
        <v>3</v>
      </c>
      <c r="CJ44" s="37" t="s">
        <v>7</v>
      </c>
      <c r="CK44" s="37" t="s">
        <v>4</v>
      </c>
      <c r="CL44" s="37" t="s">
        <v>4</v>
      </c>
      <c r="CM44" s="37" t="s">
        <v>53</v>
      </c>
      <c r="CN44" s="37" t="s">
        <v>3</v>
      </c>
      <c r="CO44" s="37" t="s">
        <v>4</v>
      </c>
      <c r="CP44" s="37" t="s">
        <v>4</v>
      </c>
      <c r="CQ44" s="37" t="s">
        <v>3</v>
      </c>
      <c r="CR44" s="37" t="s">
        <v>4</v>
      </c>
      <c r="CS44" s="37" t="s">
        <v>6</v>
      </c>
      <c r="CT44" s="37" t="s">
        <v>3</v>
      </c>
      <c r="CU44" s="37" t="s">
        <v>47</v>
      </c>
      <c r="CV44" s="38"/>
      <c r="CW44" t="s">
        <v>43</v>
      </c>
      <c r="CX44">
        <f>VLOOKUP(K44,Sheet2!$A$2:$B$58,2,0)</f>
        <v>0</v>
      </c>
      <c r="CY44" t="str">
        <f t="shared" si="2"/>
        <v>45569,8758409259,Colombia,36+ años,Masculino,Cursando Maestria,De ambas formas,Colombia,5-10 años,&lt;5 años,No he trabajado de forma precial al 100%, he trabajado hibrido en terpel (4 meses) como agile project manager y en Sumer (2 meses) como product Manager,Product Manager,Alegra,301-500 empleados,Empresa que desarrolla software a medida partiendo desde cero,Multinacional,Frecuentemente,Alto,4-5 días,Ninguno,De momento, no pero trabaje en Rocketfy 100% virtual e iba a la oficina una vez por año para temas estrategicos ,No me han obligado, siempre es un acuerdo, con las que era hibrido, a veces iba a veces no,Planeacion estrategica, roadpmaps, etc,Ninguno actualmente estoy 100%,Remota ( todos los días en casa),Impuesta por la empresa,No sé,Igual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videoconferencia,Igual que cuando eran en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oficina,No me influye,Mejoran mucho mi productividad,Mucho mayor que cuando iba todos los días a la oficina,No tengo la información para contestar a la pregunta,No tengo la información para contestar a la pregunta,Mucho menos que cuando iba todos los días a la oficina,Mucho menos que cuando iba todos los días a la oficina,Mucho menos que cuando iba todos los días a la oficina,Mucho menos que cuando iba todos los días a la oficina,Mucho menos que cuando iba todos los días a la oficina,Igual que cuando iba todos los días a la oficina,Mucho menos que cuando iba todos los días a la oficina,Mucho menos que cuando iba todos los días a la oficina,Mucho Mayores que cuando iba todos los días a la oficina,Mucho Mayor que cuando iba todos los días a la oficina,Mucho Mayor que cuando iba todos los días a la oficina,Mucho menor que cuando iba todos los días a la oficina,Mucho Mayor que cuando iba todos los días a la oficina,Mucho menor que cuando iba todos los días a la oficina,Mucho menor que cuando iba todos los días a la oficina,Mucho menor que cuando iba todos los días a la oficina,Mucho mayor que cuando iba todos los días a la oficina,Mucho menores que cuando iba todos los días a la oficina,Mucho mayor que cuando iba todos los días a la oficina,No hay diferencias culturales en mi equipo,Mucho mayor que cuando iba todos los días a la oficina,Mucho mayores que cuando iba todos los días a la oficina,No tengo que utilizar diferentes idiomas en mi trabajo,Menos que cuando iba todos los días a la oficina,Mucho mayor que cuando iba todos los días a la oficina,Menores que cuando iba todos los días a la oficina,Mucho mayor que cuando iba todos los días a la oficina,Igual que cuando iba todos los días a la oficina,Mucho menos que cuando iba todos los días a la oficina,Mucho 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oficina,Menor que cuando iba todos los días a la oficina,Igual que cuando iba todos los días a la oficina,Mucho Mayores que cuando iba todos los días a la oficina,Mucho Mayor que cuando iba todos los días a la oficina,Mucho Mayor que cuando iba todos los días a la oficina,Mucho Mayor que cuando iba todos los días a la oficina,Mucho menor que cuando iba todos los días a la oficina,Igual que cuando iba todos los días a la oficina,Igual que cuando iba todos los días a la oficina,Mucho Mejor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oficina,Menores que cuando iba todos los días a la oficina,Mucho Mayor que cuando iba todos los días a la oficina,Mucho mayor que cuando iba todos los días a la oficina,,301+ empleados,0</v>
      </c>
    </row>
    <row r="45" spans="1:103" ht="14.4" x14ac:dyDescent="0.3">
      <c r="A45" s="27">
        <v>45566.700750254633</v>
      </c>
      <c r="B45" s="25" t="s">
        <v>110</v>
      </c>
      <c r="C45" s="25" t="s">
        <v>42</v>
      </c>
      <c r="D45" s="25" t="s">
        <v>41</v>
      </c>
      <c r="E45" s="25" t="s">
        <v>200</v>
      </c>
      <c r="F45" s="25" t="s">
        <v>39</v>
      </c>
      <c r="G45" s="25" t="s">
        <v>110</v>
      </c>
      <c r="H45" s="25" t="s">
        <v>37</v>
      </c>
      <c r="I45" s="25" t="s">
        <v>63</v>
      </c>
      <c r="J45" s="25" t="s">
        <v>196</v>
      </c>
      <c r="K45" s="25" t="s">
        <v>199</v>
      </c>
      <c r="L45" s="32"/>
      <c r="M45" s="25" t="s">
        <v>32</v>
      </c>
      <c r="N45" s="25" t="s">
        <v>79</v>
      </c>
      <c r="O45" s="25" t="s">
        <v>144</v>
      </c>
      <c r="P45" s="25" t="s">
        <v>97</v>
      </c>
      <c r="Q45" s="11" t="s">
        <v>28</v>
      </c>
      <c r="R45" s="25" t="s">
        <v>27</v>
      </c>
      <c r="S45" s="25" t="s">
        <v>26</v>
      </c>
      <c r="T45" s="25" t="s">
        <v>198</v>
      </c>
      <c r="U45" s="28"/>
      <c r="V45" s="32"/>
      <c r="W45" s="28"/>
      <c r="X45" s="25" t="s">
        <v>73</v>
      </c>
      <c r="Y45" s="25" t="s">
        <v>72</v>
      </c>
      <c r="Z45" s="25" t="s">
        <v>71</v>
      </c>
      <c r="AA45" s="25" t="s">
        <v>4</v>
      </c>
      <c r="AB45" s="25" t="s">
        <v>4</v>
      </c>
      <c r="AC45" s="25" t="s">
        <v>4</v>
      </c>
      <c r="AD45" s="25" t="s">
        <v>76</v>
      </c>
      <c r="AE45" s="25" t="s">
        <v>75</v>
      </c>
      <c r="AF45" s="25" t="s">
        <v>112</v>
      </c>
      <c r="AG45" s="25" t="s">
        <v>5</v>
      </c>
      <c r="AH45" s="25" t="s">
        <v>5</v>
      </c>
      <c r="AI45" s="25" t="s">
        <v>5</v>
      </c>
      <c r="AJ45" s="25" t="s">
        <v>4</v>
      </c>
      <c r="AK45" s="25" t="s">
        <v>4</v>
      </c>
      <c r="AL45" s="25" t="s">
        <v>15</v>
      </c>
      <c r="AM45" s="25" t="s">
        <v>68</v>
      </c>
      <c r="AN45" s="25" t="s">
        <v>4</v>
      </c>
      <c r="AO45" s="25" t="s">
        <v>4</v>
      </c>
      <c r="AP45" s="25" t="s">
        <v>4</v>
      </c>
      <c r="AQ45" s="25" t="s">
        <v>12</v>
      </c>
      <c r="AR45" s="25" t="s">
        <v>86</v>
      </c>
      <c r="AS45" s="25" t="s">
        <v>150</v>
      </c>
      <c r="AT45" s="25" t="s">
        <v>4</v>
      </c>
      <c r="AU45" s="25" t="s">
        <v>4</v>
      </c>
      <c r="AV45" s="25" t="s">
        <v>10</v>
      </c>
      <c r="AW45" s="25" t="s">
        <v>10</v>
      </c>
      <c r="AX45" s="25" t="s">
        <v>4</v>
      </c>
      <c r="AY45" s="25" t="s">
        <v>2</v>
      </c>
      <c r="AZ45" s="25" t="s">
        <v>5</v>
      </c>
      <c r="BA45" s="25" t="s">
        <v>4</v>
      </c>
      <c r="BB45" s="16" t="s">
        <v>1</v>
      </c>
      <c r="BC45" s="15" t="s">
        <v>4</v>
      </c>
      <c r="BD45" s="25" t="s">
        <v>4</v>
      </c>
      <c r="BE45" s="25" t="s">
        <v>1</v>
      </c>
      <c r="BF45" s="25" t="s">
        <v>4</v>
      </c>
      <c r="BG45" s="25" t="s">
        <v>5</v>
      </c>
      <c r="BH45" s="25" t="s">
        <v>2</v>
      </c>
      <c r="BI45" s="25" t="s">
        <v>5</v>
      </c>
      <c r="BJ45" s="25" t="s">
        <v>9</v>
      </c>
      <c r="BK45" s="25" t="s">
        <v>4</v>
      </c>
      <c r="BL45" s="25" t="s">
        <v>2</v>
      </c>
      <c r="BM45" s="25" t="s">
        <v>135</v>
      </c>
      <c r="BN45" s="25" t="s">
        <v>147</v>
      </c>
      <c r="BO45" s="25" t="s">
        <v>4</v>
      </c>
      <c r="BP45" s="25" t="s">
        <v>45</v>
      </c>
      <c r="BQ45" s="25" t="s">
        <v>5</v>
      </c>
      <c r="BR45" s="25" t="s">
        <v>4</v>
      </c>
      <c r="BS45" s="25" t="s">
        <v>4</v>
      </c>
      <c r="BT45" s="25" t="s">
        <v>2</v>
      </c>
      <c r="BU45" s="25" t="s">
        <v>4</v>
      </c>
      <c r="BV45" s="14" t="s">
        <v>4</v>
      </c>
      <c r="BW45" s="25" t="s">
        <v>4</v>
      </c>
      <c r="BX45" s="25" t="s">
        <v>5</v>
      </c>
      <c r="BY45" s="25" t="s">
        <v>4</v>
      </c>
      <c r="BZ45" s="25" t="s">
        <v>4</v>
      </c>
      <c r="CA45" s="25" t="s">
        <v>4</v>
      </c>
      <c r="CB45" s="25" t="s">
        <v>4</v>
      </c>
      <c r="CC45" s="25" t="s">
        <v>4</v>
      </c>
      <c r="CD45" s="25" t="s">
        <v>4</v>
      </c>
      <c r="CE45" s="25" t="s">
        <v>4</v>
      </c>
      <c r="CF45" s="25" t="s">
        <v>2</v>
      </c>
      <c r="CG45" s="25" t="s">
        <v>4</v>
      </c>
      <c r="CH45" s="25" t="s">
        <v>5</v>
      </c>
      <c r="CI45" s="25" t="s">
        <v>4</v>
      </c>
      <c r="CJ45" s="25" t="s">
        <v>4</v>
      </c>
      <c r="CK45" s="25" t="s">
        <v>4</v>
      </c>
      <c r="CL45" s="25" t="s">
        <v>4</v>
      </c>
      <c r="CM45" s="25" t="s">
        <v>4</v>
      </c>
      <c r="CN45" s="25" t="s">
        <v>4</v>
      </c>
      <c r="CO45" s="25" t="s">
        <v>1</v>
      </c>
      <c r="CP45" s="25" t="s">
        <v>4</v>
      </c>
      <c r="CQ45" s="25" t="s">
        <v>4</v>
      </c>
      <c r="CR45" s="25" t="s">
        <v>4</v>
      </c>
      <c r="CS45" s="25" t="s">
        <v>2</v>
      </c>
      <c r="CT45" s="25" t="s">
        <v>4</v>
      </c>
      <c r="CU45" s="25" t="s">
        <v>4</v>
      </c>
      <c r="CV45" s="28"/>
      <c r="CW45" t="s">
        <v>0</v>
      </c>
      <c r="CX45">
        <f>VLOOKUP(K45,Sheet2!$A$2:$B$58,2,0)</f>
        <v>0</v>
      </c>
      <c r="CY45" t="str">
        <f t="shared" si="2"/>
        <v>45566,7007502546,España,36+ años,Masculino,Ingeniero Superior y Doctor,Como empleado de una empresa,España,11-20 años,10-20 años,Consultor,Director Técnico,,&lt;50 empleados,Empresa que subcontrata (outsourcing) los servicios de otra del mismo país,Local,A veces,Alto,4-5 días,Ninguno,Reuniones de equipo puntuales,,,,Remota ( todos los días en casa),Consensuada por las dos partes,Totalmente de acuerdo,Igual que cuando iba todos los días a la oficina,Igual que cuando iba todos los días a la oficina,Igual que cuando iba todos los días a la oficina,Diferentes que cuando iba todos los días a la oficina, ahora necesito menos horas para hacer lo mismo,Casi todas por videoconferencia,Igual que cuando eran en la oficina,Mayor que cuando iba todos los días a la oficina,Mayor que cuando iba todos los días a la oficina,Mayor que cuando iba todos los días a la oficina,Igual que cuando iba todos los días a la oficina,Igual que cuando iba todos los días a la oficina,No me influye,No afectan a mi productividad,Igual que cuando iba todos los días a la oficina,Igual que cuando iba todos los días a la oficina,Igual que cuando iba todos los días a la oficina,No trabajo con personas de distintas culturas,No trabajo con personas con un horario distinto al mío,No trabajo  con personas que se encuentran geográficamente distribuidas,Igual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oficina,Mayor que cuando iba todos los días a la oficina,Igual que cuando iba todos los días a la oficina,Menor que cuando iba todos los días a la oficina,Igual que cuando iba todos los días a la oficina,Igual que cuando iba todos los días a la oficina,Menor que cuando iba todos los días a la oficina,Igual que cuando iba todos los días a la oficina,Mayor que cuando iba todos los días a la oficina,Iguales que cuando iba todos los días a la oficina,Mayor que cuando iba todos los días a la oficina,No hay diferencias culturales en mi equipo,Igual que cuando iba todos los días a la oficina,Iguales que cuando iba todos los días a la oficina,No tengo que utilizar diferentes idiomas en mi trabajo,No trabajo con personas con distintos horarios,Igual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oficina,Menor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oficina,,&lt;301 empleados,0</v>
      </c>
    </row>
    <row r="46" spans="1:103" ht="14.4" x14ac:dyDescent="0.3">
      <c r="A46" s="31">
        <v>45562.596118425921</v>
      </c>
      <c r="B46" s="25" t="s">
        <v>110</v>
      </c>
      <c r="C46" s="29" t="s">
        <v>42</v>
      </c>
      <c r="D46" s="29" t="s">
        <v>41</v>
      </c>
      <c r="E46" s="29" t="s">
        <v>194</v>
      </c>
      <c r="F46" s="29" t="s">
        <v>39</v>
      </c>
      <c r="G46" s="29" t="s">
        <v>193</v>
      </c>
      <c r="H46" s="29" t="s">
        <v>37</v>
      </c>
      <c r="I46" s="29" t="s">
        <v>63</v>
      </c>
      <c r="J46" s="29" t="s">
        <v>192</v>
      </c>
      <c r="K46" s="29" t="s">
        <v>191</v>
      </c>
      <c r="L46" s="30"/>
      <c r="M46" s="29" t="s">
        <v>60</v>
      </c>
      <c r="N46" s="29" t="s">
        <v>31</v>
      </c>
      <c r="O46" s="29" t="s">
        <v>30</v>
      </c>
      <c r="P46" s="29" t="s">
        <v>136</v>
      </c>
      <c r="Q46" s="11" t="s">
        <v>28</v>
      </c>
      <c r="R46" s="29" t="s">
        <v>27</v>
      </c>
      <c r="S46" s="29" t="s">
        <v>26</v>
      </c>
      <c r="T46" s="29" t="s">
        <v>155</v>
      </c>
      <c r="U46" s="29" t="s">
        <v>190</v>
      </c>
      <c r="V46" s="29" t="s">
        <v>189</v>
      </c>
      <c r="W46" s="29" t="s">
        <v>148</v>
      </c>
      <c r="X46" s="29" t="s">
        <v>73</v>
      </c>
      <c r="Y46" s="29" t="s">
        <v>72</v>
      </c>
      <c r="Z46" s="29" t="s">
        <v>113</v>
      </c>
      <c r="AA46" s="29" t="s">
        <v>4</v>
      </c>
      <c r="AB46" s="29" t="s">
        <v>4</v>
      </c>
      <c r="AC46" s="29" t="s">
        <v>4</v>
      </c>
      <c r="AD46" s="29" t="s">
        <v>2</v>
      </c>
      <c r="AE46" s="29" t="s">
        <v>18</v>
      </c>
      <c r="AF46" s="29" t="s">
        <v>112</v>
      </c>
      <c r="AG46" s="29" t="s">
        <v>4</v>
      </c>
      <c r="AH46" s="29" t="s">
        <v>4</v>
      </c>
      <c r="AI46" s="29" t="s">
        <v>4</v>
      </c>
      <c r="AJ46" s="29" t="s">
        <v>4</v>
      </c>
      <c r="AK46" s="29" t="s">
        <v>4</v>
      </c>
      <c r="AL46" s="29" t="s">
        <v>15</v>
      </c>
      <c r="AM46" s="29" t="s">
        <v>68</v>
      </c>
      <c r="AN46" s="29" t="s">
        <v>5</v>
      </c>
      <c r="AO46" s="29" t="s">
        <v>5</v>
      </c>
      <c r="AP46" s="29" t="s">
        <v>8</v>
      </c>
      <c r="AQ46" s="29" t="s">
        <v>4</v>
      </c>
      <c r="AR46" s="29" t="s">
        <v>8</v>
      </c>
      <c r="AS46" s="29" t="s">
        <v>8</v>
      </c>
      <c r="AT46" s="29" t="s">
        <v>4</v>
      </c>
      <c r="AU46" s="29" t="s">
        <v>4</v>
      </c>
      <c r="AV46" s="29" t="s">
        <v>11</v>
      </c>
      <c r="AW46" s="29" t="s">
        <v>10</v>
      </c>
      <c r="AX46" s="29" t="s">
        <v>10</v>
      </c>
      <c r="AY46" s="29" t="s">
        <v>2</v>
      </c>
      <c r="AZ46" s="29" t="s">
        <v>4</v>
      </c>
      <c r="BA46" s="29" t="s">
        <v>1</v>
      </c>
      <c r="BB46" s="9" t="s">
        <v>5</v>
      </c>
      <c r="BC46" s="8" t="s">
        <v>4</v>
      </c>
      <c r="BD46" s="29" t="s">
        <v>5</v>
      </c>
      <c r="BE46" s="29" t="s">
        <v>5</v>
      </c>
      <c r="BF46" s="29" t="s">
        <v>5</v>
      </c>
      <c r="BG46" s="29" t="s">
        <v>47</v>
      </c>
      <c r="BH46" s="29" t="s">
        <v>45</v>
      </c>
      <c r="BI46" s="29" t="s">
        <v>1</v>
      </c>
      <c r="BJ46" s="29" t="s">
        <v>2</v>
      </c>
      <c r="BK46" s="29" t="s">
        <v>4</v>
      </c>
      <c r="BL46" s="29" t="s">
        <v>45</v>
      </c>
      <c r="BM46" s="29" t="s">
        <v>2</v>
      </c>
      <c r="BN46" s="29" t="s">
        <v>8</v>
      </c>
      <c r="BO46" s="29" t="s">
        <v>1</v>
      </c>
      <c r="BP46" s="29" t="s">
        <v>6</v>
      </c>
      <c r="BQ46" s="29" t="s">
        <v>5</v>
      </c>
      <c r="BR46" s="29" t="s">
        <v>5</v>
      </c>
      <c r="BS46" s="29" t="s">
        <v>8</v>
      </c>
      <c r="BT46" s="29" t="s">
        <v>45</v>
      </c>
      <c r="BU46" s="29" t="s">
        <v>4</v>
      </c>
      <c r="BV46" s="7" t="s">
        <v>5</v>
      </c>
      <c r="BW46" s="29" t="s">
        <v>5</v>
      </c>
      <c r="BX46" s="29" t="s">
        <v>47</v>
      </c>
      <c r="BY46" s="29" t="s">
        <v>4</v>
      </c>
      <c r="BZ46" s="29" t="s">
        <v>4</v>
      </c>
      <c r="CA46" s="29" t="s">
        <v>4</v>
      </c>
      <c r="CB46" s="29" t="s">
        <v>5</v>
      </c>
      <c r="CC46" s="29" t="s">
        <v>5</v>
      </c>
      <c r="CD46" s="29" t="s">
        <v>4</v>
      </c>
      <c r="CE46" s="29" t="s">
        <v>10</v>
      </c>
      <c r="CF46" s="29" t="s">
        <v>50</v>
      </c>
      <c r="CG46" s="29" t="s">
        <v>4</v>
      </c>
      <c r="CH46" s="29" t="s">
        <v>3</v>
      </c>
      <c r="CI46" s="29" t="s">
        <v>4</v>
      </c>
      <c r="CJ46" s="29" t="s">
        <v>4</v>
      </c>
      <c r="CK46" s="29" t="s">
        <v>4</v>
      </c>
      <c r="CL46" s="29" t="s">
        <v>4</v>
      </c>
      <c r="CM46" s="29" t="s">
        <v>48</v>
      </c>
      <c r="CN46" s="29" t="s">
        <v>1</v>
      </c>
      <c r="CO46" s="29" t="s">
        <v>7</v>
      </c>
      <c r="CP46" s="29" t="s">
        <v>4</v>
      </c>
      <c r="CQ46" s="29" t="s">
        <v>5</v>
      </c>
      <c r="CR46" s="29" t="s">
        <v>4</v>
      </c>
      <c r="CS46" s="29" t="s">
        <v>2</v>
      </c>
      <c r="CT46" s="29" t="s">
        <v>1</v>
      </c>
      <c r="CU46" s="29" t="s">
        <v>4</v>
      </c>
      <c r="CV46" s="34"/>
      <c r="CW46" t="s">
        <v>43</v>
      </c>
      <c r="CX46">
        <f>VLOOKUP(K46,Sheet2!$A$2:$B$58,2,0)</f>
        <v>0</v>
      </c>
      <c r="CY46" t="str">
        <f t="shared" si="2"/>
        <v>45562,5961184259,España,36+ años,Masculino,Ingeniero Informatico,Como empleado de una empresa,Ciudad Real,11-20 años,10-20 años,Técnico,Proyect Manager,,&gt;500 empleados.,Fábrica de Software,Multinacional,Casi Nunca,Alto,4-5 días,Ninguno,Reuniones presenciales,Presentaciones,team building,NA,Remota ( todos los días en casa),Consensuada por las dos partes,De acuerdo,Igual que cuando iba todos los días a la oficina,Igual que cuando iba todos los días a la oficina,Igual que cuando iba todos los días a la oficina,Iguales que cuando iba todos los días a la oficina,Todas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influye,No afectan a mi productividad,Mayor que cuando iba todos los días a la oficina,Mayor que cuando iba todos los días a la oficina,Más que cuando iba todos los días a la oficina,Igual que cuando iba todos los días a la oficina,Más que cuando iba todos los días a la oficina,Más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oficina,Menor que cuando iba todos los días a la oficina,Mayor que cuando iba todos los días a la oficina,Igual que cuando iba todos los días a la oficina,Mayor que cuando iba todos los días a la oficina,Mayor que cuando iba todos los días a la oficina,Mayor que cuando iba todos los días a la oficina,Mucho mayor que cuando iba todos los días a la oficina,Mayores que cuando iba todos los días a la oficina,Menor que cuando iba todos los días a la oficina,Iguales que cuando iba todos los días a la oficina,Igual que cuando iba todos los días a la oficina,Mayores que cuando iba todos los días a la oficina,Iguales que cuando iba todos los días a la oficina,Más que cuando iba todos los días a la oficina,Menor que cuando iba todos los días a la oficina,Menores que cuando iba todos los días a la oficina,Mayor que cuando iba todos los días a la oficina,Mayor que cuando iba todos los días a la oficina,Más que cuando iba todos los días a la oficina,Mayores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oficina,Mas que cuando iba todos los días a la oficina,Mucho menores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oficina,Peor que cuando iba todos los días a la oficina,Menor que cuando iba todos los días a la oficina,Mucho menor que cuando iba todos los días a la oficina,Igual que cuando iba todos los días a la oficina,Mayor que cuando iba todos los días a la oficina,Igual que cuando iba todos los días a la oficina,Iguales que cuando iba todos los días a la oficina,Menor que cuando iba todos los días a la oficina,Igual que cuando iba todos los días a la oficina,,301+ empleados,0</v>
      </c>
    </row>
    <row r="47" spans="1:103" ht="14.4" x14ac:dyDescent="0.3">
      <c r="A47" s="27">
        <v>45577.915393541669</v>
      </c>
      <c r="B47" s="25" t="s">
        <v>110</v>
      </c>
      <c r="C47" s="25" t="s">
        <v>42</v>
      </c>
      <c r="D47" s="25" t="s">
        <v>81</v>
      </c>
      <c r="E47" s="25" t="s">
        <v>188</v>
      </c>
      <c r="F47" s="25" t="s">
        <v>39</v>
      </c>
      <c r="G47" s="25" t="s">
        <v>110</v>
      </c>
      <c r="H47" s="25" t="s">
        <v>36</v>
      </c>
      <c r="I47" s="25" t="s">
        <v>64</v>
      </c>
      <c r="J47" s="25" t="s">
        <v>187</v>
      </c>
      <c r="K47" s="25" t="s">
        <v>186</v>
      </c>
      <c r="L47" s="26" t="s">
        <v>185</v>
      </c>
      <c r="M47" s="25" t="s">
        <v>60</v>
      </c>
      <c r="N47" s="25" t="s">
        <v>91</v>
      </c>
      <c r="O47" s="25" t="s">
        <v>30</v>
      </c>
      <c r="P47" s="25" t="s">
        <v>29</v>
      </c>
      <c r="Q47" s="11" t="s">
        <v>28</v>
      </c>
      <c r="R47" s="25" t="s">
        <v>27</v>
      </c>
      <c r="S47" s="25" t="s">
        <v>78</v>
      </c>
      <c r="T47" s="32"/>
      <c r="U47" s="26" t="s">
        <v>184</v>
      </c>
      <c r="V47" s="25" t="s">
        <v>183</v>
      </c>
      <c r="W47" s="32"/>
      <c r="X47" s="25" t="s">
        <v>21</v>
      </c>
      <c r="Y47" s="25" t="s">
        <v>20</v>
      </c>
      <c r="Z47" s="25" t="s">
        <v>19</v>
      </c>
      <c r="AA47" s="25" t="s">
        <v>1</v>
      </c>
      <c r="AB47" s="25" t="s">
        <v>1</v>
      </c>
      <c r="AC47" s="25" t="s">
        <v>1</v>
      </c>
      <c r="AD47" s="25" t="s">
        <v>115</v>
      </c>
      <c r="AE47" s="25" t="s">
        <v>18</v>
      </c>
      <c r="AF47" s="25" t="s">
        <v>70</v>
      </c>
      <c r="AG47" s="25" t="s">
        <v>5</v>
      </c>
      <c r="AH47" s="25" t="s">
        <v>1</v>
      </c>
      <c r="AI47" s="25" t="s">
        <v>1</v>
      </c>
      <c r="AJ47" s="25" t="s">
        <v>5</v>
      </c>
      <c r="AK47" s="25" t="s">
        <v>5</v>
      </c>
      <c r="AL47" s="25" t="s">
        <v>74</v>
      </c>
      <c r="AM47" s="25" t="s">
        <v>68</v>
      </c>
      <c r="AN47" s="25" t="s">
        <v>1</v>
      </c>
      <c r="AO47" s="25" t="s">
        <v>47</v>
      </c>
      <c r="AP47" s="25" t="s">
        <v>8</v>
      </c>
      <c r="AQ47" s="25" t="s">
        <v>8</v>
      </c>
      <c r="AR47" s="25" t="s">
        <v>8</v>
      </c>
      <c r="AS47" s="25" t="s">
        <v>8</v>
      </c>
      <c r="AT47" s="25" t="s">
        <v>8</v>
      </c>
      <c r="AU47" s="25" t="s">
        <v>10</v>
      </c>
      <c r="AV47" s="25" t="s">
        <v>11</v>
      </c>
      <c r="AW47" s="25" t="s">
        <v>10</v>
      </c>
      <c r="AX47" s="25" t="s">
        <v>10</v>
      </c>
      <c r="AY47" s="25" t="s">
        <v>2</v>
      </c>
      <c r="AZ47" s="25" t="s">
        <v>5</v>
      </c>
      <c r="BA47" s="25" t="s">
        <v>3</v>
      </c>
      <c r="BB47" s="16" t="s">
        <v>3</v>
      </c>
      <c r="BC47" s="15" t="s">
        <v>5</v>
      </c>
      <c r="BD47" s="25" t="s">
        <v>3</v>
      </c>
      <c r="BE47" s="25" t="s">
        <v>5</v>
      </c>
      <c r="BF47" s="25" t="s">
        <v>47</v>
      </c>
      <c r="BG47" s="25" t="s">
        <v>5</v>
      </c>
      <c r="BH47" s="25" t="s">
        <v>2</v>
      </c>
      <c r="BI47" s="25" t="s">
        <v>5</v>
      </c>
      <c r="BJ47" s="25" t="s">
        <v>2</v>
      </c>
      <c r="BK47" s="25" t="s">
        <v>47</v>
      </c>
      <c r="BL47" s="25" t="s">
        <v>45</v>
      </c>
      <c r="BM47" s="25" t="s">
        <v>2</v>
      </c>
      <c r="BN47" s="25" t="s">
        <v>8</v>
      </c>
      <c r="BO47" s="25" t="s">
        <v>4</v>
      </c>
      <c r="BP47" s="25" t="s">
        <v>6</v>
      </c>
      <c r="BQ47" s="25" t="s">
        <v>5</v>
      </c>
      <c r="BR47" s="25" t="s">
        <v>5</v>
      </c>
      <c r="BS47" s="25" t="s">
        <v>4</v>
      </c>
      <c r="BT47" s="25" t="s">
        <v>45</v>
      </c>
      <c r="BU47" s="25" t="s">
        <v>48</v>
      </c>
      <c r="BV47" s="14" t="s">
        <v>1</v>
      </c>
      <c r="BW47" s="25" t="s">
        <v>4</v>
      </c>
      <c r="BX47" s="25" t="s">
        <v>5</v>
      </c>
      <c r="BY47" s="25" t="s">
        <v>5</v>
      </c>
      <c r="BZ47" s="25" t="s">
        <v>4</v>
      </c>
      <c r="CA47" s="25" t="s">
        <v>5</v>
      </c>
      <c r="CB47" s="25" t="s">
        <v>1</v>
      </c>
      <c r="CC47" s="25" t="s">
        <v>5</v>
      </c>
      <c r="CD47" s="25" t="s">
        <v>5</v>
      </c>
      <c r="CE47" s="25" t="s">
        <v>49</v>
      </c>
      <c r="CF47" s="25" t="s">
        <v>6</v>
      </c>
      <c r="CG47" s="25" t="s">
        <v>4</v>
      </c>
      <c r="CH47" s="25" t="s">
        <v>5</v>
      </c>
      <c r="CI47" s="25" t="s">
        <v>4</v>
      </c>
      <c r="CJ47" s="25" t="s">
        <v>1</v>
      </c>
      <c r="CK47" s="25" t="s">
        <v>5</v>
      </c>
      <c r="CL47" s="25" t="s">
        <v>4</v>
      </c>
      <c r="CM47" s="25" t="s">
        <v>48</v>
      </c>
      <c r="CN47" s="25" t="s">
        <v>5</v>
      </c>
      <c r="CO47" s="25" t="s">
        <v>1</v>
      </c>
      <c r="CP47" s="25" t="s">
        <v>5</v>
      </c>
      <c r="CQ47" s="25" t="s">
        <v>5</v>
      </c>
      <c r="CR47" s="25" t="s">
        <v>1</v>
      </c>
      <c r="CS47" s="25" t="s">
        <v>45</v>
      </c>
      <c r="CT47" s="25" t="s">
        <v>1</v>
      </c>
      <c r="CU47" s="25" t="s">
        <v>4</v>
      </c>
      <c r="CV47" s="28"/>
      <c r="CW47" t="s">
        <v>43</v>
      </c>
      <c r="CX47">
        <f>VLOOKUP(K47,Sheet2!$A$2:$B$58,2,0)</f>
        <v>0</v>
      </c>
      <c r="CY47" t="str">
        <f t="shared" si="2"/>
        <v>45577,9153935417,España,36+ años,Femenino,Ciclo formativo superior,Como empleado de una empresa,España,5-10 años,&lt;5 años,Tecnico it y responsable equipos,Service manager,Nttdata,&gt;500 empleados.,Empresa que desarrolla software a medida partiendo desde cero,Multinacional,Frecuentemente,Alto,4-5 días,1-2 días,,1 dia a la semana, sobre todo si hay visita de cliente,Visita cliente,,Híbrida casa (más días en casa que en la oficina),Impuesta por la empresa,En desacuerdo,Menor que cuando iba todos los días a la oficina,Menor que cuando iba todos los días a la oficina,Menor que cuando iba todos los días a la oficina,Diferentes que cuando iba todos los días a la oficina, ahora necesito más horas para hacer lo mismo,Todas por videoconferencia,Menor que cuando eran en la oficina,Mayor que cuando iba todos los días a la oficina,Menor que cuando iba todos los días a la oficina,Menor que cuando iba todos los días a la oficina,Mayor que cuando iba todos los días a la oficina,Mayor que cuando iba todos los días a la oficina,Mejora mi desempeño en el trabajo,No afectan a mi productividad,Menor que cuando iba todos los días a la oficina,Mucho mayor que cuando iba todos los días a la oficina,Más que cuando iba todos los días a la oficina,Más que cuando iba todos los días a la oficina,Más que cuando iba todos los días a la oficina,Más que cuando iba todos los días a la oficina,Más que cuando iba todos los días a la oficina,Mas que cuando iba todos los días a la oficina,Mucho más que cuando iba todos los días a la oficina,Mas que cuando iba todos los días a la oficina,Mas que cuando iba todos los días a la oficina,Iguales que cuando iba todos los días a la oficina,Mayor que cuando iba todos los días a la oficina,Mucho Mayor que cuando iba todos los días a la oficina,Mucho Mayor que cuando iba todos los días a la oficina,Mayor que cuando iba todos los días a la oficina,Mucho Mayor que cuando iba todos los días a la oficina,Mayor que cuando iba todos los días a la oficina,Mucho mayor que cuando iba todos los días a la oficina,Mayor que cuando iba todos los días a la oficina,Iguales que cuando iba todos los días a la oficina,Mayor que cuando iba todos los días a la oficina,Iguales que cuando iba todos los días a la oficina,Mucho mayor que cuando iba todos los días a la oficina,Mayores que cuando iba todos los días a la oficina,Iguales que cuando iba todos los días a la oficina,Más que cuando iba todos los días a la oficina,Igual que cuando iba todos los días a la oficina,Menores que cuando iba todos los días a la oficina,Mayor que cuando iba todos los días a la oficina,Mayor que cuando iba todos los días a la oficina,Igual que cuando iba todos los días a la oficina,Mayores que cuando iba todos los días a la oficina,Peor que cuando iba todos los días a la oficina,Menor que cuando iba todos los días a la oficina,Igual que cuando iba todos los días a la oficina,Mayor que cuando iba todos los días a la oficina,Mayor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oficina,Menos que cuando iba todos los días a la oficina,Menores que cuando iba todos los días a la oficina,Igual que cuando iba todos los días a la oficina,Mayor que cuando iba todos los días a la oficina,Igual que cuando iba todos los días a la oficina,Menor que cuando iba todos los días a la oficina,Mayor que cuando iba todos los días a la oficina,Igual que cuando iba todos los días a la oficina,Peor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oficina,Mayores que cuando iba todos los días a la oficina,Menor que cuando iba todos los días a la oficina,Igual que cuando iba todos los días a la oficina,,301+ empleados,0</v>
      </c>
    </row>
    <row r="48" spans="1:103" ht="14.4" x14ac:dyDescent="0.3">
      <c r="A48" s="13">
        <v>45574.968735208335</v>
      </c>
      <c r="B48" s="12" t="s">
        <v>38</v>
      </c>
      <c r="C48" s="6" t="s">
        <v>42</v>
      </c>
      <c r="D48" s="6" t="s">
        <v>81</v>
      </c>
      <c r="E48" s="6" t="s">
        <v>180</v>
      </c>
      <c r="F48" s="6" t="s">
        <v>149</v>
      </c>
      <c r="G48" s="6" t="s">
        <v>179</v>
      </c>
      <c r="H48" s="6" t="s">
        <v>37</v>
      </c>
      <c r="I48" s="6" t="s">
        <v>36</v>
      </c>
      <c r="J48" s="6" t="s">
        <v>178</v>
      </c>
      <c r="K48" s="6" t="s">
        <v>177</v>
      </c>
      <c r="L48" s="6" t="s">
        <v>176</v>
      </c>
      <c r="M48" s="6" t="s">
        <v>32</v>
      </c>
      <c r="N48" s="6" t="s">
        <v>31</v>
      </c>
      <c r="O48" s="6" t="s">
        <v>30</v>
      </c>
      <c r="P48" s="6" t="s">
        <v>58</v>
      </c>
      <c r="Q48" s="11" t="s">
        <v>28</v>
      </c>
      <c r="R48" s="6" t="s">
        <v>27</v>
      </c>
      <c r="S48" s="6" t="s">
        <v>26</v>
      </c>
      <c r="T48" s="6" t="s">
        <v>175</v>
      </c>
      <c r="U48" s="19"/>
      <c r="V48" s="19"/>
      <c r="W48" s="6" t="s">
        <v>174</v>
      </c>
      <c r="X48" s="6" t="s">
        <v>73</v>
      </c>
      <c r="Y48" s="6" t="s">
        <v>20</v>
      </c>
      <c r="Z48" s="6" t="s">
        <v>71</v>
      </c>
      <c r="AA48" s="6" t="s">
        <v>4</v>
      </c>
      <c r="AB48" s="6" t="s">
        <v>4</v>
      </c>
      <c r="AC48" s="6" t="s">
        <v>4</v>
      </c>
      <c r="AD48" s="6" t="s">
        <v>76</v>
      </c>
      <c r="AE48" s="6" t="s">
        <v>18</v>
      </c>
      <c r="AF48" s="6" t="s">
        <v>70</v>
      </c>
      <c r="AG48" s="6" t="s">
        <v>5</v>
      </c>
      <c r="AH48" s="6" t="s">
        <v>5</v>
      </c>
      <c r="AI48" s="6" t="s">
        <v>5</v>
      </c>
      <c r="AJ48" s="6" t="s">
        <v>4</v>
      </c>
      <c r="AK48" s="6" t="s">
        <v>1</v>
      </c>
      <c r="AL48" s="6" t="s">
        <v>15</v>
      </c>
      <c r="AM48" s="6" t="s">
        <v>14</v>
      </c>
      <c r="AN48" s="6" t="s">
        <v>5</v>
      </c>
      <c r="AO48" s="6" t="s">
        <v>7</v>
      </c>
      <c r="AP48" s="6" t="s">
        <v>49</v>
      </c>
      <c r="AQ48" s="6" t="s">
        <v>4</v>
      </c>
      <c r="AR48" s="6" t="s">
        <v>4</v>
      </c>
      <c r="AS48" s="6" t="s">
        <v>67</v>
      </c>
      <c r="AT48" s="6" t="s">
        <v>4</v>
      </c>
      <c r="AU48" s="6" t="s">
        <v>4</v>
      </c>
      <c r="AV48" s="6" t="s">
        <v>10</v>
      </c>
      <c r="AW48" s="6" t="s">
        <v>10</v>
      </c>
      <c r="AX48" s="6" t="s">
        <v>4</v>
      </c>
      <c r="AY48" s="6" t="s">
        <v>2</v>
      </c>
      <c r="AZ48" s="6" t="s">
        <v>4</v>
      </c>
      <c r="BA48" s="6" t="s">
        <v>4</v>
      </c>
      <c r="BB48" s="9" t="s">
        <v>7</v>
      </c>
      <c r="BC48" s="8" t="s">
        <v>4</v>
      </c>
      <c r="BD48" s="6" t="s">
        <v>1</v>
      </c>
      <c r="BE48" s="6" t="s">
        <v>7</v>
      </c>
      <c r="BF48" s="6" t="s">
        <v>4</v>
      </c>
      <c r="BG48" s="6" t="s">
        <v>47</v>
      </c>
      <c r="BH48" s="6" t="s">
        <v>2</v>
      </c>
      <c r="BI48" s="6" t="s">
        <v>47</v>
      </c>
      <c r="BJ48" s="6" t="s">
        <v>2</v>
      </c>
      <c r="BK48" s="6" t="s">
        <v>5</v>
      </c>
      <c r="BL48" s="6" t="s">
        <v>2</v>
      </c>
      <c r="BM48" s="6" t="s">
        <v>2</v>
      </c>
      <c r="BN48" s="6" t="s">
        <v>4</v>
      </c>
      <c r="BO48" s="6" t="s">
        <v>4</v>
      </c>
      <c r="BP48" s="6" t="s">
        <v>45</v>
      </c>
      <c r="BQ48" s="6" t="s">
        <v>5</v>
      </c>
      <c r="BR48" s="6" t="s">
        <v>4</v>
      </c>
      <c r="BS48" s="6" t="s">
        <v>4</v>
      </c>
      <c r="BT48" s="6" t="s">
        <v>2</v>
      </c>
      <c r="BU48" s="6" t="s">
        <v>4</v>
      </c>
      <c r="BV48" s="7" t="s">
        <v>5</v>
      </c>
      <c r="BW48" s="6" t="s">
        <v>1</v>
      </c>
      <c r="BX48" s="6" t="s">
        <v>5</v>
      </c>
      <c r="BY48" s="6" t="s">
        <v>4</v>
      </c>
      <c r="BZ48" s="6" t="s">
        <v>4</v>
      </c>
      <c r="CA48" s="6" t="s">
        <v>4</v>
      </c>
      <c r="CB48" s="6" t="s">
        <v>5</v>
      </c>
      <c r="CC48" s="6" t="s">
        <v>5</v>
      </c>
      <c r="CD48" s="6" t="s">
        <v>4</v>
      </c>
      <c r="CE48" s="6" t="s">
        <v>4</v>
      </c>
      <c r="CF48" s="6" t="s">
        <v>45</v>
      </c>
      <c r="CG48" s="6" t="s">
        <v>4</v>
      </c>
      <c r="CH48" s="6" t="s">
        <v>3</v>
      </c>
      <c r="CI48" s="6" t="s">
        <v>5</v>
      </c>
      <c r="CJ48" s="6" t="s">
        <v>1</v>
      </c>
      <c r="CK48" s="6" t="s">
        <v>4</v>
      </c>
      <c r="CL48" s="6" t="s">
        <v>4</v>
      </c>
      <c r="CM48" s="6" t="s">
        <v>46</v>
      </c>
      <c r="CN48" s="6" t="s">
        <v>4</v>
      </c>
      <c r="CO48" s="6" t="s">
        <v>1</v>
      </c>
      <c r="CP48" s="6" t="s">
        <v>4</v>
      </c>
      <c r="CQ48" s="6" t="s">
        <v>3</v>
      </c>
      <c r="CR48" s="6" t="s">
        <v>7</v>
      </c>
      <c r="CS48" s="6" t="s">
        <v>2</v>
      </c>
      <c r="CT48" s="6" t="s">
        <v>5</v>
      </c>
      <c r="CU48" s="6" t="s">
        <v>5</v>
      </c>
      <c r="CV48" s="5"/>
      <c r="CW48" t="s">
        <v>0</v>
      </c>
      <c r="CX48">
        <f>VLOOKUP(K48,Sheet2!$A$2:$B$58,2,0)</f>
        <v>0</v>
      </c>
      <c r="CY48" t="str">
        <f t="shared" si="2"/>
        <v>45574,9687352083,México,36+ años,Femenino,MAESTRIA,De forma autónoma/independiente/freelance,MEXICO-USA,11-20 años,5-10 años,ADMINISTRACION DE PROYECTOS,GERENTE DE ADMINISTRACION Y OPERACIONES,CATAPULT LABS,&lt;50 empleados,Fábrica de Software,Multinacional,Muy Frecuentemente,Alto,4-5 días,Ninguno,JUNTAS DE ESTRATEGIA O ESPECIALES,,, N/A,Remota ( todos los días en casa),Impuesta por la empresa,Totalmente de acuerdo,Igual que cuando iba todos los días a la oficina,Igual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oficina,Mayor que cuando iba todos los días a la oficina,Igual que cuando iba todos los días a la oficina,Menor que cuando iba todos los días a la oficina,No me influye,Mejoran mi productividad,Mayor que cuando iba todos los días a la oficina,Mucho menor que cuando iba todos los días a la oficina,Menos que cuando iba todos los días a la oficina,Igual que cuando iba todos los días a la oficina,Igual que cuando iba todos los días a la oficina,Mucho menos que cuando iba todos los días a la oficina,Igual que cuando iba todos los días a la oficina,Igual que cuando iba todos los días a la oficina,Mas que cuando iba todos los días a la oficina,Mas que cuando iba todos los días a la oficina,Igual que cuando iba todos los días a la oficina,Iguales que cuando iba todos los días a la oficina,Igual que cuando iba todos los días a la oficina,Igual que cuando iba todos los días a la oficina,Mucho menor que cuando iba todos los días a la oficina,Igual que cuando iba todos los días a la oficina,Menor que cuando iba todos los días a la oficina,Mucho menor que cuando iba todos los días a la oficina,Igual que cuando iba todos los días a la oficina,Mucho mayor que cuando iba todos los días a la oficina,Iguales que cuando iba todos los días a la oficina,Mucho 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oficina,Mayores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oficina,Menor que cuando iba todos los días a la oficina,Mayor que cuando iba todos los días a la oficina,Igual que cuando iba todos los días a la oficina,Igual que cuando iba todos los días a la oficina,Igual que cuando iba todos los días a la oficina,Mayor que cuando iba todos los días a la oficina,Mayor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oficina,Menor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oficina,Mucho Mayor que cuando iba todos los días a la oficina,Mucho menor que cuando iba todos los días a la oficina,Iguales que cuando iba todos los días a la oficina,Mayor que cuando iba todos los días a la oficina,Mayor que cuando iba todos los días a la oficina,,&lt;301 empleados,0</v>
      </c>
    </row>
    <row r="49" spans="1:103" ht="14.4" x14ac:dyDescent="0.3">
      <c r="A49" s="13">
        <v>45563.034129085645</v>
      </c>
      <c r="B49" s="12" t="s">
        <v>38</v>
      </c>
      <c r="C49" s="6" t="s">
        <v>42</v>
      </c>
      <c r="D49" s="6" t="s">
        <v>81</v>
      </c>
      <c r="E49" s="6" t="s">
        <v>172</v>
      </c>
      <c r="F49" s="6" t="s">
        <v>39</v>
      </c>
      <c r="G49" s="6" t="s">
        <v>38</v>
      </c>
      <c r="H49" s="6" t="s">
        <v>36</v>
      </c>
      <c r="I49" s="6" t="s">
        <v>64</v>
      </c>
      <c r="J49" s="6" t="s">
        <v>171</v>
      </c>
      <c r="K49" s="6" t="s">
        <v>170</v>
      </c>
      <c r="L49" s="6" t="s">
        <v>169</v>
      </c>
      <c r="M49" s="6" t="s">
        <v>32</v>
      </c>
      <c r="N49" s="6" t="s">
        <v>79</v>
      </c>
      <c r="O49" s="6" t="s">
        <v>30</v>
      </c>
      <c r="P49" s="6" t="s">
        <v>58</v>
      </c>
      <c r="Q49" s="11" t="s">
        <v>28</v>
      </c>
      <c r="R49" s="6" t="s">
        <v>27</v>
      </c>
      <c r="S49" s="6" t="s">
        <v>26</v>
      </c>
      <c r="T49" s="6" t="s">
        <v>117</v>
      </c>
      <c r="U49" s="6" t="s">
        <v>117</v>
      </c>
      <c r="V49" s="6" t="s">
        <v>117</v>
      </c>
      <c r="W49" s="19"/>
      <c r="X49" s="6" t="s">
        <v>73</v>
      </c>
      <c r="Y49" s="6" t="s">
        <v>20</v>
      </c>
      <c r="Z49" s="6" t="s">
        <v>113</v>
      </c>
      <c r="AA49" s="6" t="s">
        <v>1</v>
      </c>
      <c r="AB49" s="6" t="s">
        <v>1</v>
      </c>
      <c r="AC49" s="6" t="s">
        <v>4</v>
      </c>
      <c r="AD49" s="6" t="s">
        <v>76</v>
      </c>
      <c r="AE49" s="6" t="s">
        <v>18</v>
      </c>
      <c r="AF49" s="6" t="s">
        <v>70</v>
      </c>
      <c r="AG49" s="6" t="s">
        <v>5</v>
      </c>
      <c r="AH49" s="6" t="s">
        <v>5</v>
      </c>
      <c r="AI49" s="6" t="s">
        <v>4</v>
      </c>
      <c r="AJ49" s="6" t="s">
        <v>3</v>
      </c>
      <c r="AK49" s="6" t="s">
        <v>5</v>
      </c>
      <c r="AL49" s="6" t="s">
        <v>74</v>
      </c>
      <c r="AM49" s="6" t="s">
        <v>68</v>
      </c>
      <c r="AN49" s="6" t="s">
        <v>1</v>
      </c>
      <c r="AO49" s="6" t="s">
        <v>13</v>
      </c>
      <c r="AP49" s="6" t="s">
        <v>8</v>
      </c>
      <c r="AQ49" s="6" t="s">
        <v>4</v>
      </c>
      <c r="AR49" s="6" t="s">
        <v>4</v>
      </c>
      <c r="AS49" s="6" t="s">
        <v>4</v>
      </c>
      <c r="AT49" s="6" t="s">
        <v>4</v>
      </c>
      <c r="AU49" s="6" t="s">
        <v>10</v>
      </c>
      <c r="AV49" s="6" t="s">
        <v>4</v>
      </c>
      <c r="AW49" s="6" t="s">
        <v>10</v>
      </c>
      <c r="AX49" s="6" t="s">
        <v>4</v>
      </c>
      <c r="AY49" s="6" t="s">
        <v>45</v>
      </c>
      <c r="AZ49" s="6" t="s">
        <v>4</v>
      </c>
      <c r="BA49" s="6" t="s">
        <v>1</v>
      </c>
      <c r="BB49" s="9" t="s">
        <v>7</v>
      </c>
      <c r="BC49" s="8" t="s">
        <v>4</v>
      </c>
      <c r="BD49" s="6" t="s">
        <v>1</v>
      </c>
      <c r="BE49" s="6" t="s">
        <v>1</v>
      </c>
      <c r="BF49" s="6" t="s">
        <v>1</v>
      </c>
      <c r="BG49" s="6" t="s">
        <v>47</v>
      </c>
      <c r="BH49" s="6" t="s">
        <v>2</v>
      </c>
      <c r="BI49" s="6" t="s">
        <v>4</v>
      </c>
      <c r="BJ49" s="6" t="s">
        <v>2</v>
      </c>
      <c r="BK49" s="6" t="s">
        <v>5</v>
      </c>
      <c r="BL49" s="6" t="s">
        <v>45</v>
      </c>
      <c r="BM49" s="6" t="s">
        <v>2</v>
      </c>
      <c r="BN49" s="6" t="s">
        <v>49</v>
      </c>
      <c r="BO49" s="6" t="s">
        <v>1</v>
      </c>
      <c r="BP49" s="6" t="s">
        <v>50</v>
      </c>
      <c r="BQ49" s="6" t="s">
        <v>47</v>
      </c>
      <c r="BR49" s="6" t="s">
        <v>5</v>
      </c>
      <c r="BS49" s="6" t="s">
        <v>49</v>
      </c>
      <c r="BT49" s="6" t="s">
        <v>2</v>
      </c>
      <c r="BU49" s="6" t="s">
        <v>4</v>
      </c>
      <c r="BV49" s="7" t="s">
        <v>5</v>
      </c>
      <c r="BW49" s="6" t="s">
        <v>5</v>
      </c>
      <c r="BX49" s="6" t="s">
        <v>47</v>
      </c>
      <c r="BY49" s="6" t="s">
        <v>4</v>
      </c>
      <c r="BZ49" s="6" t="s">
        <v>1</v>
      </c>
      <c r="CA49" s="6" t="s">
        <v>5</v>
      </c>
      <c r="CB49" s="6" t="s">
        <v>5</v>
      </c>
      <c r="CC49" s="6" t="s">
        <v>5</v>
      </c>
      <c r="CD49" s="6" t="s">
        <v>5</v>
      </c>
      <c r="CE49" s="6" t="s">
        <v>4</v>
      </c>
      <c r="CF49" s="6" t="s">
        <v>2</v>
      </c>
      <c r="CG49" s="6" t="s">
        <v>5</v>
      </c>
      <c r="CH49" s="6" t="s">
        <v>1</v>
      </c>
      <c r="CI49" s="6" t="s">
        <v>1</v>
      </c>
      <c r="CJ49" s="6" t="s">
        <v>5</v>
      </c>
      <c r="CK49" s="6" t="s">
        <v>4</v>
      </c>
      <c r="CL49" s="6" t="s">
        <v>4</v>
      </c>
      <c r="CM49" s="6" t="s">
        <v>46</v>
      </c>
      <c r="CN49" s="6" t="s">
        <v>4</v>
      </c>
      <c r="CO49" s="6" t="s">
        <v>1</v>
      </c>
      <c r="CP49" s="6" t="s">
        <v>4</v>
      </c>
      <c r="CQ49" s="6" t="s">
        <v>5</v>
      </c>
      <c r="CR49" s="6" t="s">
        <v>1</v>
      </c>
      <c r="CS49" s="6" t="s">
        <v>6</v>
      </c>
      <c r="CT49" s="6" t="s">
        <v>4</v>
      </c>
      <c r="CU49" s="6" t="s">
        <v>5</v>
      </c>
      <c r="CV49" s="10" t="s">
        <v>168</v>
      </c>
      <c r="CW49" t="s">
        <v>0</v>
      </c>
      <c r="CX49">
        <f>VLOOKUP(K49,Sheet2!$A$2:$B$58,2,0)</f>
        <v>0</v>
      </c>
      <c r="CY49" t="str">
        <f t="shared" si="2"/>
        <v>45563,0341290856,México,36+ años,Femenino,Nivel Superior,Como empleado de una empresa,México,5-10 años,&lt;5 años,Analista en Inteligencia de negocios,Supervisor de informes en tecnología empresarial (Report Monitoring, BI),Orbitware,&lt;50 empleados,Empresa que subcontrata (outsourcing) los servicios de otra del mismo país,Multinacional,Muy Frecuentemente,Alto,4-5 días,Ninguno,Nunca,Nunca,Nunca,,Remota ( todos los días en casa),Impuesta por la empresa,De acuerdo,Menor que cuando iba todos los días a la oficina,Menor que cuando iba todos los días a la oficina,Igual que cuando iba todos los días a la oficina,Diferentes que cuando iba todos los días a la oficina, ahora necesito menos horas para hacer lo mismo,Todas por videoconferencia,Menor que cuando eran en la oficina,Mayor que cuando iba todos los días a la oficina,Mayor que cuando iba todos los días a la oficina,Igual que cuando iba todos los días a la oficina,Mucho Mayor que cuando iba todos los días a la oficina,Mayor que cuando iba todos los días a la oficina,Mejora mi desempeño en el trabajo,No afectan a mi productividad,Menor que cuando iba todos los días a la oficina,No tengo la información para contestar a la pregunta,Más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 que cuando iba todos los días a la oficina,Mayores que cuando iba todos los días a la oficina,Igual que cuando iba todos los días a la oficina,Menor que cuando iba todos los días a la oficina,Mucho 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oficina,Iguales que cuando iba todos los días a la oficina,Igual que cuando iba todos los días a la oficina,Iguales que cuando iba todos los días a la oficina,Mayor que cuando iba todos los días a la oficina,Mayores que cuando iba todos los días a la oficina,Iguales que cuando iba todos los días a la oficina,Menos que cuando iba todos los días a la oficina,Menor que cuando iba todos los días a la oficina,Mucho menores que cuando iba todos los días a la oficina,Mucho mayor que cuando iba todos los días a la oficina,Mayor que cuando iba todos los días a la oficina,Menos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oficina,Menor que cuando iba todos los días a la oficina,Mayor que cuando iba todos los días a la oficina,Mayor que cuando iba todos los días a la oficina,Mayor que cuando iba todos los días a la oficina,Mayor que cuando iba todos los días a la oficina,Igual que cuando iba todos los días a la oficina,Iguales que cuando iba todos los días a la oficina,Mayor que cuando iba todos los días a la oficina,Menor que cuando iba todos los días a la oficina,Menor que cuando iba todos los días a la oficina,Mayor que cuando iba todos los días a la oficina,Igual que cuando iba todos los días a la oficina,Igual que cuando iba todos los días a la oficina,Mejor que cuando iba todos los días a la oficina,Igual que cuando iba todos los días a la oficina,Menor que cuando iba todos los días a la oficina,Igual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oficina,laygrenot@gmail.com,&lt;301 empleados,0</v>
      </c>
    </row>
    <row r="50" spans="1:103" ht="13.8" x14ac:dyDescent="0.3">
      <c r="A50" s="13">
        <v>45562.85537365741</v>
      </c>
      <c r="B50" s="12" t="s">
        <v>38</v>
      </c>
      <c r="C50" s="6" t="s">
        <v>42</v>
      </c>
      <c r="D50" s="6" t="s">
        <v>41</v>
      </c>
      <c r="E50" s="6" t="s">
        <v>66</v>
      </c>
      <c r="F50" s="6" t="s">
        <v>145</v>
      </c>
      <c r="G50" s="6" t="s">
        <v>142</v>
      </c>
      <c r="H50" s="6" t="s">
        <v>64</v>
      </c>
      <c r="I50" s="6" t="s">
        <v>64</v>
      </c>
      <c r="J50" s="6" t="s">
        <v>167</v>
      </c>
      <c r="K50" s="6" t="s">
        <v>166</v>
      </c>
      <c r="L50" s="6" t="s">
        <v>165</v>
      </c>
      <c r="M50" s="6" t="s">
        <v>60</v>
      </c>
      <c r="N50" s="6" t="s">
        <v>31</v>
      </c>
      <c r="O50" s="6" t="s">
        <v>30</v>
      </c>
      <c r="P50" s="6" t="s">
        <v>58</v>
      </c>
      <c r="Q50" s="11" t="s">
        <v>28</v>
      </c>
      <c r="R50" s="6" t="s">
        <v>27</v>
      </c>
      <c r="S50" s="6" t="s">
        <v>26</v>
      </c>
      <c r="T50" s="6" t="s">
        <v>117</v>
      </c>
      <c r="U50" s="6" t="s">
        <v>117</v>
      </c>
      <c r="V50" s="6" t="s">
        <v>164</v>
      </c>
      <c r="W50" s="6" t="s">
        <v>116</v>
      </c>
      <c r="X50" s="6" t="s">
        <v>73</v>
      </c>
      <c r="Y50" s="6" t="s">
        <v>72</v>
      </c>
      <c r="Z50" s="6" t="s">
        <v>113</v>
      </c>
      <c r="AA50" s="6" t="s">
        <v>4</v>
      </c>
      <c r="AB50" s="6" t="s">
        <v>1</v>
      </c>
      <c r="AC50" s="6" t="s">
        <v>5</v>
      </c>
      <c r="AD50" s="6" t="s">
        <v>55</v>
      </c>
      <c r="AE50" s="6" t="s">
        <v>18</v>
      </c>
      <c r="AF50" s="6" t="s">
        <v>54</v>
      </c>
      <c r="AG50" s="6" t="s">
        <v>3</v>
      </c>
      <c r="AH50" s="6" t="s">
        <v>5</v>
      </c>
      <c r="AI50" s="6" t="s">
        <v>13</v>
      </c>
      <c r="AJ50" s="6" t="s">
        <v>3</v>
      </c>
      <c r="AK50" s="6" t="s">
        <v>4</v>
      </c>
      <c r="AL50" s="6" t="s">
        <v>74</v>
      </c>
      <c r="AM50" s="6" t="s">
        <v>51</v>
      </c>
      <c r="AN50" s="6" t="s">
        <v>4</v>
      </c>
      <c r="AO50" s="6" t="s">
        <v>13</v>
      </c>
      <c r="AP50" s="6" t="s">
        <v>4</v>
      </c>
      <c r="AQ50" s="6" t="s">
        <v>4</v>
      </c>
      <c r="AR50" s="6" t="s">
        <v>8</v>
      </c>
      <c r="AS50" s="6" t="s">
        <v>8</v>
      </c>
      <c r="AT50" s="6" t="s">
        <v>8</v>
      </c>
      <c r="AU50" s="6" t="s">
        <v>4</v>
      </c>
      <c r="AV50" s="6" t="s">
        <v>4</v>
      </c>
      <c r="AW50" s="6" t="s">
        <v>4</v>
      </c>
      <c r="AX50" s="6" t="s">
        <v>4</v>
      </c>
      <c r="AY50" s="6" t="s">
        <v>2</v>
      </c>
      <c r="AZ50" s="6" t="s">
        <v>5</v>
      </c>
      <c r="BA50" s="6" t="s">
        <v>3</v>
      </c>
      <c r="BB50" s="9" t="s">
        <v>7</v>
      </c>
      <c r="BC50" s="8" t="s">
        <v>4</v>
      </c>
      <c r="BD50" s="6" t="s">
        <v>1</v>
      </c>
      <c r="BE50" s="6" t="s">
        <v>1</v>
      </c>
      <c r="BF50" s="6" t="s">
        <v>4</v>
      </c>
      <c r="BG50" s="6" t="s">
        <v>47</v>
      </c>
      <c r="BH50" s="6" t="s">
        <v>2</v>
      </c>
      <c r="BI50" s="6" t="s">
        <v>4</v>
      </c>
      <c r="BJ50" s="6" t="s">
        <v>85</v>
      </c>
      <c r="BK50" s="6" t="s">
        <v>47</v>
      </c>
      <c r="BL50" s="6" t="s">
        <v>2</v>
      </c>
      <c r="BM50" s="6" t="s">
        <v>2</v>
      </c>
      <c r="BN50" s="6" t="s">
        <v>4</v>
      </c>
      <c r="BO50" s="6" t="s">
        <v>4</v>
      </c>
      <c r="BP50" s="6" t="s">
        <v>50</v>
      </c>
      <c r="BQ50" s="6" t="s">
        <v>47</v>
      </c>
      <c r="BR50" s="6" t="s">
        <v>5</v>
      </c>
      <c r="BS50" s="6" t="s">
        <v>4</v>
      </c>
      <c r="BT50" s="6" t="s">
        <v>6</v>
      </c>
      <c r="BU50" s="6" t="s">
        <v>4</v>
      </c>
      <c r="BV50" s="7" t="s">
        <v>5</v>
      </c>
      <c r="BW50" s="6" t="s">
        <v>3</v>
      </c>
      <c r="BX50" s="6" t="s">
        <v>47</v>
      </c>
      <c r="BY50" s="6" t="s">
        <v>3</v>
      </c>
      <c r="BZ50" s="6" t="s">
        <v>3</v>
      </c>
      <c r="CA50" s="6" t="s">
        <v>3</v>
      </c>
      <c r="CB50" s="6" t="s">
        <v>3</v>
      </c>
      <c r="CC50" s="6" t="s">
        <v>3</v>
      </c>
      <c r="CD50" s="6" t="s">
        <v>4</v>
      </c>
      <c r="CE50" s="6" t="s">
        <v>49</v>
      </c>
      <c r="CF50" s="6" t="s">
        <v>6</v>
      </c>
      <c r="CG50" s="6" t="s">
        <v>3</v>
      </c>
      <c r="CH50" s="6" t="s">
        <v>3</v>
      </c>
      <c r="CI50" s="6" t="s">
        <v>4</v>
      </c>
      <c r="CJ50" s="6" t="s">
        <v>7</v>
      </c>
      <c r="CK50" s="6" t="s">
        <v>1</v>
      </c>
      <c r="CL50" s="6" t="s">
        <v>5</v>
      </c>
      <c r="CM50" s="6" t="s">
        <v>48</v>
      </c>
      <c r="CN50" s="6" t="s">
        <v>1</v>
      </c>
      <c r="CO50" s="6" t="s">
        <v>1</v>
      </c>
      <c r="CP50" s="6" t="s">
        <v>5</v>
      </c>
      <c r="CQ50" s="6" t="s">
        <v>3</v>
      </c>
      <c r="CR50" s="6" t="s">
        <v>7</v>
      </c>
      <c r="CS50" s="6" t="s">
        <v>6</v>
      </c>
      <c r="CT50" s="6" t="s">
        <v>1</v>
      </c>
      <c r="CU50" s="6" t="s">
        <v>47</v>
      </c>
      <c r="CV50" s="23" t="s">
        <v>163</v>
      </c>
      <c r="CW50" t="s">
        <v>43</v>
      </c>
      <c r="CX50">
        <f>VLOOKUP(K50,Sheet2!$A$2:$B$58,2,0)</f>
        <v>0</v>
      </c>
      <c r="CY50" t="str">
        <f t="shared" ref="CY50:CY58" si="3">_xlfn.TEXTJOIN(",",FALSE,A50:CX50)</f>
        <v>45562,8553736574,México,36+ años,Masculino,Licenciatura,De ambas formas,Alemania,&lt;5 años,&lt;5 años,Cientifico de datos,Lider tecnico,Eviden,&gt;500 empleados.,Fábrica de Software,Multinacional,Muy Frecuentemente,Alto,4-5 días,Ninguno,Nunca,Nunca,Fiestas,Ninguna,Remota ( todos los días en casa),Consensuada por las dos partes,De acuerdo,Igual que cuando iba todos los días a la oficina,Menor que cuando iba todos los días a la oficina,Mayor que cuando iba todos los días a la oficina,Muy diferentes que cuando iba todos los días a la oficina, ahora necesito muchas menos horas para hacer lo mismo,Todas por videoconferencia,Mucho menor que cuando eran en la oficina,Mucho Mayor que cuando iba todos los días a la oficina,Mayor que cuando iba todos los días a la oficina,No tengo la información para contestar a la pregunta,Mucho Mayor que cuando iba todos los días a la oficina,Igual que cuando iba todos los días a la oficina,Mejora mi desempeño en el trabajo,Mejoran mucho mi productividad,Igual que cuando iba todos los días a la oficina,No tengo la información para contestar a la pregunta,Igual que cuando iba todos los días a la oficina,Igual que cuando iba todos los días a la oficina,Más que cuando iba todos los días a la oficina,Más que cuando iba todos los días a la oficina,Más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oficina,Mayor que cuando iba todos los días a la oficina,Mucho Mayor que cuando iba todos los días a la oficina,Mucho 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oficina,Mucho mayores que cuando iba todos los días a la oficina,Mucho mayor que cuando iba todos los días a la oficina,Iguales que cuando iba todos los días a la oficina,Iguales que cuando iba todos los días a la oficina,Igual que cuando iba todos los días a la oficina,Igual que cuando iba todos los días a la oficina,Mucho menores que cuando iba todos los días a la oficina,Mucho mayor que cuando iba todos los días a la oficina,Mayor que cuando iba todos los días a la oficina,Igual que cuando iba todos los días a la oficina,Menores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oficina,Igual que cuando iba todos los días a la oficina,Menos que cuando iba todos los días a la oficina,Menores que cuando iba todos los días a la oficina,Mucho Mayor que cuando iba todos los días a la oficina,Mucho Mayor que cuando iba todos los días a la oficina,Igual que cuando iba todos los días a la oficina,Mucho menor que cuando iba todos los días a la oficina,Menor que cuando iba todos los días a la oficina,Mayor que cuando iba todos los días a la oficina,Peor que cuando iba todos los días a la oficina,Menor que cuando iba todos los días a la oficina,Menor que cuando iba todos los días a la oficina,Mayor que cuando iba todos los días a la oficina,Mucho Mayor que cuando iba todos los días a la oficina,Mucho menor que cuando iba todos los días a la oficina,Menores que cuando iba todos los días a la oficina,Menor que cuando iba todos los días a la oficina,Mucho mayor que cuando iba todos los días a la oficina,victornoriega7@gmail.com,301+ empleados,0</v>
      </c>
    </row>
    <row r="51" spans="1:103" ht="14.4" x14ac:dyDescent="0.3">
      <c r="A51" s="13">
        <v>45564.954652291664</v>
      </c>
      <c r="B51" s="12" t="s">
        <v>38</v>
      </c>
      <c r="C51" s="6" t="s">
        <v>42</v>
      </c>
      <c r="D51" s="6" t="s">
        <v>41</v>
      </c>
      <c r="E51" s="6" t="s">
        <v>134</v>
      </c>
      <c r="F51" s="6" t="s">
        <v>39</v>
      </c>
      <c r="G51" s="6" t="s">
        <v>114</v>
      </c>
      <c r="H51" s="6" t="s">
        <v>37</v>
      </c>
      <c r="I51" s="6" t="s">
        <v>63</v>
      </c>
      <c r="J51" s="6" t="s">
        <v>133</v>
      </c>
      <c r="K51" s="6" t="s">
        <v>132</v>
      </c>
      <c r="L51" s="19"/>
      <c r="M51" s="6" t="s">
        <v>60</v>
      </c>
      <c r="N51" s="6" t="s">
        <v>59</v>
      </c>
      <c r="O51" s="6" t="s">
        <v>30</v>
      </c>
      <c r="P51" s="6" t="s">
        <v>58</v>
      </c>
      <c r="Q51" s="11" t="s">
        <v>28</v>
      </c>
      <c r="R51" s="6" t="s">
        <v>27</v>
      </c>
      <c r="S51" s="6" t="s">
        <v>26</v>
      </c>
      <c r="T51" s="6" t="s">
        <v>131</v>
      </c>
      <c r="U51" s="6" t="s">
        <v>130</v>
      </c>
      <c r="V51" s="6" t="s">
        <v>129</v>
      </c>
      <c r="W51" s="6" t="s">
        <v>116</v>
      </c>
      <c r="X51" s="6" t="s">
        <v>73</v>
      </c>
      <c r="Y51" s="6" t="s">
        <v>20</v>
      </c>
      <c r="Z51" s="6" t="s">
        <v>87</v>
      </c>
      <c r="AA51" s="6" t="s">
        <v>4</v>
      </c>
      <c r="AB51" s="6" t="s">
        <v>4</v>
      </c>
      <c r="AC51" s="6" t="s">
        <v>4</v>
      </c>
      <c r="AD51" s="6" t="s">
        <v>55</v>
      </c>
      <c r="AE51" s="6" t="s">
        <v>18</v>
      </c>
      <c r="AF51" s="6" t="s">
        <v>17</v>
      </c>
      <c r="AG51" s="6" t="s">
        <v>3</v>
      </c>
      <c r="AH51" s="6" t="s">
        <v>3</v>
      </c>
      <c r="AI51" s="6" t="s">
        <v>5</v>
      </c>
      <c r="AJ51" s="6" t="s">
        <v>3</v>
      </c>
      <c r="AK51" s="6" t="s">
        <v>53</v>
      </c>
      <c r="AL51" s="6" t="s">
        <v>52</v>
      </c>
      <c r="AM51" s="6" t="s">
        <v>51</v>
      </c>
      <c r="AN51" s="6" t="s">
        <v>47</v>
      </c>
      <c r="AO51" s="6" t="s">
        <v>4</v>
      </c>
      <c r="AP51" s="6" t="s">
        <v>4</v>
      </c>
      <c r="AQ51" s="6" t="s">
        <v>4</v>
      </c>
      <c r="AR51" s="6" t="s">
        <v>4</v>
      </c>
      <c r="AS51" s="6" t="s">
        <v>4</v>
      </c>
      <c r="AT51" s="6" t="s">
        <v>4</v>
      </c>
      <c r="AU51" s="6" t="s">
        <v>4</v>
      </c>
      <c r="AV51" s="6" t="s">
        <v>4</v>
      </c>
      <c r="AW51" s="6" t="s">
        <v>4</v>
      </c>
      <c r="AX51" s="6" t="s">
        <v>4</v>
      </c>
      <c r="AY51" s="6" t="s">
        <v>2</v>
      </c>
      <c r="AZ51" s="6" t="s">
        <v>4</v>
      </c>
      <c r="BA51" s="6" t="s">
        <v>4</v>
      </c>
      <c r="BB51" s="9" t="s">
        <v>4</v>
      </c>
      <c r="BC51" s="8" t="s">
        <v>4</v>
      </c>
      <c r="BD51" s="6" t="s">
        <v>4</v>
      </c>
      <c r="BE51" s="6" t="s">
        <v>4</v>
      </c>
      <c r="BF51" s="6" t="s">
        <v>4</v>
      </c>
      <c r="BG51" s="6" t="s">
        <v>47</v>
      </c>
      <c r="BH51" s="6" t="s">
        <v>50</v>
      </c>
      <c r="BI51" s="6" t="s">
        <v>4</v>
      </c>
      <c r="BJ51" s="6" t="s">
        <v>2</v>
      </c>
      <c r="BK51" s="6" t="s">
        <v>4</v>
      </c>
      <c r="BL51" s="6" t="s">
        <v>2</v>
      </c>
      <c r="BM51" s="6" t="s">
        <v>2</v>
      </c>
      <c r="BN51" s="6" t="s">
        <v>67</v>
      </c>
      <c r="BO51" s="6" t="s">
        <v>4</v>
      </c>
      <c r="BP51" s="6" t="s">
        <v>50</v>
      </c>
      <c r="BQ51" s="6" t="s">
        <v>47</v>
      </c>
      <c r="BR51" s="6" t="s">
        <v>4</v>
      </c>
      <c r="BS51" s="6" t="s">
        <v>4</v>
      </c>
      <c r="BT51" s="6" t="s">
        <v>2</v>
      </c>
      <c r="BU51" s="6" t="s">
        <v>4</v>
      </c>
      <c r="BV51" s="7" t="s">
        <v>4</v>
      </c>
      <c r="BW51" s="6" t="s">
        <v>5</v>
      </c>
      <c r="BX51" s="6" t="s">
        <v>47</v>
      </c>
      <c r="BY51" s="6" t="s">
        <v>4</v>
      </c>
      <c r="BZ51" s="6" t="s">
        <v>4</v>
      </c>
      <c r="CA51" s="6" t="s">
        <v>3</v>
      </c>
      <c r="CB51" s="6" t="s">
        <v>4</v>
      </c>
      <c r="CC51" s="6" t="s">
        <v>4</v>
      </c>
      <c r="CD51" s="6" t="s">
        <v>4</v>
      </c>
      <c r="CE51" s="6" t="s">
        <v>4</v>
      </c>
      <c r="CF51" s="6" t="s">
        <v>2</v>
      </c>
      <c r="CG51" s="6" t="s">
        <v>4</v>
      </c>
      <c r="CH51" s="6" t="s">
        <v>5</v>
      </c>
      <c r="CI51" s="6" t="s">
        <v>4</v>
      </c>
      <c r="CJ51" s="6" t="s">
        <v>7</v>
      </c>
      <c r="CK51" s="6" t="s">
        <v>4</v>
      </c>
      <c r="CL51" s="6" t="s">
        <v>4</v>
      </c>
      <c r="CM51" s="6" t="s">
        <v>4</v>
      </c>
      <c r="CN51" s="6" t="s">
        <v>4</v>
      </c>
      <c r="CO51" s="6" t="s">
        <v>4</v>
      </c>
      <c r="CP51" s="6" t="s">
        <v>4</v>
      </c>
      <c r="CQ51" s="6" t="s">
        <v>3</v>
      </c>
      <c r="CR51" s="6" t="s">
        <v>7</v>
      </c>
      <c r="CS51" s="6" t="s">
        <v>2</v>
      </c>
      <c r="CT51" s="6" t="s">
        <v>4</v>
      </c>
      <c r="CU51" s="6" t="s">
        <v>47</v>
      </c>
      <c r="CV51" s="5"/>
      <c r="CW51" t="s">
        <v>43</v>
      </c>
      <c r="CX51">
        <f>VLOOKUP(K51,Sheet2!$A$2:$B$58,2,0)</f>
        <v>0</v>
      </c>
      <c r="CY51" t="str">
        <f t="shared" si="3"/>
        <v>45564,9546522917,México,36+ años,Masculino,Ingenieria,Como empleado de una empresa,Estados Unidos ,11-20 años,10-20 años,Gerente de calidad (qa),Performance test lead/manager,,&gt;500 empleados.,Empresa que subcontrata (outsourcing) los servicios de otra empresa situada en otro país,Multinacional,Muy Frecuentemente,Alto,4-5 días,Ninguno,Si,Solo he ido por reparación de equipo,Un viernes o lunes,Ninguna,Remota ( todos los días en casa),Impuesta por la empresa,Totalmente en desacuerdo,Igual que cuando iba todos los días a la oficina,Igual que cuando iba todos los días a la oficina,Igual que cuando iba todos los días a la oficina,Muy diferentes que cuando iba todos los días a la oficina, ahora necesito muchas menos horas para hacer lo mismo,Todas por videoconferencia,Mayor que cuando eran en la oficina,Mucho Mayor que cuando iba todos los días a la oficina,Mucho Mayor que cuando iba todos los días a la oficina,Mayor que cuando iba todos los días a la oficina,Mucho 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menores que cuando iba todos los días a la oficina,Igual que cuando iba todos los días a la oficina,Iguales que cuando iba todos los días a la oficina,Igual que cuando iba todos los días a la oficina,Iguales que cuando iba todos los días a la oficina,Iguales que cuando iba todos los días a la oficina,Mucho menos que cuando iba todos los días a la oficina,Igual que cuando iba todos los días a la oficina,Mucho menores que cuando iba todos los días a la oficina,Mucho mayor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oficina,Mayor que cuando iba todos los días a la oficina,Mucho mayor que cuando iba todos los días a la oficina,Igual que cuando iba todos los días a la oficina,Igual que cuando iba todos los días a la oficina,Mucho Mayor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Mayor que cuando iba todos los días a la oficina,Mucho menor que cuando iba todos los días a la oficina,Iguales que cuando iba todos los días a la oficina,Igual que cuando iba todos los días a la oficina,Mucho mayor que cuando iba todos los días a la oficina,,301+ empleados,0</v>
      </c>
    </row>
    <row r="52" spans="1:103" ht="14.4" x14ac:dyDescent="0.3">
      <c r="A52" s="17">
        <v>45564.064870833332</v>
      </c>
      <c r="B52" s="12" t="s">
        <v>38</v>
      </c>
      <c r="C52" s="12" t="s">
        <v>42</v>
      </c>
      <c r="D52" s="12" t="s">
        <v>41</v>
      </c>
      <c r="E52" s="12" t="s">
        <v>66</v>
      </c>
      <c r="F52" s="12" t="s">
        <v>39</v>
      </c>
      <c r="G52" s="12" t="s">
        <v>128</v>
      </c>
      <c r="H52" s="12" t="s">
        <v>64</v>
      </c>
      <c r="I52" s="12" t="s">
        <v>36</v>
      </c>
      <c r="J52" s="12" t="s">
        <v>127</v>
      </c>
      <c r="K52" s="12" t="s">
        <v>126</v>
      </c>
      <c r="L52" s="12" t="s">
        <v>125</v>
      </c>
      <c r="M52" s="12" t="s">
        <v>60</v>
      </c>
      <c r="N52" s="12" t="s">
        <v>59</v>
      </c>
      <c r="O52" s="12" t="s">
        <v>30</v>
      </c>
      <c r="P52" s="12" t="s">
        <v>58</v>
      </c>
      <c r="Q52" s="11" t="s">
        <v>28</v>
      </c>
      <c r="R52" s="12" t="s">
        <v>27</v>
      </c>
      <c r="S52" s="12" t="s">
        <v>78</v>
      </c>
      <c r="T52" s="10" t="s">
        <v>124</v>
      </c>
      <c r="U52" s="12" t="s">
        <v>123</v>
      </c>
      <c r="V52" s="12" t="s">
        <v>122</v>
      </c>
      <c r="W52" s="12" t="s">
        <v>121</v>
      </c>
      <c r="X52" s="12" t="s">
        <v>73</v>
      </c>
      <c r="Y52" s="12" t="s">
        <v>72</v>
      </c>
      <c r="Z52" s="12" t="s">
        <v>113</v>
      </c>
      <c r="AA52" s="12" t="s">
        <v>5</v>
      </c>
      <c r="AB52" s="12" t="s">
        <v>5</v>
      </c>
      <c r="AC52" s="12" t="s">
        <v>5</v>
      </c>
      <c r="AD52" s="12" t="s">
        <v>76</v>
      </c>
      <c r="AE52" s="12" t="s">
        <v>75</v>
      </c>
      <c r="AF52" s="12" t="s">
        <v>54</v>
      </c>
      <c r="AG52" s="12" t="s">
        <v>3</v>
      </c>
      <c r="AH52" s="12" t="s">
        <v>4</v>
      </c>
      <c r="AI52" s="12" t="s">
        <v>5</v>
      </c>
      <c r="AJ52" s="12" t="s">
        <v>5</v>
      </c>
      <c r="AK52" s="12" t="s">
        <v>53</v>
      </c>
      <c r="AL52" s="12" t="s">
        <v>52</v>
      </c>
      <c r="AM52" s="12" t="s">
        <v>51</v>
      </c>
      <c r="AN52" s="12" t="s">
        <v>47</v>
      </c>
      <c r="AO52" s="12" t="s">
        <v>4</v>
      </c>
      <c r="AP52" s="12" t="s">
        <v>4</v>
      </c>
      <c r="AQ52" s="12" t="s">
        <v>4</v>
      </c>
      <c r="AR52" s="12" t="s">
        <v>4</v>
      </c>
      <c r="AS52" s="12" t="s">
        <v>4</v>
      </c>
      <c r="AT52" s="12" t="s">
        <v>67</v>
      </c>
      <c r="AU52" s="12" t="s">
        <v>4</v>
      </c>
      <c r="AV52" s="12" t="s">
        <v>67</v>
      </c>
      <c r="AW52" s="12" t="s">
        <v>67</v>
      </c>
      <c r="AX52" s="12" t="s">
        <v>4</v>
      </c>
      <c r="AY52" s="12" t="s">
        <v>45</v>
      </c>
      <c r="AZ52" s="12" t="s">
        <v>5</v>
      </c>
      <c r="BA52" s="12" t="s">
        <v>5</v>
      </c>
      <c r="BB52" s="16" t="s">
        <v>1</v>
      </c>
      <c r="BC52" s="15" t="s">
        <v>3</v>
      </c>
      <c r="BD52" s="12" t="s">
        <v>1</v>
      </c>
      <c r="BE52" s="12" t="s">
        <v>1</v>
      </c>
      <c r="BF52" s="12" t="s">
        <v>4</v>
      </c>
      <c r="BG52" s="12" t="s">
        <v>5</v>
      </c>
      <c r="BH52" s="12" t="s">
        <v>6</v>
      </c>
      <c r="BI52" s="12" t="s">
        <v>5</v>
      </c>
      <c r="BJ52" s="12" t="s">
        <v>2</v>
      </c>
      <c r="BK52" s="12" t="s">
        <v>5</v>
      </c>
      <c r="BL52" s="12" t="s">
        <v>6</v>
      </c>
      <c r="BM52" s="12" t="s">
        <v>2</v>
      </c>
      <c r="BN52" s="12" t="s">
        <v>67</v>
      </c>
      <c r="BO52" s="12" t="s">
        <v>4</v>
      </c>
      <c r="BP52" s="12" t="s">
        <v>2</v>
      </c>
      <c r="BQ52" s="12" t="s">
        <v>47</v>
      </c>
      <c r="BR52" s="12" t="s">
        <v>1</v>
      </c>
      <c r="BS52" s="12" t="s">
        <v>49</v>
      </c>
      <c r="BT52" s="12" t="s">
        <v>6</v>
      </c>
      <c r="BU52" s="12" t="s">
        <v>104</v>
      </c>
      <c r="BV52" s="14" t="s">
        <v>3</v>
      </c>
      <c r="BW52" s="12" t="s">
        <v>3</v>
      </c>
      <c r="BX52" s="12" t="s">
        <v>47</v>
      </c>
      <c r="BY52" s="12" t="s">
        <v>3</v>
      </c>
      <c r="BZ52" s="12" t="s">
        <v>3</v>
      </c>
      <c r="CA52" s="12" t="s">
        <v>3</v>
      </c>
      <c r="CB52" s="12" t="s">
        <v>3</v>
      </c>
      <c r="CC52" s="12" t="s">
        <v>3</v>
      </c>
      <c r="CD52" s="12" t="s">
        <v>1</v>
      </c>
      <c r="CE52" s="12" t="s">
        <v>4</v>
      </c>
      <c r="CF52" s="12" t="s">
        <v>2</v>
      </c>
      <c r="CG52" s="12" t="s">
        <v>4</v>
      </c>
      <c r="CH52" s="12" t="s">
        <v>3</v>
      </c>
      <c r="CI52" s="12" t="s">
        <v>3</v>
      </c>
      <c r="CJ52" s="12" t="s">
        <v>4</v>
      </c>
      <c r="CK52" s="12" t="s">
        <v>5</v>
      </c>
      <c r="CL52" s="12" t="s">
        <v>4</v>
      </c>
      <c r="CM52" s="12" t="s">
        <v>4</v>
      </c>
      <c r="CN52" s="12" t="s">
        <v>5</v>
      </c>
      <c r="CO52" s="12" t="s">
        <v>1</v>
      </c>
      <c r="CP52" s="12" t="s">
        <v>5</v>
      </c>
      <c r="CQ52" s="12" t="s">
        <v>5</v>
      </c>
      <c r="CR52" s="12" t="s">
        <v>1</v>
      </c>
      <c r="CS52" s="12" t="s">
        <v>6</v>
      </c>
      <c r="CT52" s="12" t="s">
        <v>4</v>
      </c>
      <c r="CU52" s="12" t="s">
        <v>5</v>
      </c>
      <c r="CV52" s="22"/>
      <c r="CW52" t="s">
        <v>43</v>
      </c>
      <c r="CX52">
        <f>VLOOKUP(K52,Sheet2!$A$2:$B$58,2,0)</f>
        <v>0</v>
      </c>
      <c r="CY52" t="str">
        <f t="shared" si="3"/>
        <v>45564,0648708333,México,36+ años,Masculino,Licenciatura,Como empleado de una empresa,Estados Unidos de america,&lt;5 años,5-10 años,Gerente de cuenta,Gerente de operaciones,Conduent,&gt;500 empleados.,Empresa que subcontrata (outsourcing) los servicios de otra empresa situada en otro país,Multinacional,Muy Frecuentemente,Alto,4-5 días,1-2 días,Visitas de cliente o personal de corporativo,Na,Cuando hay temas difíciles a tratar,No,Remota ( todos los días en casa),Consensuada por las dos partes,De acuerdo,Mayor que cuando iba todos los días a la oficina,Mayor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oficina,Igual que cuando iba todos los días a la oficina,Mayor que cuando iba todos los días a la oficina,Mayor que cuando iba todos los días a la oficina,Mucho Mejor que cuando iba todos los días a la oficina,Mejora mucho mi desempeño en el trabajo,Mejoran mucho mi productividad,Mucho 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oficina,Mucho menos que cuando iba todos los días a la oficina,Igual que cuando iba todos los días a la oficina,Mucho menos que cuando iba todos los días a la oficina,Mucho menos que cuando iba todos los días a la oficina,Igual que cuando iba todos los días a la oficina,Mayores que cuando iba todos los días a la oficina,Mayor que cuando iba todos los días a la oficina,Mayor que cuando iba todos los días a la oficina,Menor que cuando iba todos los días a la oficina,Mucho Mayor que cuando iba todos los días a la oficina,Menor que cuando iba todos los días a la oficina,Menor que cuando iba todos los días a la oficina,Igual que cuando iba todos los días a la oficina,Mayor que cuando iba todos los días a la oficina,Menores que cuando iba todos los días a la oficina,Mayor que cuando iba todos los días a la oficina,Iguales que cuando iba todos los días a la oficina,Mayor que cuando iba todos los días a la oficina,Menores que cuando iba todos los días a la oficina,Iguales que cuando iba todos los días a la oficina,Mucho menos que cuando iba todos los días a la oficina,Igual que cuando iba todos los días a la oficina,Iguales que cuando iba todos los días a la oficina,Mucho mayor que cuando iba todos los días a la oficina,Menor que cuando iba todos los días a la oficina,Menos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oficina,Menor que cuando iba todos los días a la oficina,Igual que cuando iba todos los días a la oficina,Iguales que cuando iba todos los días a la oficina,Igual que cuando iba todos los días a la oficina,Mucho Mayor que cuando iba todos los días a la oficina,Mucho Mayor que cuando iba todos los días a la oficina,Igual que cuando iba todos los días a la oficina,Mayor que cuando iba todos los días a la oficina,Igual que cuando iba todos los días a la oficina,Igual que cuando iba todos los días a la oficina,Mayor que cuando iba todos los días a la oficina,Menor que cuando iba todos los días a la oficina,Mayor que cuando iba todos los días a la oficina,Mayor que cuando iba todos los días a la oficina,Menor que cuando iba todos los días a la oficina,Menores que cuando iba todos los días a la oficina,Igual que cuando iba todos los días a la oficina,Mayor que cuando iba todos los días a la oficina,,301+ empleados,0</v>
      </c>
    </row>
    <row r="53" spans="1:103" ht="14.4" x14ac:dyDescent="0.3">
      <c r="A53" s="13">
        <v>45567.946606990736</v>
      </c>
      <c r="B53" s="12" t="s">
        <v>38</v>
      </c>
      <c r="C53" s="6" t="s">
        <v>42</v>
      </c>
      <c r="D53" s="6" t="s">
        <v>81</v>
      </c>
      <c r="E53" s="6" t="s">
        <v>66</v>
      </c>
      <c r="F53" s="6" t="s">
        <v>39</v>
      </c>
      <c r="G53" s="6" t="s">
        <v>65</v>
      </c>
      <c r="H53" s="6" t="s">
        <v>37</v>
      </c>
      <c r="I53" s="6" t="s">
        <v>36</v>
      </c>
      <c r="J53" s="6" t="s">
        <v>120</v>
      </c>
      <c r="K53" s="6" t="s">
        <v>119</v>
      </c>
      <c r="L53" s="5"/>
      <c r="M53" s="6" t="s">
        <v>60</v>
      </c>
      <c r="N53" s="6" t="s">
        <v>59</v>
      </c>
      <c r="O53" s="6" t="s">
        <v>30</v>
      </c>
      <c r="P53" s="6" t="s">
        <v>58</v>
      </c>
      <c r="Q53" s="11" t="s">
        <v>28</v>
      </c>
      <c r="R53" s="6" t="s">
        <v>27</v>
      </c>
      <c r="S53" s="6" t="s">
        <v>26</v>
      </c>
      <c r="T53" s="6" t="s">
        <v>118</v>
      </c>
      <c r="U53" s="5"/>
      <c r="V53" s="19"/>
      <c r="W53" s="19"/>
      <c r="X53" s="6" t="s">
        <v>73</v>
      </c>
      <c r="Y53" s="6" t="s">
        <v>72</v>
      </c>
      <c r="Z53" s="6" t="s">
        <v>71</v>
      </c>
      <c r="AA53" s="6" t="s">
        <v>4</v>
      </c>
      <c r="AB53" s="6" t="s">
        <v>4</v>
      </c>
      <c r="AC53" s="6" t="s">
        <v>1</v>
      </c>
      <c r="AD53" s="6" t="s">
        <v>76</v>
      </c>
      <c r="AE53" s="6" t="s">
        <v>18</v>
      </c>
      <c r="AF53" s="6" t="s">
        <v>112</v>
      </c>
      <c r="AG53" s="6" t="s">
        <v>4</v>
      </c>
      <c r="AH53" s="6" t="s">
        <v>4</v>
      </c>
      <c r="AI53" s="6" t="s">
        <v>4</v>
      </c>
      <c r="AJ53" s="6" t="s">
        <v>4</v>
      </c>
      <c r="AK53" s="6" t="s">
        <v>4</v>
      </c>
      <c r="AL53" s="6" t="s">
        <v>15</v>
      </c>
      <c r="AM53" s="6" t="s">
        <v>14</v>
      </c>
      <c r="AN53" s="6" t="s">
        <v>4</v>
      </c>
      <c r="AO53" s="6" t="s">
        <v>5</v>
      </c>
      <c r="AP53" s="6" t="s">
        <v>4</v>
      </c>
      <c r="AQ53" s="6" t="s">
        <v>4</v>
      </c>
      <c r="AR53" s="6" t="s">
        <v>4</v>
      </c>
      <c r="AS53" s="6" t="s">
        <v>4</v>
      </c>
      <c r="AT53" s="6" t="s">
        <v>4</v>
      </c>
      <c r="AU53" s="6" t="s">
        <v>4</v>
      </c>
      <c r="AV53" s="6" t="s">
        <v>4</v>
      </c>
      <c r="AW53" s="6" t="s">
        <v>10</v>
      </c>
      <c r="AX53" s="6" t="s">
        <v>10</v>
      </c>
      <c r="AY53" s="6" t="s">
        <v>2</v>
      </c>
      <c r="AZ53" s="6" t="s">
        <v>4</v>
      </c>
      <c r="BA53" s="6" t="s">
        <v>5</v>
      </c>
      <c r="BB53" s="9" t="s">
        <v>1</v>
      </c>
      <c r="BC53" s="8" t="s">
        <v>4</v>
      </c>
      <c r="BD53" s="6" t="s">
        <v>1</v>
      </c>
      <c r="BE53" s="6" t="s">
        <v>1</v>
      </c>
      <c r="BF53" s="6" t="s">
        <v>4</v>
      </c>
      <c r="BG53" s="6" t="s">
        <v>47</v>
      </c>
      <c r="BH53" s="6" t="s">
        <v>2</v>
      </c>
      <c r="BI53" s="6" t="s">
        <v>4</v>
      </c>
      <c r="BJ53" s="6" t="s">
        <v>2</v>
      </c>
      <c r="BK53" s="6" t="s">
        <v>4</v>
      </c>
      <c r="BL53" s="6" t="s">
        <v>45</v>
      </c>
      <c r="BM53" s="6" t="s">
        <v>2</v>
      </c>
      <c r="BN53" s="6" t="s">
        <v>4</v>
      </c>
      <c r="BO53" s="6" t="s">
        <v>1</v>
      </c>
      <c r="BP53" s="6" t="s">
        <v>45</v>
      </c>
      <c r="BQ53" s="6" t="s">
        <v>5</v>
      </c>
      <c r="BR53" s="6" t="s">
        <v>1</v>
      </c>
      <c r="BS53" s="6" t="s">
        <v>4</v>
      </c>
      <c r="BT53" s="6" t="s">
        <v>2</v>
      </c>
      <c r="BU53" s="6" t="s">
        <v>4</v>
      </c>
      <c r="BV53" s="7" t="s">
        <v>5</v>
      </c>
      <c r="BW53" s="6" t="s">
        <v>4</v>
      </c>
      <c r="BX53" s="6" t="s">
        <v>47</v>
      </c>
      <c r="BY53" s="6" t="s">
        <v>5</v>
      </c>
      <c r="BZ53" s="6" t="s">
        <v>5</v>
      </c>
      <c r="CA53" s="6" t="s">
        <v>4</v>
      </c>
      <c r="CB53" s="6" t="s">
        <v>4</v>
      </c>
      <c r="CC53" s="6" t="s">
        <v>5</v>
      </c>
      <c r="CD53" s="6" t="s">
        <v>4</v>
      </c>
      <c r="CE53" s="6" t="s">
        <v>49</v>
      </c>
      <c r="CF53" s="6" t="s">
        <v>2</v>
      </c>
      <c r="CG53" s="6" t="s">
        <v>4</v>
      </c>
      <c r="CH53" s="6" t="s">
        <v>4</v>
      </c>
      <c r="CI53" s="6" t="s">
        <v>4</v>
      </c>
      <c r="CJ53" s="6" t="s">
        <v>4</v>
      </c>
      <c r="CK53" s="6" t="s">
        <v>4</v>
      </c>
      <c r="CL53" s="6" t="s">
        <v>4</v>
      </c>
      <c r="CM53" s="6" t="s">
        <v>4</v>
      </c>
      <c r="CN53" s="6" t="s">
        <v>4</v>
      </c>
      <c r="CO53" s="6" t="s">
        <v>4</v>
      </c>
      <c r="CP53" s="6" t="s">
        <v>4</v>
      </c>
      <c r="CQ53" s="6" t="s">
        <v>4</v>
      </c>
      <c r="CR53" s="6" t="s">
        <v>4</v>
      </c>
      <c r="CS53" s="6" t="s">
        <v>2</v>
      </c>
      <c r="CT53" s="6" t="s">
        <v>4</v>
      </c>
      <c r="CU53" s="6" t="s">
        <v>4</v>
      </c>
      <c r="CV53" s="5"/>
      <c r="CW53" t="s">
        <v>43</v>
      </c>
      <c r="CX53">
        <f>VLOOKUP(K53,Sheet2!$A$2:$B$58,2,0)</f>
        <v>0</v>
      </c>
      <c r="CY53" t="str">
        <f t="shared" si="3"/>
        <v>45567,9466069907,México,36+ años,Femenino,Licenciatura,Como empleado de una empresa,USA,11-20 años,5-10 años,Gerente de Inteligencia de Análisis Datos ,Gerente de Inteligencia de Análisis Datos,,&gt;500 empleados.,Empresa que subcontrata (outsourcing) los servicios de otra empresa situada en otro país,Multinacional,Muy Frecuentemente,Alto,4-5 días,Ninguno,cuando se tiene una reunión con gerencia o el cliente ,,,,Remota ( todos los días en casa),Consensuada por las dos partes,Totalmente de acuerdo,Igual que cuando iba todos los días a la oficina,Igual que cuando iba todos los días a la oficina,Menor que cuando iba todos los días a la oficina,Diferentes que cuando iba todos los días a la oficina, ahora necesito menos horas para hacer lo mismo,Todas por videoconferencia,Igual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oficina,No me influye,Mejoran mi productividad,Igual que cuando iba todos los días a la oficina,Mayor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oficina,Mas que cuando iba todos los días a la oficina,Mas que cuando iba todos los días a la oficina,Iguales que cuando iba todos los días a la oficina,Igual que cuando iba todos los días a la oficina,Mayor que cuando iba todos los días a la oficina,Menor que cuando iba todos los días a la oficina,Igual que cuando iba todos los días a la oficina,Menor que cuando iba todos los días a la oficina,Menor que cuando iba todos los días a la oficina,Igual que cuando iba todos los días a la oficina,Mucho mayor que cuando iba todos los días a la oficina,Iguales que cuando iba todos los días a la oficina,Igual que cuando iba todos los días a la oficina,Iguales que cuando iba todos los días a la oficina,Igual que cuando iba todos los días a la oficina,Mayores que cuando iba todos los días a la oficina,Iguales que cuando iba todos los días a la oficina,Igual que cuando iba todos los días a la oficina,Menor que cuando iba todos los días a la oficina,Mayores que cuando iba todos los días a la oficina,Mayor que cuando iba todos los días a la oficina,Menor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mayor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oficina,Igual que cuando iba todos los días a la oficina,Menos que cuando iba todos los días a la oficina,Iguales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oficina,Igual que cuando iba todos los días a la oficina,,301+ empleados,0</v>
      </c>
    </row>
    <row r="54" spans="1:103" ht="14.4" x14ac:dyDescent="0.3">
      <c r="A54" s="13">
        <v>45561.79229809028</v>
      </c>
      <c r="B54" s="12" t="s">
        <v>38</v>
      </c>
      <c r="C54" s="6" t="s">
        <v>42</v>
      </c>
      <c r="D54" s="6" t="s">
        <v>41</v>
      </c>
      <c r="E54" s="6" t="s">
        <v>111</v>
      </c>
      <c r="F54" s="6" t="s">
        <v>39</v>
      </c>
      <c r="G54" s="6" t="s">
        <v>110</v>
      </c>
      <c r="H54" s="6" t="s">
        <v>36</v>
      </c>
      <c r="I54" s="6" t="s">
        <v>64</v>
      </c>
      <c r="J54" s="6" t="s">
        <v>109</v>
      </c>
      <c r="K54" s="6" t="s">
        <v>108</v>
      </c>
      <c r="L54" s="10" t="s">
        <v>107</v>
      </c>
      <c r="M54" s="6" t="s">
        <v>60</v>
      </c>
      <c r="N54" s="6" t="s">
        <v>91</v>
      </c>
      <c r="O54" s="6" t="s">
        <v>30</v>
      </c>
      <c r="P54" s="6" t="s">
        <v>29</v>
      </c>
      <c r="Q54" s="11" t="s">
        <v>28</v>
      </c>
      <c r="R54" s="6" t="s">
        <v>27</v>
      </c>
      <c r="S54" s="6" t="s">
        <v>78</v>
      </c>
      <c r="T54" s="6" t="s">
        <v>106</v>
      </c>
      <c r="U54" s="19"/>
      <c r="V54" s="19"/>
      <c r="W54" s="19"/>
      <c r="X54" s="6" t="s">
        <v>21</v>
      </c>
      <c r="Y54" s="6" t="s">
        <v>105</v>
      </c>
      <c r="Z54" s="6" t="s">
        <v>71</v>
      </c>
      <c r="AA54" s="6" t="s">
        <v>5</v>
      </c>
      <c r="AB54" s="6" t="s">
        <v>3</v>
      </c>
      <c r="AC54" s="6" t="s">
        <v>5</v>
      </c>
      <c r="AD54" s="6" t="s">
        <v>76</v>
      </c>
      <c r="AE54" s="6" t="s">
        <v>75</v>
      </c>
      <c r="AF54" s="6" t="s">
        <v>54</v>
      </c>
      <c r="AG54" s="6" t="s">
        <v>3</v>
      </c>
      <c r="AH54" s="6" t="s">
        <v>13</v>
      </c>
      <c r="AI54" s="6" t="s">
        <v>13</v>
      </c>
      <c r="AJ54" s="6" t="s">
        <v>3</v>
      </c>
      <c r="AK54" s="6" t="s">
        <v>53</v>
      </c>
      <c r="AL54" s="6" t="s">
        <v>52</v>
      </c>
      <c r="AM54" s="6" t="s">
        <v>14</v>
      </c>
      <c r="AN54" s="6" t="s">
        <v>47</v>
      </c>
      <c r="AO54" s="6" t="s">
        <v>7</v>
      </c>
      <c r="AP54" s="6" t="s">
        <v>67</v>
      </c>
      <c r="AQ54" s="6" t="s">
        <v>4</v>
      </c>
      <c r="AR54" s="6" t="s">
        <v>11</v>
      </c>
      <c r="AS54" s="6" t="s">
        <v>11</v>
      </c>
      <c r="AT54" s="6" t="s">
        <v>11</v>
      </c>
      <c r="AU54" s="6" t="s">
        <v>10</v>
      </c>
      <c r="AV54" s="6" t="s">
        <v>11</v>
      </c>
      <c r="AW54" s="6" t="s">
        <v>10</v>
      </c>
      <c r="AX54" s="6" t="s">
        <v>10</v>
      </c>
      <c r="AY54" s="6" t="s">
        <v>45</v>
      </c>
      <c r="AZ54" s="6" t="s">
        <v>5</v>
      </c>
      <c r="BA54" s="6" t="s">
        <v>5</v>
      </c>
      <c r="BB54" s="9" t="s">
        <v>7</v>
      </c>
      <c r="BC54" s="8" t="s">
        <v>3</v>
      </c>
      <c r="BD54" s="6" t="s">
        <v>7</v>
      </c>
      <c r="BE54" s="6" t="s">
        <v>1</v>
      </c>
      <c r="BF54" s="6" t="s">
        <v>47</v>
      </c>
      <c r="BG54" s="6" t="s">
        <v>5</v>
      </c>
      <c r="BH54" s="6" t="s">
        <v>85</v>
      </c>
      <c r="BI54" s="6" t="s">
        <v>5</v>
      </c>
      <c r="BJ54" s="6" t="s">
        <v>45</v>
      </c>
      <c r="BK54" s="6" t="s">
        <v>47</v>
      </c>
      <c r="BL54" s="6" t="s">
        <v>6</v>
      </c>
      <c r="BM54" s="6" t="s">
        <v>50</v>
      </c>
      <c r="BN54" s="6" t="s">
        <v>67</v>
      </c>
      <c r="BO54" s="6" t="s">
        <v>5</v>
      </c>
      <c r="BP54" s="6" t="s">
        <v>50</v>
      </c>
      <c r="BQ54" s="6" t="s">
        <v>47</v>
      </c>
      <c r="BR54" s="6" t="s">
        <v>4</v>
      </c>
      <c r="BS54" s="6" t="s">
        <v>67</v>
      </c>
      <c r="BT54" s="6" t="s">
        <v>6</v>
      </c>
      <c r="BU54" s="6" t="s">
        <v>104</v>
      </c>
      <c r="BV54" s="7" t="s">
        <v>3</v>
      </c>
      <c r="BW54" s="6" t="s">
        <v>3</v>
      </c>
      <c r="BX54" s="6" t="s">
        <v>47</v>
      </c>
      <c r="BY54" s="6" t="s">
        <v>3</v>
      </c>
      <c r="BZ54" s="6" t="s">
        <v>3</v>
      </c>
      <c r="CA54" s="6" t="s">
        <v>3</v>
      </c>
      <c r="CB54" s="6" t="s">
        <v>3</v>
      </c>
      <c r="CC54" s="6" t="s">
        <v>3</v>
      </c>
      <c r="CD54" s="6" t="s">
        <v>7</v>
      </c>
      <c r="CE54" s="6" t="s">
        <v>83</v>
      </c>
      <c r="CF54" s="6" t="s">
        <v>82</v>
      </c>
      <c r="CG54" s="6" t="s">
        <v>3</v>
      </c>
      <c r="CH54" s="6" t="s">
        <v>4</v>
      </c>
      <c r="CI54" s="6" t="s">
        <v>3</v>
      </c>
      <c r="CJ54" s="6" t="s">
        <v>7</v>
      </c>
      <c r="CK54" s="6" t="s">
        <v>3</v>
      </c>
      <c r="CL54" s="6" t="s">
        <v>7</v>
      </c>
      <c r="CM54" s="6" t="s">
        <v>46</v>
      </c>
      <c r="CN54" s="6" t="s">
        <v>5</v>
      </c>
      <c r="CO54" s="6" t="s">
        <v>5</v>
      </c>
      <c r="CP54" s="6" t="s">
        <v>5</v>
      </c>
      <c r="CQ54" s="6" t="s">
        <v>3</v>
      </c>
      <c r="CR54" s="6" t="s">
        <v>7</v>
      </c>
      <c r="CS54" s="6" t="s">
        <v>50</v>
      </c>
      <c r="CT54" s="6" t="s">
        <v>5</v>
      </c>
      <c r="CU54" s="6" t="s">
        <v>5</v>
      </c>
      <c r="CV54" s="5"/>
      <c r="CW54" t="s">
        <v>43</v>
      </c>
      <c r="CX54">
        <f>VLOOKUP(K54,Sheet2!$A$2:$B$58,2,0)</f>
        <v>0</v>
      </c>
      <c r="CY54" t="str">
        <f t="shared" si="3"/>
        <v>45561,7922980903,México,36+ años,Masculino,Maestria,Como empleado de una empresa,España,5-10 años,&lt;5 años,Jr, Mid,Tech Lead  AI Lab,MINSAIT,&gt;500 empleados.,Empresa que desarrolla software a medida partiendo desde cero,Multinacional,Frecuentemente,Alto,4-5 días,1-2 días,1 ves cada dos semanas por el puesto de lider,,,,Híbrida casa (más días en casa que en la oficina),Decidida por ti,Totalmente de acuerdo,Mayor que cuando iba todos los días a la oficina,Mucho Mayor que cuando iba todos los días a la oficina,Mayor que cuando iba todos los días a la oficina,Diferentes que cuando iba todos los días a la oficina, ahora necesito menos horas para hacer lo mismo,Casi todas por videoconferencia,Mucho menor que cuando eran en la oficina,Mucho Mayor que cuando iba todos los días a la oficina,No tengo la información para contestar a la pregunta,No tengo la información para contestar a la pregunta,Mucho Mayor que cuando iba todos los días a la oficina,Mucho Mejor que cuando iba todos los días a la oficina,Mejora mucho mi desempeño en el trabajo,Mejoran mi productividad,Mucho mayor que cuando iba todos los días a la oficina,Mucho menor que cuando iba todos los días a la oficina,Mucho menos que cuando iba todos los días a la oficina,Igual que cuando iba todos los días a la oficina,Mucho más que cuando iba todos los días a la oficina,Mucho más que cuando iba todos los días a la oficina,Mucho más que cuando iba todos los días a la oficina,Mas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oficina,Mucho menor que cuando iba todos los días a la oficina,Mucho Mayor que cuando iba todos los días a la oficina,Mucho menor que cuando iba todos los días a la oficina,Menor que cuando iba todos los días a la oficina,Mucho mayor que cuando iba todos los días a la oficina,Mayor que cuando iba todos los días a la oficina,Mucho mayores que cuando iba todos los días a la oficina,Mayor que cuando iba todos los días a la oficina,Mayores que cuando iba todos los días a la oficina,Mucho mayor que cuando iba todos los días a la oficina,Menores que cuando iba todos los días a la oficina,Mucho menores que cuando iba todos los días a la oficina,Mucho menos que cuando iba todos los días a la oficina,Mayor que cuando iba todos los días a la oficina,Mucho menores que cuando iba todos los días a la oficina,Mucho mayor que cuando iba todos los días a la oficina,Igual que cuando iba todos los días a la oficina,Mucho menos que cuando iba todos los días a la oficina,Menores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menor que cuando iba todos los días a la oficina,Mucho mas que cuando iba todos los días a la oficina,Mucho Mayores que cuando iba todos los días a la oficina,Mucho Mayor que cuando iba todos los días a la oficina,Igual que cuando iba todos los días a la oficina,Mucho Mayor que cuando iba todos los días a la oficina,Mucho menor que cuando iba todos los días a la oficina,Mucho Mayor que cuando iba todos los días a la oficina,Mucho menor que cuando iba todos los días a la oficina,Mejor que cuando iba todos los días a la oficina,Mayor que cuando iba todos los días a la oficina,Mayor que cuando iba todos los días a la oficina,Mayor que cuando iba todos los días a la oficina,Mucho Mayor que cuando iba todos los días a la oficina,Mucho menor que cuando iba todos los días a la oficina,Mucho menores que cuando iba todos los días a la oficina,Mayor que cuando iba todos los días a la oficina,Mayor que cuando iba todos los días a la oficina,,301+ empleados,0</v>
      </c>
    </row>
    <row r="55" spans="1:103" ht="14.4" x14ac:dyDescent="0.3">
      <c r="A55" s="17">
        <v>45562.214298263891</v>
      </c>
      <c r="B55" s="12" t="s">
        <v>38</v>
      </c>
      <c r="C55" s="12" t="s">
        <v>42</v>
      </c>
      <c r="D55" s="12" t="s">
        <v>81</v>
      </c>
      <c r="E55" s="12" t="s">
        <v>103</v>
      </c>
      <c r="F55" s="12" t="s">
        <v>39</v>
      </c>
      <c r="G55" s="12" t="s">
        <v>102</v>
      </c>
      <c r="H55" s="12" t="s">
        <v>64</v>
      </c>
      <c r="I55" s="12" t="s">
        <v>64</v>
      </c>
      <c r="J55" s="12" t="s">
        <v>101</v>
      </c>
      <c r="K55" s="12" t="s">
        <v>100</v>
      </c>
      <c r="L55" s="10" t="s">
        <v>99</v>
      </c>
      <c r="M55" s="12" t="s">
        <v>98</v>
      </c>
      <c r="N55" s="12" t="s">
        <v>91</v>
      </c>
      <c r="O55" s="12" t="s">
        <v>30</v>
      </c>
      <c r="P55" s="12" t="s">
        <v>97</v>
      </c>
      <c r="Q55" s="11" t="s">
        <v>28</v>
      </c>
      <c r="R55" s="12" t="s">
        <v>27</v>
      </c>
      <c r="S55" s="12" t="s">
        <v>26</v>
      </c>
      <c r="T55" s="5"/>
      <c r="U55" s="10" t="s">
        <v>96</v>
      </c>
      <c r="V55" s="5"/>
      <c r="W55" s="10" t="s">
        <v>95</v>
      </c>
      <c r="X55" s="12" t="s">
        <v>73</v>
      </c>
      <c r="Y55" s="12" t="s">
        <v>72</v>
      </c>
      <c r="Z55" s="12" t="s">
        <v>71</v>
      </c>
      <c r="AA55" s="12" t="s">
        <v>4</v>
      </c>
      <c r="AB55" s="12" t="s">
        <v>4</v>
      </c>
      <c r="AC55" s="12" t="s">
        <v>4</v>
      </c>
      <c r="AD55" s="12" t="s">
        <v>2</v>
      </c>
      <c r="AE55" s="12" t="s">
        <v>18</v>
      </c>
      <c r="AF55" s="12" t="s">
        <v>17</v>
      </c>
      <c r="AG55" s="12" t="s">
        <v>4</v>
      </c>
      <c r="AH55" s="12" t="s">
        <v>4</v>
      </c>
      <c r="AI55" s="12" t="s">
        <v>4</v>
      </c>
      <c r="AJ55" s="12" t="s">
        <v>4</v>
      </c>
      <c r="AK55" s="12" t="s">
        <v>4</v>
      </c>
      <c r="AL55" s="12" t="s">
        <v>74</v>
      </c>
      <c r="AM55" s="12" t="s">
        <v>51</v>
      </c>
      <c r="AN55" s="12" t="s">
        <v>47</v>
      </c>
      <c r="AO55" s="12" t="s">
        <v>4</v>
      </c>
      <c r="AP55" s="12" t="s">
        <v>4</v>
      </c>
      <c r="AQ55" s="12" t="s">
        <v>4</v>
      </c>
      <c r="AR55" s="12" t="s">
        <v>8</v>
      </c>
      <c r="AS55" s="12" t="s">
        <v>4</v>
      </c>
      <c r="AT55" s="12" t="s">
        <v>8</v>
      </c>
      <c r="AU55" s="12" t="s">
        <v>10</v>
      </c>
      <c r="AV55" s="12" t="s">
        <v>10</v>
      </c>
      <c r="AW55" s="12" t="s">
        <v>10</v>
      </c>
      <c r="AX55" s="12" t="s">
        <v>4</v>
      </c>
      <c r="AY55" s="12" t="s">
        <v>45</v>
      </c>
      <c r="AZ55" s="12" t="s">
        <v>5</v>
      </c>
      <c r="BA55" s="12" t="s">
        <v>1</v>
      </c>
      <c r="BB55" s="16" t="s">
        <v>5</v>
      </c>
      <c r="BC55" s="15" t="s">
        <v>5</v>
      </c>
      <c r="BD55" s="12" t="s">
        <v>4</v>
      </c>
      <c r="BE55" s="12" t="s">
        <v>4</v>
      </c>
      <c r="BF55" s="12" t="s">
        <v>5</v>
      </c>
      <c r="BG55" s="12" t="s">
        <v>5</v>
      </c>
      <c r="BH55" s="12" t="s">
        <v>2</v>
      </c>
      <c r="BI55" s="12" t="s">
        <v>5</v>
      </c>
      <c r="BJ55" s="12" t="s">
        <v>2</v>
      </c>
      <c r="BK55" s="12" t="s">
        <v>5</v>
      </c>
      <c r="BL55" s="12" t="s">
        <v>2</v>
      </c>
      <c r="BM55" s="12" t="s">
        <v>2</v>
      </c>
      <c r="BN55" s="12" t="s">
        <v>4</v>
      </c>
      <c r="BO55" s="12" t="s">
        <v>4</v>
      </c>
      <c r="BP55" s="12" t="s">
        <v>2</v>
      </c>
      <c r="BQ55" s="12" t="s">
        <v>5</v>
      </c>
      <c r="BR55" s="12" t="s">
        <v>4</v>
      </c>
      <c r="BS55" s="12" t="s">
        <v>4</v>
      </c>
      <c r="BT55" s="12" t="s">
        <v>2</v>
      </c>
      <c r="BU55" s="12" t="s">
        <v>4</v>
      </c>
      <c r="BV55" s="14" t="s">
        <v>5</v>
      </c>
      <c r="BW55" s="12" t="s">
        <v>5</v>
      </c>
      <c r="BX55" s="12" t="s">
        <v>47</v>
      </c>
      <c r="BY55" s="12" t="s">
        <v>4</v>
      </c>
      <c r="BZ55" s="12" t="s">
        <v>5</v>
      </c>
      <c r="CA55" s="12" t="s">
        <v>3</v>
      </c>
      <c r="CB55" s="12" t="s">
        <v>3</v>
      </c>
      <c r="CC55" s="12" t="s">
        <v>3</v>
      </c>
      <c r="CD55" s="12" t="s">
        <v>4</v>
      </c>
      <c r="CE55" s="12" t="s">
        <v>4</v>
      </c>
      <c r="CF55" s="12" t="s">
        <v>45</v>
      </c>
      <c r="CG55" s="12" t="s">
        <v>4</v>
      </c>
      <c r="CH55" s="12" t="s">
        <v>3</v>
      </c>
      <c r="CI55" s="12" t="s">
        <v>5</v>
      </c>
      <c r="CJ55" s="12" t="s">
        <v>4</v>
      </c>
      <c r="CK55" s="12" t="s">
        <v>1</v>
      </c>
      <c r="CL55" s="12" t="s">
        <v>7</v>
      </c>
      <c r="CM55" s="12" t="s">
        <v>46</v>
      </c>
      <c r="CN55" s="12" t="s">
        <v>3</v>
      </c>
      <c r="CO55" s="12" t="s">
        <v>4</v>
      </c>
      <c r="CP55" s="12" t="s">
        <v>4</v>
      </c>
      <c r="CQ55" s="12" t="s">
        <v>3</v>
      </c>
      <c r="CR55" s="12" t="s">
        <v>5</v>
      </c>
      <c r="CS55" s="12" t="s">
        <v>2</v>
      </c>
      <c r="CT55" s="12" t="s">
        <v>3</v>
      </c>
      <c r="CU55" s="12" t="s">
        <v>47</v>
      </c>
      <c r="CV55" s="10" t="s">
        <v>94</v>
      </c>
      <c r="CW55" t="s">
        <v>0</v>
      </c>
      <c r="CX55">
        <f>VLOOKUP(K55,Sheet2!$A$2:$B$58,2,0)</f>
        <v>0</v>
      </c>
      <c r="CY55" t="str">
        <f t="shared" si="3"/>
        <v>45562,2142982639,México,36+ años,Femenino,Maestría,Como empleado de una empresa,Mexico,&lt;5 años,&lt;5 años,Junior Data Analyst,Business Intelligence Manager,Jellyfish,151-300 empleados,Empresa que desarrolla software a medida partiendo desde cero,Multinacional,A veces,Alto,4-5 días,Ninguno,,Cada cuatrimestre del año, 5 días consecutivos,,Mejora en las instalaciones, snacks,Remota ( todos los días en casa),Consensuada por las dos partes,Totalmente de acuerdo,Igual que cuando iba todos los días a la oficina,Igual que cuando iba todos los días a la oficina,Igual que cuando iba todos los días a la oficina,Iguales que cuando iba todos los días a la oficina,Todas por videoconferencia,Mayor que cuando eran en la oficina,Igual que cuando iba todos los días a la oficina,Igual que cuando iba todos los días a la oficina,Igual que cuando iba todos los días a la oficina,Igual que cuando iba todos los días a la oficina,Igual que cuando iba todos los días a la oficina,Mejora mi desempeño en el trabajo,Mejoran mucho mi productividad,Mucho mayor que cuando iba todos los días a la oficina,Igual que cuando iba todos los días a la oficina,Igual que cuando iba todos los días a la oficina,Igual que cuando iba todos los días a la oficina,Más que cuando iba todos los días a la oficina,Igual que cuando iba todos los días a la oficina,Más que cuando iba todos los días a la oficina,Mas que cuando iba todos los días a la oficina,Mas que cuando iba todos los días a la oficina,Mas que cuando iba todos los días a la oficina,Igual que cuando iba todos los días a la oficina,Mayores que cuando iba todos los días a la oficina,Mayor que cuando iba todos los días a la oficina,Menor que cuando iba todos los días a la oficina,Mayor que cuando iba todos los días a la oficina,Mayor que cuando iba todos los días a la oficina,Igual que cuando iba todos los días a la oficina,Igual que cuando iba todos los días a la oficina,Mayor que cuando iba todos los días a la oficina,Mayor que cuando iba todos los días a la oficina,Iguales que cuando iba todos los días a la oficina,Mayor que cuando iba todos los días a la oficina,Iguales que cuando iba todos los días a la oficina,Mayor que cuando iba todos los días a la oficina,Iguales que cuando iba todos los días a la oficina,Iguales que cuando iba todos los días a la oficina,Igual que cuando iba todos los días a la oficina,Igual que cuando iba todos los días a la oficina,Iguales que cuando iba todos los días a la oficina,Mayor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oficina,Mayor que cuando iba todos los días a la oficina,Mucho mayor que cuando iba todos los días a la oficina,Igual que cuando iba todos los días a la oficina,Mayor que cuando iba todos los días a la oficina,Mucho Mayor que cuando iba todos los días a la oficina,Mucho Mayor que cuando iba todos los días a la oficina,Mucho Mayor que cuando iba todos los días a la oficina,Igual que cuando iba todos los días a la oficina,Igual que cuando iba todos los días a la oficina,Mayores que cuando iba todos los días a la oficina,Igual que cuando iba todos los días a la oficina,Mucho Mayor que cuando iba todos los días a la oficina,Mayor que cuando iba todos los días a la oficina,Igual que cuando iba todos los días a la oficina,Menor que cuando iba todos los días a la oficina,Mucho menor que cuando iba todos los días a la oficina,Mejor que cuando iba todos los días a la oficina,Mucho Mayor que cuando iba todos los días a la oficina,Igual que cuando iba todos los días a la oficina,Igual que cuando iba todos los días a la oficina,Mucho Mayor que cuando iba todos los días a la oficina,Mayor que cuando iba todos los días a la oficina,Iguales que cuando iba todos los días a la oficina,Mucho Mayor que cuando iba todos los días a la oficina,Mucho mayor que cuando iba todos los días a la oficina,marthainesjc17@gmail.com,&lt;301 empleados,0</v>
      </c>
    </row>
    <row r="56" spans="1:103" ht="14.4" x14ac:dyDescent="0.3">
      <c r="A56" s="13">
        <v>45563.090720949069</v>
      </c>
      <c r="B56" s="12" t="s">
        <v>38</v>
      </c>
      <c r="C56" s="6" t="s">
        <v>42</v>
      </c>
      <c r="D56" s="6" t="s">
        <v>41</v>
      </c>
      <c r="E56" s="6" t="s">
        <v>66</v>
      </c>
      <c r="F56" s="6" t="s">
        <v>39</v>
      </c>
      <c r="G56" s="6" t="s">
        <v>93</v>
      </c>
      <c r="H56" s="6" t="s">
        <v>36</v>
      </c>
      <c r="I56" s="6" t="s">
        <v>64</v>
      </c>
      <c r="J56" s="6" t="s">
        <v>92</v>
      </c>
      <c r="K56" s="6" t="s">
        <v>92</v>
      </c>
      <c r="L56" s="19"/>
      <c r="M56" s="6" t="s">
        <v>60</v>
      </c>
      <c r="N56" s="6" t="s">
        <v>91</v>
      </c>
      <c r="O56" s="6" t="s">
        <v>30</v>
      </c>
      <c r="P56" s="6" t="s">
        <v>29</v>
      </c>
      <c r="Q56" s="11" t="s">
        <v>28</v>
      </c>
      <c r="R56" s="6" t="s">
        <v>27</v>
      </c>
      <c r="S56" s="6" t="s">
        <v>26</v>
      </c>
      <c r="T56" s="10" t="s">
        <v>90</v>
      </c>
      <c r="U56" s="6" t="s">
        <v>89</v>
      </c>
      <c r="V56" s="10" t="s">
        <v>88</v>
      </c>
      <c r="W56" s="6" t="s">
        <v>26</v>
      </c>
      <c r="X56" s="6" t="s">
        <v>73</v>
      </c>
      <c r="Y56" s="6" t="s">
        <v>20</v>
      </c>
      <c r="Z56" s="6" t="s">
        <v>87</v>
      </c>
      <c r="AA56" s="6" t="s">
        <v>4</v>
      </c>
      <c r="AB56" s="6" t="s">
        <v>5</v>
      </c>
      <c r="AC56" s="6" t="s">
        <v>5</v>
      </c>
      <c r="AD56" s="6" t="s">
        <v>76</v>
      </c>
      <c r="AE56" s="6" t="s">
        <v>18</v>
      </c>
      <c r="AF56" s="6" t="s">
        <v>70</v>
      </c>
      <c r="AG56" s="6" t="s">
        <v>3</v>
      </c>
      <c r="AH56" s="6" t="s">
        <v>3</v>
      </c>
      <c r="AI56" s="6" t="s">
        <v>3</v>
      </c>
      <c r="AJ56" s="6" t="s">
        <v>5</v>
      </c>
      <c r="AK56" s="6" t="s">
        <v>1</v>
      </c>
      <c r="AL56" s="6" t="s">
        <v>69</v>
      </c>
      <c r="AM56" s="6" t="s">
        <v>51</v>
      </c>
      <c r="AN56" s="6" t="s">
        <v>5</v>
      </c>
      <c r="AO56" s="6" t="s">
        <v>4</v>
      </c>
      <c r="AP56" s="6" t="s">
        <v>13</v>
      </c>
      <c r="AQ56" s="6" t="s">
        <v>67</v>
      </c>
      <c r="AR56" s="6" t="s">
        <v>86</v>
      </c>
      <c r="AS56" s="6" t="s">
        <v>49</v>
      </c>
      <c r="AT56" s="6" t="s">
        <v>67</v>
      </c>
      <c r="AU56" s="6" t="s">
        <v>67</v>
      </c>
      <c r="AV56" s="6" t="s">
        <v>11</v>
      </c>
      <c r="AW56" s="6" t="s">
        <v>10</v>
      </c>
      <c r="AX56" s="6" t="s">
        <v>10</v>
      </c>
      <c r="AY56" s="6" t="s">
        <v>45</v>
      </c>
      <c r="AZ56" s="6" t="s">
        <v>5</v>
      </c>
      <c r="BA56" s="6" t="s">
        <v>5</v>
      </c>
      <c r="BB56" s="9" t="s">
        <v>5</v>
      </c>
      <c r="BC56" s="8" t="s">
        <v>1</v>
      </c>
      <c r="BD56" s="6" t="s">
        <v>1</v>
      </c>
      <c r="BE56" s="6" t="s">
        <v>4</v>
      </c>
      <c r="BF56" s="6" t="s">
        <v>5</v>
      </c>
      <c r="BG56" s="6" t="s">
        <v>5</v>
      </c>
      <c r="BH56" s="6" t="s">
        <v>6</v>
      </c>
      <c r="BI56" s="6" t="s">
        <v>1</v>
      </c>
      <c r="BJ56" s="6" t="s">
        <v>50</v>
      </c>
      <c r="BK56" s="6" t="s">
        <v>1</v>
      </c>
      <c r="BL56" s="6" t="s">
        <v>85</v>
      </c>
      <c r="BM56" s="6" t="s">
        <v>50</v>
      </c>
      <c r="BN56" s="6" t="s">
        <v>67</v>
      </c>
      <c r="BO56" s="6" t="s">
        <v>1</v>
      </c>
      <c r="BP56" s="6" t="s">
        <v>50</v>
      </c>
      <c r="BQ56" s="6" t="s">
        <v>7</v>
      </c>
      <c r="BR56" s="6" t="s">
        <v>7</v>
      </c>
      <c r="BS56" s="6" t="s">
        <v>67</v>
      </c>
      <c r="BT56" s="6" t="s">
        <v>50</v>
      </c>
      <c r="BU56" s="6" t="s">
        <v>84</v>
      </c>
      <c r="BV56" s="7" t="s">
        <v>3</v>
      </c>
      <c r="BW56" s="6" t="s">
        <v>3</v>
      </c>
      <c r="BX56" s="6" t="s">
        <v>47</v>
      </c>
      <c r="BY56" s="6" t="s">
        <v>3</v>
      </c>
      <c r="BZ56" s="6" t="s">
        <v>3</v>
      </c>
      <c r="CA56" s="6" t="s">
        <v>3</v>
      </c>
      <c r="CB56" s="6" t="s">
        <v>3</v>
      </c>
      <c r="CC56" s="6" t="s">
        <v>3</v>
      </c>
      <c r="CD56" s="6" t="s">
        <v>47</v>
      </c>
      <c r="CE56" s="6" t="s">
        <v>83</v>
      </c>
      <c r="CF56" s="6" t="s">
        <v>82</v>
      </c>
      <c r="CG56" s="6" t="s">
        <v>3</v>
      </c>
      <c r="CH56" s="6" t="s">
        <v>3</v>
      </c>
      <c r="CI56" s="6" t="s">
        <v>3</v>
      </c>
      <c r="CJ56" s="6" t="s">
        <v>3</v>
      </c>
      <c r="CK56" s="6" t="s">
        <v>3</v>
      </c>
      <c r="CL56" s="6" t="s">
        <v>3</v>
      </c>
      <c r="CM56" s="6" t="s">
        <v>53</v>
      </c>
      <c r="CN56" s="6" t="s">
        <v>3</v>
      </c>
      <c r="CO56" s="6" t="s">
        <v>3</v>
      </c>
      <c r="CP56" s="6" t="s">
        <v>3</v>
      </c>
      <c r="CQ56" s="6" t="s">
        <v>3</v>
      </c>
      <c r="CR56" s="6" t="s">
        <v>3</v>
      </c>
      <c r="CS56" s="6" t="s">
        <v>82</v>
      </c>
      <c r="CT56" s="6" t="s">
        <v>3</v>
      </c>
      <c r="CU56" s="6" t="s">
        <v>47</v>
      </c>
      <c r="CV56" s="5"/>
      <c r="CW56" t="s">
        <v>43</v>
      </c>
      <c r="CX56">
        <f>VLOOKUP(K56,Sheet2!$A$2:$B$58,2,0)</f>
        <v>0</v>
      </c>
      <c r="CY56" t="str">
        <f t="shared" si="3"/>
        <v>45563,0907209491,México,36+ años,Masculino,Licenciatura,Como empleado de una empresa,Japón,5-10 años,&lt;5 años,Lead enginner,Lead enginner,,&gt;500 empleados.,Empresa que desarrolla software a medida partiendo desde cero,Multinacional,Frecuentemente,Alto,4-5 días,Ninguno,Solo cuando hay algun evento del area,Cuando el cliente lo solicita,Para conocer a todo el equipo,Ninguno,Remota ( todos los días en casa),Impuesta por la empresa,Totalmente en desacuerdo,Igual que cuando iba todos los días a la oficina,Mayor que cuando iba todos los días a la oficina,Mayor que cuando iba todos los días a la oficina,Diferentes que cuando iba todos los días a la oficina, ahora necesito menos horas para hacer lo mismo,Todas por videoconferencia,Menor que cuando eran en la oficina,Mucho Mayor que cuando iba todos los días a la oficina,Mucho Mayor que cuando iba todos los días a la oficina,Mucho Mayor que cuando iba todos los días a la oficina,Mayor que cuando iba todos los días a la oficina,Menor que cuando iba todos los días a la oficina,Negativamente a la hora de desempeñar mi trabajo,Mejoran mucho mi productividad,Mayor que cuando iba todos los días a la oficina,Igual que cuando iba todos los días a la oficina,No tengo la información para contestar a la pregunta,Mucho menos que cuando iba todos los días a la oficina,No trabajo con personas con un horario distinto al mío,Menos que cuando iba todos los días a la oficina,Mucho menos que cuando iba todos los días a la oficina,Mucho menos que cuando iba todos los días a la oficina,Mucho más que cuando iba todos los días a la oficina,Mas que cuando iba todos los días a la oficina,Mas que cuando iba todos los días a la oficina,Mayores que cuando iba todos los días a la oficina,Mayor que cuando iba todos los días a la oficina,Mayor que cuando iba todos los días a la oficina,Mayor que cuando iba todos los días a la oficina,Menor que cuando iba todos los días a la oficina,Menor que cuando iba todos los días a la oficina,Igual que cuando iba todos los días a la oficina,Mayor que cuando iba todos los días a la oficina,Mayor que cuando iba todos los días a la oficina,Menores que cuando iba todos los días a la oficina,Menor que cuando iba todos los días a la oficina,Mucho menores que cuando iba todos los días a la oficina,Menor que cuando iba todos los días a la oficina,Mucho mayores que cuando iba todos los días a la oficina,Mucho menores que cuando iba todos los días a la oficina,Mucho menos que cuando iba todos los días a la oficina,Menor que cuando iba todos los días a la oficina,Mucho menores que cuando iba todos los días a la oficina,Mucho menor que cuando iba todos los días a la oficina,Mucho menor que cuando iba todos los días a la oficina,Mucho menos que cuando iba todos los días a la oficina,Mucho menores que cuando iba todos los días a la oficina,Mucho peor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mas que cuando iba todos los días a la oficina,Mucho Mayores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Mejor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 que cuando iba todos los días a la oficina,Mucho Mayores que cuando iba todos los días a la oficina,Mucho Mayor que cuando iba todos los días a la oficina,Mucho mayor que cuando iba todos los días a la oficina,,301+ empleados,0</v>
      </c>
    </row>
    <row r="57" spans="1:103" ht="13.8" x14ac:dyDescent="0.3">
      <c r="A57" s="17">
        <v>45567.00300960648</v>
      </c>
      <c r="B57" s="12" t="s">
        <v>38</v>
      </c>
      <c r="C57" s="12" t="s">
        <v>42</v>
      </c>
      <c r="D57" s="12" t="s">
        <v>41</v>
      </c>
      <c r="E57" s="12" t="s">
        <v>66</v>
      </c>
      <c r="F57" s="12" t="s">
        <v>39</v>
      </c>
      <c r="G57" s="12" t="s">
        <v>65</v>
      </c>
      <c r="H57" s="12" t="s">
        <v>64</v>
      </c>
      <c r="I57" s="12" t="s">
        <v>63</v>
      </c>
      <c r="J57" s="12" t="s">
        <v>62</v>
      </c>
      <c r="K57" s="12" t="s">
        <v>62</v>
      </c>
      <c r="L57" s="12" t="s">
        <v>61</v>
      </c>
      <c r="M57" s="12" t="s">
        <v>60</v>
      </c>
      <c r="N57" s="12" t="s">
        <v>59</v>
      </c>
      <c r="O57" s="12" t="s">
        <v>30</v>
      </c>
      <c r="P57" s="12" t="s">
        <v>58</v>
      </c>
      <c r="Q57" s="11" t="s">
        <v>28</v>
      </c>
      <c r="R57" s="12" t="s">
        <v>27</v>
      </c>
      <c r="S57" s="12" t="s">
        <v>26</v>
      </c>
      <c r="T57" s="12" t="s">
        <v>56</v>
      </c>
      <c r="U57" s="12" t="s">
        <v>57</v>
      </c>
      <c r="V57" s="12" t="s">
        <v>56</v>
      </c>
      <c r="W57" s="12" t="s">
        <v>56</v>
      </c>
      <c r="X57" s="12" t="s">
        <v>21</v>
      </c>
      <c r="Y57" s="12" t="s">
        <v>20</v>
      </c>
      <c r="Z57" s="12" t="s">
        <v>19</v>
      </c>
      <c r="AA57" s="12" t="s">
        <v>4</v>
      </c>
      <c r="AB57" s="12" t="s">
        <v>4</v>
      </c>
      <c r="AC57" s="12" t="s">
        <v>1</v>
      </c>
      <c r="AD57" s="12" t="s">
        <v>55</v>
      </c>
      <c r="AE57" s="12" t="s">
        <v>18</v>
      </c>
      <c r="AF57" s="12" t="s">
        <v>54</v>
      </c>
      <c r="AG57" s="12" t="s">
        <v>5</v>
      </c>
      <c r="AH57" s="12" t="s">
        <v>5</v>
      </c>
      <c r="AI57" s="12" t="s">
        <v>5</v>
      </c>
      <c r="AJ57" s="12" t="s">
        <v>5</v>
      </c>
      <c r="AK57" s="12" t="s">
        <v>53</v>
      </c>
      <c r="AL57" s="12" t="s">
        <v>52</v>
      </c>
      <c r="AM57" s="12" t="s">
        <v>51</v>
      </c>
      <c r="AN57" s="12" t="s">
        <v>5</v>
      </c>
      <c r="AO57" s="12" t="s">
        <v>4</v>
      </c>
      <c r="AP57" s="12" t="s">
        <v>4</v>
      </c>
      <c r="AQ57" s="12" t="s">
        <v>4</v>
      </c>
      <c r="AR57" s="12" t="s">
        <v>49</v>
      </c>
      <c r="AS57" s="12" t="s">
        <v>4</v>
      </c>
      <c r="AT57" s="12" t="s">
        <v>4</v>
      </c>
      <c r="AU57" s="12" t="s">
        <v>4</v>
      </c>
      <c r="AV57" s="12" t="s">
        <v>10</v>
      </c>
      <c r="AW57" s="12" t="s">
        <v>4</v>
      </c>
      <c r="AX57" s="12" t="s">
        <v>10</v>
      </c>
      <c r="AY57" s="12" t="s">
        <v>2</v>
      </c>
      <c r="AZ57" s="12" t="s">
        <v>4</v>
      </c>
      <c r="BA57" s="12" t="s">
        <v>1</v>
      </c>
      <c r="BB57" s="16" t="s">
        <v>1</v>
      </c>
      <c r="BC57" s="15" t="s">
        <v>1</v>
      </c>
      <c r="BD57" s="12" t="s">
        <v>7</v>
      </c>
      <c r="BE57" s="12" t="s">
        <v>1</v>
      </c>
      <c r="BF57" s="12" t="s">
        <v>4</v>
      </c>
      <c r="BG57" s="12" t="s">
        <v>4</v>
      </c>
      <c r="BH57" s="12" t="s">
        <v>6</v>
      </c>
      <c r="BI57" s="12" t="s">
        <v>4</v>
      </c>
      <c r="BJ57" s="12" t="s">
        <v>6</v>
      </c>
      <c r="BK57" s="12" t="s">
        <v>4</v>
      </c>
      <c r="BL57" s="12" t="s">
        <v>45</v>
      </c>
      <c r="BM57" s="12" t="s">
        <v>6</v>
      </c>
      <c r="BN57" s="12" t="s">
        <v>49</v>
      </c>
      <c r="BO57" s="12" t="s">
        <v>4</v>
      </c>
      <c r="BP57" s="12" t="s">
        <v>50</v>
      </c>
      <c r="BQ57" s="12" t="s">
        <v>5</v>
      </c>
      <c r="BR57" s="12" t="s">
        <v>4</v>
      </c>
      <c r="BS57" s="12" t="s">
        <v>49</v>
      </c>
      <c r="BT57" s="12" t="s">
        <v>6</v>
      </c>
      <c r="BU57" s="12" t="s">
        <v>48</v>
      </c>
      <c r="BV57" s="14" t="s">
        <v>4</v>
      </c>
      <c r="BW57" s="12" t="s">
        <v>4</v>
      </c>
      <c r="BX57" s="12" t="s">
        <v>47</v>
      </c>
      <c r="BY57" s="12" t="s">
        <v>3</v>
      </c>
      <c r="BZ57" s="12" t="s">
        <v>3</v>
      </c>
      <c r="CA57" s="12" t="s">
        <v>3</v>
      </c>
      <c r="CB57" s="12" t="s">
        <v>5</v>
      </c>
      <c r="CC57" s="12" t="s">
        <v>4</v>
      </c>
      <c r="CD57" s="12" t="s">
        <v>4</v>
      </c>
      <c r="CE57" s="12" t="s">
        <v>4</v>
      </c>
      <c r="CF57" s="12" t="s">
        <v>2</v>
      </c>
      <c r="CG57" s="12" t="s">
        <v>4</v>
      </c>
      <c r="CH57" s="12" t="s">
        <v>5</v>
      </c>
      <c r="CI57" s="12" t="s">
        <v>4</v>
      </c>
      <c r="CJ57" s="12" t="s">
        <v>7</v>
      </c>
      <c r="CK57" s="12" t="s">
        <v>4</v>
      </c>
      <c r="CL57" s="12" t="s">
        <v>1</v>
      </c>
      <c r="CM57" s="12" t="s">
        <v>46</v>
      </c>
      <c r="CN57" s="12" t="s">
        <v>5</v>
      </c>
      <c r="CO57" s="12" t="s">
        <v>5</v>
      </c>
      <c r="CP57" s="12" t="s">
        <v>5</v>
      </c>
      <c r="CQ57" s="12" t="s">
        <v>4</v>
      </c>
      <c r="CR57" s="12" t="s">
        <v>1</v>
      </c>
      <c r="CS57" s="12" t="s">
        <v>45</v>
      </c>
      <c r="CT57" s="12" t="s">
        <v>4</v>
      </c>
      <c r="CU57" s="12" t="s">
        <v>4</v>
      </c>
      <c r="CV57" s="10" t="s">
        <v>44</v>
      </c>
      <c r="CW57" t="s">
        <v>43</v>
      </c>
      <c r="CX57">
        <f>VLOOKUP(K57,Sheet2!$A$2:$B$58,2,0)</f>
        <v>0</v>
      </c>
      <c r="CY57" t="str">
        <f t="shared" si="3"/>
        <v>45567,0030096065,México,36+ años,Masculino,Licenciatura,Como empleado de una empresa,USA,&lt;5 años,10-20 años,SUPERVISOR DE CUENTAS POR COBRAR,SUPERVISOR DE CUENTAS POR COBRAR,CONDUENT,&gt;500 empleados.,Empresa que subcontrata (outsourcing) los servicios de otra empresa situada en otro país,Multinacional,Muy Frecuentemente,Alto,4-5 días,Ninguno,X,REVISION DE EQUIPO,X,X,Híbrida casa (más días en casa que en la oficina),Impuesta por la empresa,En desacuerdo,Igual que cuando iba todos los días a la oficina,Igual que cuando iba todos los días a la oficina,Menor que cuando iba todos los días a la oficina,Muy diferentes que cuando iba todos los días a la oficina, ahora necesito muchas menos horas para hacer lo mismo,Todas por videoconferencia,Mucho menor que cuando eran en la oficina,Mayor que cuando iba todos los días a la oficina,Mayor que cuando iba todos los días a la oficina,Mayor que cuando iba todos los días a la oficina,Mayor que cuando iba todos los días a la oficina,Mucho Mejor que cuando iba todos los días a la oficina,Mejora mucho mi desempeño en el trabajo,Mejoran mucho mi productividad,Mayor que cuando iba todos los días a la oficina,Igual que cuando iba todos los días a la oficina,Igual que cuando iba todos los días a la oficina,Igual que cuando iba todos los días a la oficina,Menos que cuando iba todos los días a la oficina,Igual que cuando iba todos los días a la oficina,Igual que cuando iba todos los días a la oficina,Igual que cuando iba todos los días a la oficina,Mas que cuando iba todos los días a la oficina,Igual que cuando iba todos los días a la oficina,Mas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oficina,Mucho menor que cuando iba todos los días a la oficina,Menor que cuando iba todos los días a la oficina,Igual que cuando iba todos los días a la oficina,Igual que cuando iba todos los días a la oficina,Menores que cuando iba todos los días a la oficina,Igual que cuando iba todos los días a la oficina,Menores que cuando iba todos los días a la oficina,Igual que cuando iba todos los días a la oficina,Mayores que cuando iba todos los días a la oficina,Menores que cuando iba todos los días a la oficina,Menos que cuando iba todos los días a la oficina,Igual que cuando iba todos los días a la oficina,Mucho menores que cuando iba todos los días a la oficina,Mayor que cuando iba todos los días a la oficina,Igual que cuando iba todos los días a la oficina,Menos que cuando iba todos los días a la oficina,Menores que cuando iba todos los días a la oficina,Peor que cuando iba todos los días a la oficina,Igual que cuando iba todos los días a la oficina,Igual que cuando iba todos los días a la oficina,Mucho mayor que cuando iba todos los días a la oficina,Mucho Mayor que cuando iba todos los días a la oficina,Mucho Mayor que cuando iba todos los días a la oficina,Mucho Mayor que cuando iba todos los días a la oficina,Mayor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oficina,Mayor que cuando iba todos los días a la oficina,Igual que cuando iba todos los días a la oficina,Mucho menor que cuando iba todos los días a la oficina,Igual que cuando iba todos los días a la oficina,Menor que cuando iba todos los días a la oficina,Mejor que cuando iba todos los días a la oficina,Mayor que cuando iba todos los días a la oficina,Mayor que cuando iba todos los días a la oficina,Mayor que cuando iba todos los días a la oficina,Igual que cuando iba todos los días a la oficina,Menor que cuando iba todos los días a la oficina,Mayores que cuando iba todos los días a la oficina,Igual que cuando iba todos los días a la oficina,Igual que cuando iba todos los días a la oficina,MANUELINX@GMAIL.COM,301+ empleados,0</v>
      </c>
    </row>
    <row r="58" spans="1:103" ht="14.4" x14ac:dyDescent="0.3">
      <c r="A58" s="13">
        <v>45567.822440844902</v>
      </c>
      <c r="B58" s="12" t="s">
        <v>38</v>
      </c>
      <c r="C58" s="6" t="s">
        <v>42</v>
      </c>
      <c r="D58" s="6" t="s">
        <v>41</v>
      </c>
      <c r="E58" s="6" t="s">
        <v>40</v>
      </c>
      <c r="F58" s="6" t="s">
        <v>39</v>
      </c>
      <c r="G58" s="6" t="s">
        <v>38</v>
      </c>
      <c r="H58" s="6" t="s">
        <v>37</v>
      </c>
      <c r="I58" s="6" t="s">
        <v>36</v>
      </c>
      <c r="J58" s="6" t="s">
        <v>35</v>
      </c>
      <c r="K58" s="6" t="s">
        <v>34</v>
      </c>
      <c r="L58" s="10" t="s">
        <v>33</v>
      </c>
      <c r="M58" s="6" t="s">
        <v>32</v>
      </c>
      <c r="N58" s="6" t="s">
        <v>31</v>
      </c>
      <c r="O58" s="6" t="s">
        <v>30</v>
      </c>
      <c r="P58" s="6" t="s">
        <v>29</v>
      </c>
      <c r="Q58" s="11" t="s">
        <v>28</v>
      </c>
      <c r="R58" s="6" t="s">
        <v>27</v>
      </c>
      <c r="S58" s="6" t="s">
        <v>26</v>
      </c>
      <c r="T58" s="10" t="s">
        <v>25</v>
      </c>
      <c r="U58" s="10" t="s">
        <v>24</v>
      </c>
      <c r="V58" s="10" t="s">
        <v>23</v>
      </c>
      <c r="W58" s="10" t="s">
        <v>22</v>
      </c>
      <c r="X58" s="6" t="s">
        <v>21</v>
      </c>
      <c r="Y58" s="6" t="s">
        <v>20</v>
      </c>
      <c r="Z58" s="6" t="s">
        <v>19</v>
      </c>
      <c r="AA58" s="6" t="s">
        <v>1</v>
      </c>
      <c r="AB58" s="6" t="s">
        <v>1</v>
      </c>
      <c r="AC58" s="6" t="s">
        <v>4</v>
      </c>
      <c r="AD58" s="6" t="s">
        <v>2</v>
      </c>
      <c r="AE58" s="6" t="s">
        <v>18</v>
      </c>
      <c r="AF58" s="6" t="s">
        <v>17</v>
      </c>
      <c r="AG58" s="6" t="s">
        <v>16</v>
      </c>
      <c r="AH58" s="6" t="s">
        <v>4</v>
      </c>
      <c r="AI58" s="6" t="s">
        <v>1</v>
      </c>
      <c r="AJ58" s="6" t="s">
        <v>4</v>
      </c>
      <c r="AK58" s="6" t="s">
        <v>7</v>
      </c>
      <c r="AL58" s="6" t="s">
        <v>15</v>
      </c>
      <c r="AM58" s="6" t="s">
        <v>14</v>
      </c>
      <c r="AN58" s="6" t="s">
        <v>1</v>
      </c>
      <c r="AO58" s="6" t="s">
        <v>1</v>
      </c>
      <c r="AP58" s="6" t="s">
        <v>13</v>
      </c>
      <c r="AQ58" s="6" t="s">
        <v>12</v>
      </c>
      <c r="AR58" s="6" t="s">
        <v>4</v>
      </c>
      <c r="AS58" s="6" t="s">
        <v>4</v>
      </c>
      <c r="AT58" s="6" t="s">
        <v>4</v>
      </c>
      <c r="AU58" s="6" t="s">
        <v>4</v>
      </c>
      <c r="AV58" s="6" t="s">
        <v>11</v>
      </c>
      <c r="AW58" s="6" t="s">
        <v>10</v>
      </c>
      <c r="AX58" s="6" t="s">
        <v>10</v>
      </c>
      <c r="AY58" s="6" t="s">
        <v>2</v>
      </c>
      <c r="AZ58" s="6" t="s">
        <v>4</v>
      </c>
      <c r="BA58" s="6" t="s">
        <v>4</v>
      </c>
      <c r="BB58" s="9" t="s">
        <v>1</v>
      </c>
      <c r="BC58" s="8" t="s">
        <v>1</v>
      </c>
      <c r="BD58" s="6" t="s">
        <v>4</v>
      </c>
      <c r="BE58" s="6" t="s">
        <v>4</v>
      </c>
      <c r="BF58" s="6" t="s">
        <v>4</v>
      </c>
      <c r="BG58" s="6" t="s">
        <v>4</v>
      </c>
      <c r="BH58" s="6" t="s">
        <v>2</v>
      </c>
      <c r="BI58" s="6" t="s">
        <v>4</v>
      </c>
      <c r="BJ58" s="6" t="s">
        <v>9</v>
      </c>
      <c r="BK58" s="6" t="s">
        <v>4</v>
      </c>
      <c r="BL58" s="6" t="s">
        <v>2</v>
      </c>
      <c r="BM58" s="6" t="s">
        <v>2</v>
      </c>
      <c r="BN58" s="6" t="s">
        <v>8</v>
      </c>
      <c r="BO58" s="6" t="s">
        <v>4</v>
      </c>
      <c r="BP58" s="6" t="s">
        <v>2</v>
      </c>
      <c r="BQ58" s="6" t="s">
        <v>1</v>
      </c>
      <c r="BR58" s="6" t="s">
        <v>5</v>
      </c>
      <c r="BS58" s="6" t="s">
        <v>8</v>
      </c>
      <c r="BT58" s="6" t="s">
        <v>2</v>
      </c>
      <c r="BU58" s="6" t="s">
        <v>4</v>
      </c>
      <c r="BV58" s="7" t="s">
        <v>1</v>
      </c>
      <c r="BW58" s="6" t="s">
        <v>1</v>
      </c>
      <c r="BX58" s="6" t="s">
        <v>1</v>
      </c>
      <c r="BY58" s="6" t="s">
        <v>4</v>
      </c>
      <c r="BZ58" s="6" t="s">
        <v>4</v>
      </c>
      <c r="CA58" s="6" t="s">
        <v>4</v>
      </c>
      <c r="CB58" s="6" t="s">
        <v>4</v>
      </c>
      <c r="CC58" s="6" t="s">
        <v>7</v>
      </c>
      <c r="CD58" s="6" t="s">
        <v>1</v>
      </c>
      <c r="CE58" s="6" t="s">
        <v>4</v>
      </c>
      <c r="CF58" s="6" t="s">
        <v>6</v>
      </c>
      <c r="CG58" s="6" t="s">
        <v>4</v>
      </c>
      <c r="CH58" s="6" t="s">
        <v>4</v>
      </c>
      <c r="CI58" s="6" t="s">
        <v>1</v>
      </c>
      <c r="CJ58" s="6" t="s">
        <v>5</v>
      </c>
      <c r="CK58" s="6" t="s">
        <v>1</v>
      </c>
      <c r="CL58" s="6" t="s">
        <v>1</v>
      </c>
      <c r="CM58" s="6" t="s">
        <v>4</v>
      </c>
      <c r="CN58" s="6" t="s">
        <v>1</v>
      </c>
      <c r="CO58" s="6" t="s">
        <v>1</v>
      </c>
      <c r="CP58" s="6" t="s">
        <v>1</v>
      </c>
      <c r="CQ58" s="6" t="s">
        <v>3</v>
      </c>
      <c r="CR58" s="6" t="s">
        <v>1</v>
      </c>
      <c r="CS58" s="6" t="s">
        <v>2</v>
      </c>
      <c r="CT58" s="6" t="s">
        <v>1</v>
      </c>
      <c r="CU58" s="6" t="s">
        <v>1</v>
      </c>
      <c r="CV58" s="5"/>
      <c r="CW58" t="s">
        <v>0</v>
      </c>
      <c r="CX58">
        <f>VLOOKUP(K58,Sheet2!$A$2:$B$58,2,0)</f>
        <v>0</v>
      </c>
      <c r="CY58" t="str">
        <f t="shared" si="3"/>
        <v>45567,8224408449,México,36+ años,Masculino,Estudiante de Maestría,Como empleado de una empresa,México,11-20 años,5-10 años,Trainer,Growth Lead,Catapult Labs LLC,&lt;50 empleados,Fábrica de Software,Multinacional,Frecuentemente,Alto,4-5 días,Ninguno,Eventos de la compañia tipo 'Team Building' y sesiones de desarrollo de estrategia. ,No me obliga.,No recomienda. ,Ninguno. ,Híbrida casa (más días en casa que en la oficina),Impuesta por la empresa,En desacuerdo,Menor que cuando iba todos los días a la oficina,Menor que cuando iba todos los días a la oficina,Igual que cuando iba todos los días a la oficina,Iguales que cuando iba todos los días a la oficina,Todas por videoconferencia,Mayor que cuando eran en la oficina,Menor cuando iba todos los días a la oficina,Igual que cuando iba todos los días a la oficina,Menor que cuando iba todos los días a la oficina,Igual que cuando iba todos los días a la oficina,Mucho menor que cuando iba todos los días a la oficina,No me influye,Mejoran mi productividad,Menor que cuando iba todos los días a la oficina,Menor que cuando iba todos los días a la oficina,No tengo la información para contestar a la pregunta,No trabajo con personas de distintas culturas,Igual que cuando iba todos los días a la oficina,Igual que cuando iba todos los días a la oficina,Igual que cuando iba todos los días a la oficina,Igual que cuando iba todos los días a la oficina,Mucho más que cuando iba todos los días a la oficina,Mas que cuando iba todos los días a la oficina,Mas que cuando iba todos los días a la oficina,Iguales que cuando iba todos los días a la oficina,Igual que cuando iba todos los días a la oficina,Igual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oficina,Iguales que cuando iba todos los días a la oficina,Igual que cuando iba todos los días a la oficina,No hay diferencias culturales en mi equipo,Igual que cuando iba todos los días a la oficina,Iguales que cuando iba todos los días a la oficina,Iguales que cuando iba todos los días a la oficina,Más que cuando iba todos los días a la oficina,Igual que cuando iba todos los días a la oficina,Iguales que cuando iba todos los días a la oficina,Menor que cuando iba todos los días a la oficina,Mayor que cuando iba todos los días a la oficina,Más que cuando iba todos los días a la oficina,Iguales que cuando iba todos los días a la oficina,Igual que cuando iba todos los días a la oficina,Menor que cuando iba todos los días a la oficina,Menor que cuando iba todos los días a la oficina,Menor que cuando iba todos los días a la oficina,Igual que cuando iba todos los días a la oficina,Igual que cuando iba todos los días a la oficina,Igual que cuando iba todos los días a la oficina,Igual que cuando iba todos los días a la oficina,Mucho menor que cuando iba todos los días a la oficina,Menor que cuando iba todos los días a la oficina,Igual que cuando iba todos los días a la oficina,Menores que cuando iba todos los días a la oficina,Igual que cuando iba todos los días a la oficina,Igual que cuando iba todos los días a la oficina,Menor que cuando iba todos los días a la oficina,Mayor que cuando iba todos los días a la oficina,Menor que cuando iba todos los días a la oficina,Menor que cuando iba todos los días a la oficina,Igual que cuando iba todos los días a la oficina,Menor que cuando iba todos los días a la oficina,Menor que cuando iba todos los días a la oficina,Menor que cuando iba todos los días a la oficina,Mucho Mayor que cuando iba todos los días a la oficina,Menor que cuando iba todos los días a la oficina,Iguales que cuando iba todos los días a la oficina,Menor que cuando iba todos los días a la oficina,Menor que cuando iba todos los días a la oficina,,&lt;301 empleados,0</v>
      </c>
    </row>
    <row r="59" spans="1:103" ht="13.8" x14ac:dyDescent="0.3">
      <c r="Q59" s="4"/>
      <c r="BB59" s="3"/>
      <c r="BC59" s="2"/>
      <c r="BV59" s="1"/>
    </row>
    <row r="60" spans="1:103" ht="13.8" x14ac:dyDescent="0.3">
      <c r="Q60" s="4"/>
      <c r="BB60" s="3"/>
      <c r="BC60" s="2"/>
      <c r="BV60" s="1"/>
    </row>
    <row r="61" spans="1:103" ht="13.8" x14ac:dyDescent="0.3">
      <c r="Q61" s="4"/>
      <c r="BB61" s="3"/>
      <c r="BC61" s="2"/>
      <c r="BV61" s="1"/>
    </row>
    <row r="62" spans="1:103" ht="13.8" x14ac:dyDescent="0.3">
      <c r="Q62" s="4"/>
      <c r="BB62" s="3"/>
      <c r="BC62" s="2"/>
      <c r="BV62" s="1"/>
    </row>
    <row r="63" spans="1:103" ht="13.8" x14ac:dyDescent="0.3">
      <c r="Q63" s="4"/>
      <c r="BB63" s="3"/>
      <c r="BC63" s="2"/>
      <c r="BV63" s="1"/>
    </row>
    <row r="64" spans="1:103" ht="13.8" x14ac:dyDescent="0.3">
      <c r="Q64" s="4"/>
      <c r="BB64" s="3"/>
      <c r="BC64" s="2"/>
      <c r="BV64" s="1"/>
    </row>
    <row r="65" spans="17:74" ht="13.8" x14ac:dyDescent="0.3">
      <c r="Q65" s="4"/>
      <c r="BB65" s="3"/>
      <c r="BC65" s="2"/>
      <c r="BV65" s="1"/>
    </row>
    <row r="66" spans="17:74" ht="13.8" x14ac:dyDescent="0.3">
      <c r="Q66" s="4"/>
      <c r="BB66" s="3"/>
      <c r="BC66" s="2"/>
      <c r="BV66" s="1"/>
    </row>
    <row r="67" spans="17:74" ht="13.8" x14ac:dyDescent="0.3">
      <c r="Q67" s="4"/>
      <c r="BB67" s="3"/>
      <c r="BC67" s="2"/>
      <c r="BV67" s="1"/>
    </row>
    <row r="68" spans="17:74" ht="13.8" x14ac:dyDescent="0.3">
      <c r="Q68" s="4"/>
      <c r="BB68" s="3"/>
      <c r="BC68" s="2"/>
      <c r="BV68" s="1"/>
    </row>
    <row r="69" spans="17:74" ht="13.8" x14ac:dyDescent="0.3">
      <c r="Q69" s="4"/>
      <c r="BB69" s="3"/>
      <c r="BC69" s="2"/>
      <c r="BV69" s="1"/>
    </row>
    <row r="70" spans="17:74" ht="13.8" x14ac:dyDescent="0.3">
      <c r="Q70" s="4"/>
      <c r="BB70" s="3"/>
      <c r="BC70" s="2"/>
      <c r="BV70" s="1"/>
    </row>
    <row r="71" spans="17:74" ht="13.8" x14ac:dyDescent="0.3">
      <c r="Q71" s="4"/>
      <c r="BB71" s="3"/>
      <c r="BC71" s="2"/>
      <c r="BV71" s="1"/>
    </row>
    <row r="72" spans="17:74" ht="13.8" x14ac:dyDescent="0.3">
      <c r="Q72" s="4"/>
      <c r="BB72" s="3"/>
      <c r="BC72" s="2"/>
      <c r="BV72" s="1"/>
    </row>
    <row r="73" spans="17:74" ht="13.8" x14ac:dyDescent="0.3">
      <c r="Q73" s="4"/>
      <c r="BB73" s="3"/>
      <c r="BC73" s="2"/>
      <c r="BV73" s="1"/>
    </row>
    <row r="74" spans="17:74" ht="13.8" x14ac:dyDescent="0.3">
      <c r="Q74" s="4"/>
      <c r="BB74" s="3"/>
      <c r="BC74" s="2"/>
      <c r="BV74" s="1"/>
    </row>
    <row r="75" spans="17:74" ht="13.8" x14ac:dyDescent="0.3">
      <c r="Q75" s="4"/>
      <c r="BB75" s="3"/>
      <c r="BC75" s="2"/>
      <c r="BV75" s="1"/>
    </row>
    <row r="76" spans="17:74" ht="13.8" x14ac:dyDescent="0.3">
      <c r="Q76" s="4"/>
      <c r="BB76" s="3"/>
      <c r="BC76" s="2"/>
      <c r="BV76" s="1"/>
    </row>
    <row r="77" spans="17:74" ht="13.8" x14ac:dyDescent="0.3">
      <c r="Q77" s="4"/>
      <c r="BB77" s="3"/>
      <c r="BC77" s="2"/>
      <c r="BV77" s="1"/>
    </row>
    <row r="78" spans="17:74" ht="13.8" x14ac:dyDescent="0.3">
      <c r="Q78" s="4"/>
      <c r="BB78" s="3"/>
      <c r="BC78" s="2"/>
      <c r="BV78" s="1"/>
    </row>
    <row r="79" spans="17:74" ht="13.8" x14ac:dyDescent="0.3">
      <c r="Q79" s="4"/>
      <c r="BB79" s="3"/>
      <c r="BC79" s="2"/>
      <c r="BV79" s="1"/>
    </row>
    <row r="80" spans="17:74" ht="13.8" x14ac:dyDescent="0.3">
      <c r="Q80" s="4"/>
      <c r="BB80" s="3"/>
      <c r="BC80" s="2"/>
      <c r="BV80" s="1"/>
    </row>
    <row r="81" spans="17:74" ht="13.8" x14ac:dyDescent="0.3">
      <c r="Q81" s="4"/>
      <c r="BB81" s="3"/>
      <c r="BC81" s="2"/>
      <c r="BV81" s="1"/>
    </row>
    <row r="82" spans="17:74" ht="13.8" x14ac:dyDescent="0.3">
      <c r="Q82" s="4"/>
      <c r="BB82" s="3"/>
      <c r="BC82" s="2"/>
      <c r="BV82" s="1"/>
    </row>
    <row r="83" spans="17:74" ht="13.8" x14ac:dyDescent="0.3">
      <c r="Q83" s="4"/>
      <c r="BB83" s="3"/>
      <c r="BC83" s="2"/>
      <c r="BV83" s="1"/>
    </row>
    <row r="84" spans="17:74" ht="13.8" x14ac:dyDescent="0.3">
      <c r="Q84" s="4"/>
      <c r="BB84" s="3"/>
      <c r="BC84" s="2"/>
      <c r="BV84" s="1"/>
    </row>
    <row r="85" spans="17:74" ht="13.8" x14ac:dyDescent="0.3">
      <c r="Q85" s="4"/>
      <c r="BB85" s="3"/>
      <c r="BC85" s="2"/>
      <c r="BV85" s="1"/>
    </row>
    <row r="86" spans="17:74" ht="13.8" x14ac:dyDescent="0.3">
      <c r="Q86" s="4"/>
      <c r="BB86" s="3"/>
      <c r="BC86" s="2"/>
      <c r="BV86" s="1"/>
    </row>
    <row r="87" spans="17:74" ht="13.8" x14ac:dyDescent="0.3">
      <c r="Q87" s="4"/>
      <c r="BB87" s="3"/>
      <c r="BC87" s="2"/>
      <c r="BV87" s="1"/>
    </row>
    <row r="88" spans="17:74" ht="13.8" x14ac:dyDescent="0.3">
      <c r="Q88" s="4"/>
      <c r="BB88" s="3"/>
      <c r="BC88" s="2"/>
      <c r="BV88" s="1"/>
    </row>
    <row r="89" spans="17:74" ht="13.8" x14ac:dyDescent="0.3">
      <c r="Q89" s="4"/>
      <c r="BB89" s="3"/>
      <c r="BC89" s="2"/>
      <c r="BV89" s="1"/>
    </row>
    <row r="90" spans="17:74" ht="13.8" x14ac:dyDescent="0.3">
      <c r="Q90" s="4"/>
      <c r="BB90" s="3"/>
      <c r="BC90" s="2"/>
      <c r="BV90" s="1"/>
    </row>
    <row r="91" spans="17:74" ht="13.8" x14ac:dyDescent="0.3">
      <c r="Q91" s="4"/>
      <c r="BB91" s="3"/>
      <c r="BC91" s="2"/>
      <c r="BV91" s="1"/>
    </row>
    <row r="92" spans="17:74" ht="13.8" x14ac:dyDescent="0.3">
      <c r="Q92" s="4"/>
      <c r="BB92" s="3"/>
      <c r="BC92" s="2"/>
      <c r="BV92" s="1"/>
    </row>
    <row r="93" spans="17:74" ht="13.8" x14ac:dyDescent="0.3">
      <c r="Q93" s="4"/>
      <c r="BB93" s="3"/>
      <c r="BC93" s="2"/>
      <c r="BV93" s="1"/>
    </row>
    <row r="94" spans="17:74" ht="13.8" x14ac:dyDescent="0.3">
      <c r="Q94" s="4"/>
      <c r="BB94" s="3"/>
      <c r="BC94" s="2"/>
      <c r="BV94" s="1"/>
    </row>
    <row r="95" spans="17:74" ht="13.8" x14ac:dyDescent="0.3">
      <c r="Q95" s="4"/>
      <c r="BB95" s="3"/>
      <c r="BC95" s="2"/>
      <c r="BV95" s="1"/>
    </row>
    <row r="96" spans="17:74" ht="13.8" x14ac:dyDescent="0.3">
      <c r="Q96" s="4"/>
      <c r="BB96" s="3"/>
      <c r="BC96" s="2"/>
      <c r="BV96" s="1"/>
    </row>
    <row r="97" spans="17:74" ht="13.8" x14ac:dyDescent="0.3">
      <c r="Q97" s="4"/>
      <c r="BB97" s="3"/>
      <c r="BC97" s="2"/>
      <c r="BV97" s="1"/>
    </row>
    <row r="98" spans="17:74" ht="13.8" x14ac:dyDescent="0.3">
      <c r="Q98" s="4"/>
      <c r="BB98" s="3"/>
      <c r="BC98" s="2"/>
      <c r="BV98" s="1"/>
    </row>
    <row r="99" spans="17:74" ht="13.8" x14ac:dyDescent="0.3">
      <c r="Q99" s="4"/>
      <c r="BB99" s="3"/>
      <c r="BC99" s="2"/>
      <c r="BV99" s="1"/>
    </row>
    <row r="100" spans="17:74" ht="13.8" x14ac:dyDescent="0.3">
      <c r="Q100" s="4"/>
      <c r="BB100" s="3"/>
      <c r="BC100" s="2"/>
      <c r="BV100" s="1"/>
    </row>
    <row r="101" spans="17:74" ht="13.8" x14ac:dyDescent="0.3">
      <c r="Q101" s="4"/>
      <c r="BB101" s="3"/>
      <c r="BC101" s="2"/>
      <c r="BV101" s="1"/>
    </row>
    <row r="102" spans="17:74" ht="13.8" x14ac:dyDescent="0.3">
      <c r="Q102" s="4"/>
      <c r="BB102" s="3"/>
      <c r="BC102" s="2"/>
      <c r="BV102" s="1"/>
    </row>
    <row r="103" spans="17:74" ht="13.8" x14ac:dyDescent="0.3">
      <c r="Q103" s="4"/>
      <c r="BB103" s="3"/>
      <c r="BC103" s="2"/>
      <c r="BV103" s="1"/>
    </row>
    <row r="104" spans="17:74" ht="13.8" x14ac:dyDescent="0.3">
      <c r="Q104" s="4"/>
      <c r="BB104" s="3"/>
      <c r="BC104" s="2"/>
      <c r="BV104" s="1"/>
    </row>
    <row r="105" spans="17:74" ht="13.8" x14ac:dyDescent="0.3">
      <c r="Q105" s="4"/>
      <c r="BB105" s="3"/>
      <c r="BC105" s="2"/>
      <c r="BV105" s="1"/>
    </row>
    <row r="106" spans="17:74" ht="13.8" x14ac:dyDescent="0.3">
      <c r="Q106" s="4"/>
      <c r="BB106" s="3"/>
      <c r="BC106" s="2"/>
      <c r="BV106" s="1"/>
    </row>
    <row r="107" spans="17:74" ht="13.8" x14ac:dyDescent="0.3">
      <c r="Q107" s="4"/>
      <c r="BB107" s="3"/>
      <c r="BC107" s="2"/>
      <c r="BV107" s="1"/>
    </row>
    <row r="108" spans="17:74" ht="13.8" x14ac:dyDescent="0.3">
      <c r="Q108" s="4"/>
      <c r="BB108" s="3"/>
      <c r="BC108" s="2"/>
      <c r="BV108" s="1"/>
    </row>
    <row r="109" spans="17:74" ht="13.8" x14ac:dyDescent="0.3">
      <c r="Q109" s="4"/>
      <c r="BB109" s="3"/>
      <c r="BC109" s="2"/>
      <c r="BV109" s="1"/>
    </row>
    <row r="110" spans="17:74" ht="13.8" x14ac:dyDescent="0.3">
      <c r="Q110" s="4"/>
      <c r="BB110" s="3"/>
      <c r="BC110" s="2"/>
      <c r="BV110" s="1"/>
    </row>
    <row r="111" spans="17:74" ht="13.8" x14ac:dyDescent="0.3">
      <c r="Q111" s="4"/>
      <c r="BB111" s="3"/>
      <c r="BC111" s="2"/>
      <c r="BV111" s="1"/>
    </row>
    <row r="112" spans="17:74" ht="13.8" x14ac:dyDescent="0.3">
      <c r="Q112" s="4"/>
      <c r="BB112" s="3"/>
      <c r="BC112" s="2"/>
      <c r="BV112" s="1"/>
    </row>
    <row r="113" spans="17:74" ht="13.8" x14ac:dyDescent="0.3">
      <c r="Q113" s="4"/>
      <c r="BB113" s="3"/>
      <c r="BC113" s="2"/>
      <c r="BV113" s="1"/>
    </row>
    <row r="114" spans="17:74" ht="13.8" x14ac:dyDescent="0.3">
      <c r="Q114" s="4"/>
      <c r="BB114" s="3"/>
      <c r="BC114" s="2"/>
      <c r="BV114" s="1"/>
    </row>
    <row r="115" spans="17:74" ht="13.8" x14ac:dyDescent="0.3">
      <c r="Q115" s="4"/>
      <c r="BB115" s="3"/>
      <c r="BC115" s="2"/>
      <c r="BV115" s="1"/>
    </row>
    <row r="116" spans="17:74" ht="13.8" x14ac:dyDescent="0.3">
      <c r="Q116" s="4"/>
      <c r="BB116" s="3"/>
      <c r="BC116" s="2"/>
      <c r="BV116" s="1"/>
    </row>
    <row r="117" spans="17:74" ht="13.8" x14ac:dyDescent="0.3">
      <c r="Q117" s="4"/>
      <c r="BB117" s="3"/>
      <c r="BC117" s="2"/>
      <c r="BV117" s="1"/>
    </row>
    <row r="118" spans="17:74" ht="13.8" x14ac:dyDescent="0.3">
      <c r="Q118" s="4"/>
      <c r="BB118" s="3"/>
      <c r="BC118" s="2"/>
      <c r="BV118" s="1"/>
    </row>
    <row r="119" spans="17:74" ht="13.8" x14ac:dyDescent="0.3">
      <c r="Q119" s="4"/>
      <c r="BB119" s="3"/>
      <c r="BC119" s="2"/>
      <c r="BV119" s="1"/>
    </row>
    <row r="120" spans="17:74" ht="13.8" x14ac:dyDescent="0.3">
      <c r="Q120" s="4"/>
      <c r="BB120" s="3"/>
      <c r="BC120" s="2"/>
      <c r="BV120" s="1"/>
    </row>
    <row r="121" spans="17:74" ht="13.8" x14ac:dyDescent="0.3">
      <c r="Q121" s="4"/>
      <c r="BB121" s="3"/>
      <c r="BC121" s="2"/>
      <c r="BV121" s="1"/>
    </row>
    <row r="122" spans="17:74" ht="13.8" x14ac:dyDescent="0.3">
      <c r="Q122" s="4"/>
      <c r="BB122" s="3"/>
      <c r="BC122" s="2"/>
      <c r="BV122" s="1"/>
    </row>
    <row r="123" spans="17:74" ht="13.8" x14ac:dyDescent="0.3">
      <c r="Q123" s="4"/>
      <c r="BB123" s="3"/>
      <c r="BC123" s="2"/>
      <c r="BV123" s="1"/>
    </row>
    <row r="124" spans="17:74" ht="13.8" x14ac:dyDescent="0.3">
      <c r="Q124" s="4"/>
      <c r="BB124" s="3"/>
      <c r="BC124" s="2"/>
      <c r="BV124" s="1"/>
    </row>
    <row r="125" spans="17:74" ht="13.8" x14ac:dyDescent="0.3">
      <c r="Q125" s="4"/>
      <c r="BB125" s="3"/>
      <c r="BC125" s="2"/>
      <c r="BV125" s="1"/>
    </row>
    <row r="126" spans="17:74" ht="13.8" x14ac:dyDescent="0.3">
      <c r="Q126" s="4"/>
      <c r="BB126" s="3"/>
      <c r="BC126" s="2"/>
      <c r="BV126" s="1"/>
    </row>
    <row r="127" spans="17:74" ht="13.8" x14ac:dyDescent="0.3">
      <c r="Q127" s="4"/>
      <c r="BB127" s="3"/>
      <c r="BC127" s="2"/>
      <c r="BV127" s="1"/>
    </row>
    <row r="128" spans="17:74" ht="13.8" x14ac:dyDescent="0.3">
      <c r="Q128" s="4"/>
      <c r="BB128" s="3"/>
      <c r="BC128" s="2"/>
      <c r="BV128" s="1"/>
    </row>
    <row r="129" spans="17:74" ht="13.8" x14ac:dyDescent="0.3">
      <c r="Q129" s="4"/>
      <c r="BB129" s="3"/>
      <c r="BC129" s="2"/>
      <c r="BV129" s="1"/>
    </row>
    <row r="130" spans="17:74" ht="13.8" x14ac:dyDescent="0.3">
      <c r="Q130" s="4"/>
      <c r="BB130" s="3"/>
      <c r="BC130" s="2"/>
      <c r="BV130" s="1"/>
    </row>
    <row r="131" spans="17:74" ht="13.8" x14ac:dyDescent="0.3">
      <c r="Q131" s="4"/>
      <c r="BB131" s="3"/>
      <c r="BC131" s="2"/>
      <c r="BV131" s="1"/>
    </row>
    <row r="132" spans="17:74" ht="13.8" x14ac:dyDescent="0.3">
      <c r="Q132" s="4"/>
      <c r="BB132" s="3"/>
      <c r="BC132" s="2"/>
      <c r="BV132" s="1"/>
    </row>
    <row r="133" spans="17:74" ht="13.8" x14ac:dyDescent="0.3">
      <c r="Q133" s="4"/>
      <c r="BB133" s="3"/>
      <c r="BC133" s="2"/>
      <c r="BV133" s="1"/>
    </row>
    <row r="134" spans="17:74" ht="13.8" x14ac:dyDescent="0.3">
      <c r="Q134" s="4"/>
      <c r="BB134" s="3"/>
      <c r="BC134" s="2"/>
      <c r="BV134" s="1"/>
    </row>
    <row r="135" spans="17:74" ht="13.8" x14ac:dyDescent="0.3">
      <c r="Q135" s="4"/>
      <c r="BB135" s="3"/>
      <c r="BC135" s="2"/>
      <c r="BV135" s="1"/>
    </row>
    <row r="136" spans="17:74" ht="13.8" x14ac:dyDescent="0.3">
      <c r="Q136" s="4"/>
      <c r="BB136" s="3"/>
      <c r="BC136" s="2"/>
      <c r="BV136" s="1"/>
    </row>
    <row r="137" spans="17:74" ht="13.8" x14ac:dyDescent="0.3">
      <c r="Q137" s="4"/>
      <c r="BB137" s="3"/>
      <c r="BC137" s="2"/>
      <c r="BV137" s="1"/>
    </row>
    <row r="138" spans="17:74" ht="13.8" x14ac:dyDescent="0.3">
      <c r="Q138" s="4"/>
      <c r="BB138" s="3"/>
      <c r="BC138" s="2"/>
      <c r="BV138" s="1"/>
    </row>
    <row r="139" spans="17:74" ht="13.8" x14ac:dyDescent="0.3">
      <c r="Q139" s="4"/>
      <c r="BB139" s="3"/>
      <c r="BC139" s="2"/>
      <c r="BV139" s="1"/>
    </row>
    <row r="140" spans="17:74" ht="13.8" x14ac:dyDescent="0.3">
      <c r="Q140" s="4"/>
      <c r="BB140" s="3"/>
      <c r="BC140" s="2"/>
      <c r="BV140" s="1"/>
    </row>
    <row r="141" spans="17:74" ht="13.8" x14ac:dyDescent="0.3">
      <c r="Q141" s="4"/>
      <c r="BB141" s="3"/>
      <c r="BC141" s="2"/>
      <c r="BV141" s="1"/>
    </row>
    <row r="142" spans="17:74" ht="13.8" x14ac:dyDescent="0.3">
      <c r="Q142" s="4"/>
      <c r="BB142" s="3"/>
      <c r="BC142" s="2"/>
      <c r="BV142" s="1"/>
    </row>
    <row r="143" spans="17:74" ht="13.8" x14ac:dyDescent="0.3">
      <c r="Q143" s="4"/>
      <c r="BB143" s="3"/>
      <c r="BC143" s="2"/>
      <c r="BV143" s="1"/>
    </row>
    <row r="144" spans="17:74" ht="13.8" x14ac:dyDescent="0.3">
      <c r="Q144" s="4"/>
      <c r="BB144" s="3"/>
      <c r="BC144" s="2"/>
      <c r="BV144" s="1"/>
    </row>
    <row r="145" spans="17:74" ht="13.8" x14ac:dyDescent="0.3">
      <c r="Q145" s="4"/>
      <c r="BB145" s="3"/>
      <c r="BC145" s="2"/>
      <c r="BV145" s="1"/>
    </row>
    <row r="146" spans="17:74" ht="13.8" x14ac:dyDescent="0.3">
      <c r="Q146" s="4"/>
      <c r="BB146" s="3"/>
      <c r="BC146" s="2"/>
      <c r="BV146" s="1"/>
    </row>
    <row r="147" spans="17:74" ht="13.8" x14ac:dyDescent="0.3">
      <c r="Q147" s="4"/>
      <c r="BB147" s="3"/>
      <c r="BC147" s="2"/>
      <c r="BV147" s="1"/>
    </row>
    <row r="148" spans="17:74" ht="13.8" x14ac:dyDescent="0.3">
      <c r="Q148" s="4"/>
      <c r="BB148" s="3"/>
      <c r="BC148" s="2"/>
      <c r="BV148" s="1"/>
    </row>
    <row r="149" spans="17:74" ht="13.8" x14ac:dyDescent="0.3">
      <c r="Q149" s="4"/>
      <c r="BB149" s="3"/>
      <c r="BC149" s="2"/>
      <c r="BV149" s="1"/>
    </row>
    <row r="150" spans="17:74" ht="13.8" x14ac:dyDescent="0.3">
      <c r="Q150" s="4"/>
      <c r="BB150" s="3"/>
      <c r="BC150" s="2"/>
      <c r="BV150" s="1"/>
    </row>
    <row r="151" spans="17:74" ht="13.8" x14ac:dyDescent="0.3">
      <c r="Q151" s="4"/>
      <c r="BB151" s="3"/>
      <c r="BC151" s="2"/>
      <c r="BV151" s="1"/>
    </row>
    <row r="152" spans="17:74" ht="13.8" x14ac:dyDescent="0.3">
      <c r="Q152" s="4"/>
      <c r="BB152" s="3"/>
      <c r="BC152" s="2"/>
      <c r="BV152" s="1"/>
    </row>
    <row r="153" spans="17:74" ht="13.8" x14ac:dyDescent="0.3">
      <c r="Q153" s="4"/>
      <c r="BB153" s="3"/>
      <c r="BC153" s="2"/>
      <c r="BV153" s="1"/>
    </row>
    <row r="154" spans="17:74" ht="13.8" x14ac:dyDescent="0.3">
      <c r="Q154" s="4"/>
      <c r="BB154" s="3"/>
      <c r="BC154" s="2"/>
      <c r="BV154" s="1"/>
    </row>
    <row r="155" spans="17:74" ht="13.8" x14ac:dyDescent="0.3">
      <c r="Q155" s="4"/>
      <c r="BB155" s="3"/>
      <c r="BC155" s="2"/>
      <c r="BV155" s="1"/>
    </row>
    <row r="156" spans="17:74" ht="13.8" x14ac:dyDescent="0.3">
      <c r="Q156" s="4"/>
      <c r="BB156" s="3"/>
      <c r="BC156" s="2"/>
      <c r="BV156" s="1"/>
    </row>
    <row r="157" spans="17:74" ht="13.8" x14ac:dyDescent="0.3">
      <c r="Q157" s="4"/>
      <c r="BB157" s="3"/>
      <c r="BC157" s="2"/>
      <c r="BV157" s="1"/>
    </row>
    <row r="158" spans="17:74" ht="13.8" x14ac:dyDescent="0.3">
      <c r="Q158" s="4"/>
      <c r="BB158" s="3"/>
      <c r="BC158" s="2"/>
      <c r="BV158" s="1"/>
    </row>
    <row r="159" spans="17:74" ht="13.8" x14ac:dyDescent="0.3">
      <c r="Q159" s="4"/>
      <c r="BB159" s="3"/>
      <c r="BC159" s="2"/>
      <c r="BV159" s="1"/>
    </row>
    <row r="160" spans="17:74" ht="13.8" x14ac:dyDescent="0.3">
      <c r="Q160" s="4"/>
      <c r="BB160" s="3"/>
      <c r="BC160" s="2"/>
      <c r="BV160" s="1"/>
    </row>
    <row r="161" spans="17:74" ht="13.8" x14ac:dyDescent="0.3">
      <c r="Q161" s="4"/>
      <c r="BB161" s="3"/>
      <c r="BC161" s="2"/>
      <c r="BV161" s="1"/>
    </row>
    <row r="162" spans="17:74" ht="13.8" x14ac:dyDescent="0.3">
      <c r="Q162" s="4"/>
      <c r="BB162" s="3"/>
      <c r="BC162" s="2"/>
      <c r="BV162" s="1"/>
    </row>
    <row r="163" spans="17:74" ht="13.8" x14ac:dyDescent="0.3">
      <c r="Q163" s="4"/>
      <c r="BB163" s="3"/>
      <c r="BC163" s="2"/>
      <c r="BV163" s="1"/>
    </row>
    <row r="164" spans="17:74" ht="13.8" x14ac:dyDescent="0.3">
      <c r="Q164" s="4"/>
      <c r="BB164" s="3"/>
      <c r="BC164" s="2"/>
      <c r="BV164" s="1"/>
    </row>
    <row r="165" spans="17:74" ht="13.8" x14ac:dyDescent="0.3">
      <c r="Q165" s="4"/>
      <c r="BB165" s="3"/>
      <c r="BC165" s="2"/>
      <c r="BV165" s="1"/>
    </row>
    <row r="166" spans="17:74" ht="13.8" x14ac:dyDescent="0.3">
      <c r="Q166" s="4"/>
      <c r="BB166" s="3"/>
      <c r="BC166" s="2"/>
      <c r="BV166" s="1"/>
    </row>
    <row r="167" spans="17:74" ht="13.8" x14ac:dyDescent="0.3">
      <c r="Q167" s="4"/>
      <c r="BB167" s="3"/>
      <c r="BC167" s="2"/>
      <c r="BV167" s="1"/>
    </row>
    <row r="168" spans="17:74" ht="13.8" x14ac:dyDescent="0.3">
      <c r="Q168" s="4"/>
      <c r="BB168" s="3"/>
      <c r="BC168" s="2"/>
      <c r="BV168" s="1"/>
    </row>
    <row r="169" spans="17:74" ht="13.8" x14ac:dyDescent="0.3">
      <c r="Q169" s="4"/>
      <c r="BB169" s="3"/>
      <c r="BC169" s="2"/>
      <c r="BV169" s="1"/>
    </row>
    <row r="170" spans="17:74" ht="13.8" x14ac:dyDescent="0.3">
      <c r="Q170" s="4"/>
      <c r="BB170" s="3"/>
      <c r="BC170" s="2"/>
      <c r="BV170" s="1"/>
    </row>
    <row r="171" spans="17:74" ht="13.8" x14ac:dyDescent="0.3">
      <c r="Q171" s="4"/>
      <c r="BB171" s="3"/>
      <c r="BC171" s="2"/>
      <c r="BV171" s="1"/>
    </row>
    <row r="172" spans="17:74" ht="13.8" x14ac:dyDescent="0.3">
      <c r="Q172" s="4"/>
      <c r="BB172" s="3"/>
      <c r="BC172" s="2"/>
      <c r="BV172" s="1"/>
    </row>
    <row r="173" spans="17:74" ht="13.8" x14ac:dyDescent="0.3">
      <c r="Q173" s="4"/>
      <c r="BB173" s="3"/>
      <c r="BC173" s="2"/>
      <c r="BV173" s="1"/>
    </row>
    <row r="174" spans="17:74" ht="13.8" x14ac:dyDescent="0.3">
      <c r="Q174" s="4"/>
      <c r="BB174" s="3"/>
      <c r="BC174" s="2"/>
      <c r="BV174" s="1"/>
    </row>
    <row r="175" spans="17:74" ht="13.8" x14ac:dyDescent="0.3">
      <c r="Q175" s="4"/>
      <c r="BB175" s="3"/>
      <c r="BC175" s="2"/>
      <c r="BV175" s="1"/>
    </row>
    <row r="176" spans="17:74" ht="13.8" x14ac:dyDescent="0.3">
      <c r="Q176" s="4"/>
      <c r="BB176" s="3"/>
      <c r="BC176" s="2"/>
      <c r="BV176" s="1"/>
    </row>
    <row r="177" spans="17:74" ht="13.8" x14ac:dyDescent="0.3">
      <c r="Q177" s="4"/>
      <c r="BB177" s="3"/>
      <c r="BC177" s="2"/>
      <c r="BV177" s="1"/>
    </row>
    <row r="178" spans="17:74" ht="13.8" x14ac:dyDescent="0.3">
      <c r="Q178" s="4"/>
      <c r="BB178" s="3"/>
      <c r="BC178" s="2"/>
      <c r="BV178" s="1"/>
    </row>
    <row r="179" spans="17:74" ht="13.8" x14ac:dyDescent="0.3">
      <c r="Q179" s="4"/>
      <c r="BB179" s="3"/>
      <c r="BC179" s="2"/>
      <c r="BV179" s="1"/>
    </row>
    <row r="180" spans="17:74" ht="13.8" x14ac:dyDescent="0.3">
      <c r="Q180" s="4"/>
      <c r="BB180" s="3"/>
      <c r="BC180" s="2"/>
      <c r="BV180" s="1"/>
    </row>
    <row r="181" spans="17:74" ht="13.8" x14ac:dyDescent="0.3">
      <c r="Q181" s="4"/>
      <c r="BB181" s="3"/>
      <c r="BC181" s="2"/>
      <c r="BV181" s="1"/>
    </row>
    <row r="182" spans="17:74" ht="13.8" x14ac:dyDescent="0.3">
      <c r="Q182" s="4"/>
      <c r="BB182" s="3"/>
      <c r="BC182" s="2"/>
      <c r="BV182" s="1"/>
    </row>
    <row r="183" spans="17:74" ht="13.8" x14ac:dyDescent="0.3">
      <c r="Q183" s="4"/>
      <c r="BB183" s="3"/>
      <c r="BC183" s="2"/>
      <c r="BV183" s="1"/>
    </row>
    <row r="184" spans="17:74" ht="13.8" x14ac:dyDescent="0.3">
      <c r="Q184" s="4"/>
      <c r="BB184" s="3"/>
      <c r="BC184" s="2"/>
      <c r="BV184" s="1"/>
    </row>
    <row r="185" spans="17:74" ht="13.8" x14ac:dyDescent="0.3">
      <c r="Q185" s="4"/>
      <c r="BB185" s="3"/>
      <c r="BC185" s="2"/>
      <c r="BV185" s="1"/>
    </row>
    <row r="186" spans="17:74" ht="13.8" x14ac:dyDescent="0.3">
      <c r="Q186" s="4"/>
      <c r="BB186" s="3"/>
      <c r="BC186" s="2"/>
      <c r="BV186" s="1"/>
    </row>
    <row r="187" spans="17:74" ht="13.8" x14ac:dyDescent="0.3">
      <c r="Q187" s="4"/>
      <c r="BB187" s="3"/>
      <c r="BC187" s="2"/>
      <c r="BV187" s="1"/>
    </row>
    <row r="188" spans="17:74" ht="13.8" x14ac:dyDescent="0.3">
      <c r="Q188" s="4"/>
      <c r="BB188" s="3"/>
      <c r="BC188" s="2"/>
      <c r="BV188" s="1"/>
    </row>
    <row r="189" spans="17:74" ht="13.8" x14ac:dyDescent="0.3">
      <c r="Q189" s="4"/>
      <c r="BB189" s="3"/>
      <c r="BC189" s="2"/>
      <c r="BV189" s="1"/>
    </row>
    <row r="190" spans="17:74" ht="13.8" x14ac:dyDescent="0.3">
      <c r="Q190" s="4"/>
      <c r="BB190" s="3"/>
      <c r="BC190" s="2"/>
      <c r="BV190" s="1"/>
    </row>
    <row r="191" spans="17:74" ht="13.8" x14ac:dyDescent="0.3">
      <c r="Q191" s="4"/>
      <c r="BB191" s="3"/>
      <c r="BC191" s="2"/>
      <c r="BV191" s="1"/>
    </row>
    <row r="192" spans="17:74" ht="13.8" x14ac:dyDescent="0.3">
      <c r="Q192" s="4"/>
      <c r="BB192" s="3"/>
      <c r="BC192" s="2"/>
      <c r="BV192" s="1"/>
    </row>
    <row r="193" spans="17:74" ht="13.8" x14ac:dyDescent="0.3">
      <c r="Q193" s="4"/>
      <c r="BB193" s="3"/>
      <c r="BC193" s="2"/>
      <c r="BV193" s="1"/>
    </row>
    <row r="194" spans="17:74" ht="13.8" x14ac:dyDescent="0.3">
      <c r="Q194" s="4"/>
      <c r="BB194" s="3"/>
      <c r="BC194" s="2"/>
      <c r="BV194" s="1"/>
    </row>
    <row r="195" spans="17:74" ht="13.8" x14ac:dyDescent="0.3">
      <c r="Q195" s="4"/>
      <c r="BB195" s="3"/>
      <c r="BC195" s="2"/>
      <c r="BV195" s="1"/>
    </row>
    <row r="196" spans="17:74" ht="13.8" x14ac:dyDescent="0.3">
      <c r="Q196" s="4"/>
      <c r="BB196" s="3"/>
      <c r="BC196" s="2"/>
      <c r="BV196" s="1"/>
    </row>
    <row r="197" spans="17:74" ht="13.8" x14ac:dyDescent="0.3">
      <c r="Q197" s="4"/>
      <c r="BB197" s="3"/>
      <c r="BC197" s="2"/>
      <c r="BV197" s="1"/>
    </row>
    <row r="198" spans="17:74" ht="13.8" x14ac:dyDescent="0.3">
      <c r="Q198" s="4"/>
      <c r="BB198" s="3"/>
      <c r="BC198" s="2"/>
      <c r="BV198" s="1"/>
    </row>
    <row r="199" spans="17:74" ht="13.8" x14ac:dyDescent="0.3">
      <c r="Q199" s="4"/>
      <c r="BB199" s="3"/>
      <c r="BC199" s="2"/>
      <c r="BV199" s="1"/>
    </row>
    <row r="200" spans="17:74" ht="13.8" x14ac:dyDescent="0.3">
      <c r="Q200" s="4"/>
      <c r="BB200" s="3"/>
      <c r="BC200" s="2"/>
      <c r="BV200" s="1"/>
    </row>
    <row r="201" spans="17:74" ht="13.8" x14ac:dyDescent="0.3">
      <c r="Q201" s="4"/>
      <c r="BB201" s="3"/>
      <c r="BC201" s="2"/>
      <c r="BV201" s="1"/>
    </row>
    <row r="202" spans="17:74" ht="13.8" x14ac:dyDescent="0.3">
      <c r="Q202" s="4"/>
      <c r="BB202" s="3"/>
      <c r="BC202" s="2"/>
      <c r="BV202" s="1"/>
    </row>
    <row r="203" spans="17:74" ht="13.8" x14ac:dyDescent="0.3">
      <c r="Q203" s="4"/>
      <c r="BB203" s="3"/>
      <c r="BC203" s="2"/>
      <c r="BV203" s="1"/>
    </row>
    <row r="204" spans="17:74" ht="13.8" x14ac:dyDescent="0.3">
      <c r="Q204" s="4"/>
      <c r="BB204" s="3"/>
      <c r="BC204" s="2"/>
      <c r="BV204" s="1"/>
    </row>
    <row r="205" spans="17:74" ht="13.8" x14ac:dyDescent="0.3">
      <c r="Q205" s="4"/>
      <c r="BB205" s="3"/>
      <c r="BC205" s="2"/>
      <c r="BV205" s="1"/>
    </row>
    <row r="206" spans="17:74" ht="13.8" x14ac:dyDescent="0.3">
      <c r="Q206" s="4"/>
      <c r="BB206" s="3"/>
      <c r="BC206" s="2"/>
      <c r="BV206" s="1"/>
    </row>
    <row r="207" spans="17:74" ht="13.8" x14ac:dyDescent="0.3">
      <c r="Q207" s="4"/>
      <c r="BB207" s="3"/>
      <c r="BC207" s="2"/>
      <c r="BV207" s="1"/>
    </row>
    <row r="208" spans="17:74" ht="13.8" x14ac:dyDescent="0.3">
      <c r="Q208" s="4"/>
      <c r="BB208" s="3"/>
      <c r="BC208" s="2"/>
      <c r="BV208" s="1"/>
    </row>
    <row r="209" spans="17:74" ht="13.8" x14ac:dyDescent="0.3">
      <c r="Q209" s="4"/>
      <c r="BB209" s="3"/>
      <c r="BC209" s="2"/>
      <c r="BV209" s="1"/>
    </row>
    <row r="210" spans="17:74" ht="13.8" x14ac:dyDescent="0.3">
      <c r="Q210" s="4"/>
      <c r="BB210" s="3"/>
      <c r="BC210" s="2"/>
      <c r="BV210" s="1"/>
    </row>
    <row r="211" spans="17:74" ht="13.8" x14ac:dyDescent="0.3">
      <c r="Q211" s="4"/>
      <c r="BB211" s="3"/>
      <c r="BC211" s="2"/>
      <c r="BV211" s="1"/>
    </row>
    <row r="212" spans="17:74" ht="13.8" x14ac:dyDescent="0.3">
      <c r="Q212" s="4"/>
      <c r="BB212" s="3"/>
      <c r="BC212" s="2"/>
      <c r="BV212" s="1"/>
    </row>
    <row r="213" spans="17:74" ht="13.8" x14ac:dyDescent="0.3">
      <c r="Q213" s="4"/>
      <c r="BB213" s="3"/>
      <c r="BC213" s="2"/>
      <c r="BV213" s="1"/>
    </row>
    <row r="214" spans="17:74" ht="13.8" x14ac:dyDescent="0.3">
      <c r="Q214" s="4"/>
      <c r="BB214" s="3"/>
      <c r="BC214" s="2"/>
      <c r="BV214" s="1"/>
    </row>
    <row r="215" spans="17:74" ht="13.8" x14ac:dyDescent="0.3">
      <c r="Q215" s="4"/>
      <c r="BB215" s="3"/>
      <c r="BC215" s="2"/>
      <c r="BV215" s="1"/>
    </row>
    <row r="216" spans="17:74" ht="13.8" x14ac:dyDescent="0.3">
      <c r="Q216" s="4"/>
      <c r="BB216" s="3"/>
      <c r="BC216" s="2"/>
      <c r="BV216" s="1"/>
    </row>
    <row r="217" spans="17:74" ht="13.8" x14ac:dyDescent="0.3">
      <c r="Q217" s="4"/>
      <c r="BB217" s="3"/>
      <c r="BC217" s="2"/>
      <c r="BV217" s="1"/>
    </row>
    <row r="218" spans="17:74" ht="13.8" x14ac:dyDescent="0.3">
      <c r="Q218" s="4"/>
      <c r="BB218" s="3"/>
      <c r="BC218" s="2"/>
      <c r="BV218" s="1"/>
    </row>
    <row r="219" spans="17:74" ht="13.8" x14ac:dyDescent="0.3">
      <c r="Q219" s="4"/>
      <c r="BB219" s="3"/>
      <c r="BC219" s="2"/>
      <c r="BV219" s="1"/>
    </row>
    <row r="220" spans="17:74" ht="13.8" x14ac:dyDescent="0.3">
      <c r="Q220" s="4"/>
      <c r="BB220" s="3"/>
      <c r="BC220" s="2"/>
      <c r="BV220" s="1"/>
    </row>
    <row r="221" spans="17:74" ht="13.8" x14ac:dyDescent="0.3">
      <c r="Q221" s="4"/>
      <c r="BB221" s="3"/>
      <c r="BC221" s="2"/>
      <c r="BV221" s="1"/>
    </row>
    <row r="222" spans="17:74" ht="13.8" x14ac:dyDescent="0.3">
      <c r="Q222" s="4"/>
      <c r="BB222" s="3"/>
      <c r="BC222" s="2"/>
      <c r="BV222" s="1"/>
    </row>
    <row r="223" spans="17:74" ht="13.8" x14ac:dyDescent="0.3">
      <c r="Q223" s="4"/>
      <c r="BB223" s="3"/>
      <c r="BC223" s="2"/>
      <c r="BV223" s="1"/>
    </row>
    <row r="224" spans="17:74" ht="13.8" x14ac:dyDescent="0.3">
      <c r="Q224" s="4"/>
      <c r="BB224" s="3"/>
      <c r="BC224" s="2"/>
      <c r="BV224" s="1"/>
    </row>
    <row r="225" spans="17:74" ht="13.8" x14ac:dyDescent="0.3">
      <c r="Q225" s="4"/>
      <c r="BB225" s="3"/>
      <c r="BC225" s="2"/>
      <c r="BV225" s="1"/>
    </row>
    <row r="226" spans="17:74" ht="13.8" x14ac:dyDescent="0.3">
      <c r="Q226" s="4"/>
      <c r="BB226" s="3"/>
      <c r="BC226" s="2"/>
      <c r="BV226" s="1"/>
    </row>
    <row r="227" spans="17:74" ht="13.8" x14ac:dyDescent="0.3">
      <c r="Q227" s="4"/>
      <c r="BB227" s="3"/>
      <c r="BC227" s="2"/>
      <c r="BV227" s="1"/>
    </row>
    <row r="228" spans="17:74" ht="13.8" x14ac:dyDescent="0.3">
      <c r="Q228" s="4"/>
      <c r="BB228" s="3"/>
      <c r="BC228" s="2"/>
      <c r="BV228" s="1"/>
    </row>
    <row r="229" spans="17:74" ht="13.8" x14ac:dyDescent="0.3">
      <c r="Q229" s="4"/>
      <c r="BB229" s="3"/>
      <c r="BC229" s="2"/>
      <c r="BV229" s="1"/>
    </row>
    <row r="230" spans="17:74" ht="13.8" x14ac:dyDescent="0.3">
      <c r="Q230" s="4"/>
      <c r="BB230" s="3"/>
      <c r="BC230" s="2"/>
      <c r="BV230" s="1"/>
    </row>
    <row r="231" spans="17:74" ht="13.8" x14ac:dyDescent="0.3">
      <c r="Q231" s="4"/>
      <c r="BB231" s="3"/>
      <c r="BC231" s="2"/>
      <c r="BV231" s="1"/>
    </row>
    <row r="232" spans="17:74" ht="13.8" x14ac:dyDescent="0.3">
      <c r="Q232" s="4"/>
      <c r="BB232" s="3"/>
      <c r="BC232" s="2"/>
      <c r="BV232" s="1"/>
    </row>
    <row r="233" spans="17:74" ht="13.8" x14ac:dyDescent="0.3">
      <c r="Q233" s="4"/>
      <c r="BB233" s="3"/>
      <c r="BC233" s="2"/>
      <c r="BV233" s="1"/>
    </row>
    <row r="234" spans="17:74" ht="13.8" x14ac:dyDescent="0.3">
      <c r="Q234" s="4"/>
      <c r="BB234" s="3"/>
      <c r="BC234" s="2"/>
      <c r="BV234" s="1"/>
    </row>
    <row r="235" spans="17:74" ht="13.8" x14ac:dyDescent="0.3">
      <c r="Q235" s="4"/>
      <c r="BB235" s="3"/>
      <c r="BC235" s="2"/>
      <c r="BV235" s="1"/>
    </row>
    <row r="236" spans="17:74" ht="13.8" x14ac:dyDescent="0.3">
      <c r="Q236" s="4"/>
      <c r="BB236" s="3"/>
      <c r="BC236" s="2"/>
      <c r="BV236" s="1"/>
    </row>
    <row r="237" spans="17:74" ht="13.8" x14ac:dyDescent="0.3">
      <c r="Q237" s="4"/>
      <c r="BB237" s="3"/>
      <c r="BC237" s="2"/>
      <c r="BV237" s="1"/>
    </row>
    <row r="238" spans="17:74" ht="13.8" x14ac:dyDescent="0.3">
      <c r="Q238" s="4"/>
      <c r="BB238" s="3"/>
      <c r="BC238" s="2"/>
      <c r="BV238" s="1"/>
    </row>
    <row r="239" spans="17:74" ht="13.8" x14ac:dyDescent="0.3">
      <c r="Q239" s="4"/>
      <c r="BB239" s="3"/>
      <c r="BC239" s="2"/>
      <c r="BV239" s="1"/>
    </row>
    <row r="240" spans="17:74" ht="13.8" x14ac:dyDescent="0.3">
      <c r="Q240" s="4"/>
      <c r="BB240" s="3"/>
      <c r="BC240" s="2"/>
      <c r="BV240" s="1"/>
    </row>
    <row r="241" spans="17:74" ht="13.8" x14ac:dyDescent="0.3">
      <c r="Q241" s="4"/>
      <c r="BB241" s="3"/>
      <c r="BC241" s="2"/>
      <c r="BV241" s="1"/>
    </row>
    <row r="242" spans="17:74" ht="13.8" x14ac:dyDescent="0.3">
      <c r="Q242" s="4"/>
      <c r="BB242" s="3"/>
      <c r="BC242" s="2"/>
      <c r="BV242" s="1"/>
    </row>
    <row r="243" spans="17:74" ht="13.8" x14ac:dyDescent="0.3">
      <c r="Q243" s="4"/>
      <c r="BB243" s="3"/>
      <c r="BC243" s="2"/>
      <c r="BV243" s="1"/>
    </row>
    <row r="244" spans="17:74" ht="13.8" x14ac:dyDescent="0.3">
      <c r="Q244" s="4"/>
      <c r="BB244" s="3"/>
      <c r="BC244" s="2"/>
      <c r="BV244" s="1"/>
    </row>
    <row r="245" spans="17:74" ht="13.8" x14ac:dyDescent="0.3">
      <c r="Q245" s="4"/>
      <c r="BB245" s="3"/>
      <c r="BC245" s="2"/>
      <c r="BV245" s="1"/>
    </row>
    <row r="246" spans="17:74" ht="13.8" x14ac:dyDescent="0.3">
      <c r="Q246" s="4"/>
      <c r="BB246" s="3"/>
      <c r="BC246" s="2"/>
      <c r="BV246" s="1"/>
    </row>
    <row r="247" spans="17:74" ht="13.8" x14ac:dyDescent="0.3">
      <c r="Q247" s="4"/>
      <c r="BB247" s="3"/>
      <c r="BC247" s="2"/>
      <c r="BV247" s="1"/>
    </row>
    <row r="248" spans="17:74" ht="13.8" x14ac:dyDescent="0.3">
      <c r="Q248" s="4"/>
      <c r="BB248" s="3"/>
      <c r="BC248" s="2"/>
      <c r="BV248" s="1"/>
    </row>
    <row r="249" spans="17:74" ht="13.8" x14ac:dyDescent="0.3">
      <c r="Q249" s="4"/>
      <c r="BB249" s="3"/>
      <c r="BC249" s="2"/>
      <c r="BV249" s="1"/>
    </row>
    <row r="250" spans="17:74" ht="13.8" x14ac:dyDescent="0.3">
      <c r="Q250" s="4"/>
      <c r="BB250" s="3"/>
      <c r="BC250" s="2"/>
      <c r="BV250" s="1"/>
    </row>
    <row r="251" spans="17:74" ht="13.8" x14ac:dyDescent="0.3">
      <c r="Q251" s="4"/>
      <c r="BB251" s="3"/>
      <c r="BC251" s="2"/>
      <c r="BV251" s="1"/>
    </row>
    <row r="252" spans="17:74" ht="13.8" x14ac:dyDescent="0.3">
      <c r="Q252" s="4"/>
      <c r="BB252" s="3"/>
      <c r="BC252" s="2"/>
      <c r="BV252" s="1"/>
    </row>
    <row r="253" spans="17:74" ht="13.8" x14ac:dyDescent="0.3">
      <c r="Q253" s="4"/>
      <c r="BB253" s="3"/>
      <c r="BC253" s="2"/>
      <c r="BV253" s="1"/>
    </row>
    <row r="254" spans="17:74" ht="13.8" x14ac:dyDescent="0.3">
      <c r="Q254" s="4"/>
      <c r="BB254" s="3"/>
      <c r="BC254" s="2"/>
      <c r="BV254" s="1"/>
    </row>
    <row r="255" spans="17:74" ht="13.8" x14ac:dyDescent="0.3">
      <c r="Q255" s="4"/>
      <c r="BB255" s="3"/>
      <c r="BC255" s="2"/>
      <c r="BV255" s="1"/>
    </row>
    <row r="256" spans="17:74" ht="13.8" x14ac:dyDescent="0.3">
      <c r="Q256" s="4"/>
      <c r="BB256" s="3"/>
      <c r="BC256" s="2"/>
      <c r="BV256" s="1"/>
    </row>
    <row r="257" spans="17:74" ht="13.8" x14ac:dyDescent="0.3">
      <c r="Q257" s="4"/>
      <c r="BB257" s="3"/>
      <c r="BC257" s="2"/>
      <c r="BV257" s="1"/>
    </row>
    <row r="258" spans="17:74" ht="13.8" x14ac:dyDescent="0.3">
      <c r="Q258" s="4"/>
      <c r="BB258" s="3"/>
      <c r="BC258" s="2"/>
      <c r="BV258" s="1"/>
    </row>
    <row r="259" spans="17:74" ht="13.8" x14ac:dyDescent="0.3">
      <c r="Q259" s="4"/>
      <c r="BB259" s="3"/>
      <c r="BC259" s="2"/>
      <c r="BV259" s="1"/>
    </row>
    <row r="260" spans="17:74" ht="13.8" x14ac:dyDescent="0.3">
      <c r="Q260" s="4"/>
      <c r="BB260" s="3"/>
      <c r="BC260" s="2"/>
      <c r="BV260" s="1"/>
    </row>
    <row r="261" spans="17:74" ht="13.8" x14ac:dyDescent="0.3">
      <c r="Q261" s="4"/>
      <c r="BB261" s="3"/>
      <c r="BC261" s="2"/>
      <c r="BV261" s="1"/>
    </row>
    <row r="262" spans="17:74" ht="13.8" x14ac:dyDescent="0.3">
      <c r="Q262" s="4"/>
      <c r="BB262" s="3"/>
      <c r="BC262" s="2"/>
      <c r="BV262" s="1"/>
    </row>
    <row r="263" spans="17:74" ht="13.8" x14ac:dyDescent="0.3">
      <c r="Q263" s="4"/>
      <c r="BB263" s="3"/>
      <c r="BC263" s="2"/>
      <c r="BV263" s="1"/>
    </row>
    <row r="264" spans="17:74" ht="13.8" x14ac:dyDescent="0.3">
      <c r="Q264" s="4"/>
      <c r="BB264" s="3"/>
      <c r="BC264" s="2"/>
      <c r="BV264" s="1"/>
    </row>
    <row r="265" spans="17:74" ht="13.8" x14ac:dyDescent="0.3">
      <c r="Q265" s="4"/>
      <c r="BB265" s="3"/>
      <c r="BC265" s="2"/>
      <c r="BV265" s="1"/>
    </row>
    <row r="266" spans="17:74" ht="13.8" x14ac:dyDescent="0.3">
      <c r="Q266" s="4"/>
      <c r="BB266" s="3"/>
      <c r="BC266" s="2"/>
      <c r="BV266" s="1"/>
    </row>
    <row r="267" spans="17:74" ht="13.8" x14ac:dyDescent="0.3">
      <c r="Q267" s="4"/>
      <c r="BB267" s="3"/>
      <c r="BC267" s="2"/>
      <c r="BV267" s="1"/>
    </row>
    <row r="268" spans="17:74" ht="13.8" x14ac:dyDescent="0.3">
      <c r="Q268" s="4"/>
      <c r="BB268" s="3"/>
      <c r="BC268" s="2"/>
      <c r="BV268" s="1"/>
    </row>
    <row r="269" spans="17:74" ht="13.8" x14ac:dyDescent="0.3">
      <c r="Q269" s="4"/>
      <c r="BB269" s="3"/>
      <c r="BC269" s="2"/>
      <c r="BV269" s="1"/>
    </row>
    <row r="270" spans="17:74" ht="13.8" x14ac:dyDescent="0.3">
      <c r="Q270" s="4"/>
      <c r="BB270" s="3"/>
      <c r="BC270" s="2"/>
      <c r="BV270" s="1"/>
    </row>
    <row r="271" spans="17:74" ht="13.8" x14ac:dyDescent="0.3">
      <c r="Q271" s="4"/>
      <c r="BB271" s="3"/>
      <c r="BC271" s="2"/>
      <c r="BV271" s="1"/>
    </row>
    <row r="272" spans="17:74" ht="13.8" x14ac:dyDescent="0.3">
      <c r="Q272" s="4"/>
      <c r="BB272" s="3"/>
      <c r="BC272" s="2"/>
      <c r="BV272" s="1"/>
    </row>
    <row r="273" spans="17:74" ht="13.8" x14ac:dyDescent="0.3">
      <c r="Q273" s="4"/>
      <c r="BB273" s="3"/>
      <c r="BC273" s="2"/>
      <c r="BV273" s="1"/>
    </row>
    <row r="274" spans="17:74" ht="13.8" x14ac:dyDescent="0.3">
      <c r="Q274" s="4"/>
      <c r="BB274" s="3"/>
      <c r="BC274" s="2"/>
      <c r="BV274" s="1"/>
    </row>
    <row r="275" spans="17:74" ht="13.8" x14ac:dyDescent="0.3">
      <c r="Q275" s="4"/>
      <c r="BB275" s="3"/>
      <c r="BC275" s="2"/>
      <c r="BV275" s="1"/>
    </row>
    <row r="276" spans="17:74" ht="13.8" x14ac:dyDescent="0.3">
      <c r="Q276" s="4"/>
      <c r="BB276" s="3"/>
      <c r="BC276" s="2"/>
      <c r="BV276" s="1"/>
    </row>
    <row r="277" spans="17:74" ht="13.8" x14ac:dyDescent="0.3">
      <c r="Q277" s="4"/>
      <c r="BB277" s="3"/>
      <c r="BC277" s="2"/>
      <c r="BV277" s="1"/>
    </row>
    <row r="278" spans="17:74" ht="13.8" x14ac:dyDescent="0.3">
      <c r="Q278" s="4"/>
      <c r="BB278" s="3"/>
      <c r="BC278" s="2"/>
      <c r="BV278" s="1"/>
    </row>
    <row r="279" spans="17:74" ht="13.8" x14ac:dyDescent="0.3">
      <c r="Q279" s="4"/>
      <c r="BB279" s="3"/>
      <c r="BC279" s="2"/>
      <c r="BV279" s="1"/>
    </row>
    <row r="280" spans="17:74" ht="13.8" x14ac:dyDescent="0.3">
      <c r="Q280" s="4"/>
      <c r="BB280" s="3"/>
      <c r="BC280" s="2"/>
      <c r="BV280" s="1"/>
    </row>
    <row r="281" spans="17:74" ht="13.8" x14ac:dyDescent="0.3">
      <c r="Q281" s="4"/>
      <c r="BB281" s="3"/>
      <c r="BC281" s="2"/>
      <c r="BV281" s="1"/>
    </row>
    <row r="282" spans="17:74" ht="13.8" x14ac:dyDescent="0.3">
      <c r="Q282" s="4"/>
      <c r="BB282" s="3"/>
      <c r="BC282" s="2"/>
      <c r="BV282" s="1"/>
    </row>
    <row r="283" spans="17:74" ht="13.8" x14ac:dyDescent="0.3">
      <c r="Q283" s="4"/>
      <c r="BB283" s="3"/>
      <c r="BC283" s="2"/>
      <c r="BV283" s="1"/>
    </row>
    <row r="284" spans="17:74" ht="13.8" x14ac:dyDescent="0.3">
      <c r="Q284" s="4"/>
      <c r="BB284" s="3"/>
      <c r="BC284" s="2"/>
      <c r="BV284" s="1"/>
    </row>
    <row r="285" spans="17:74" ht="13.8" x14ac:dyDescent="0.3">
      <c r="Q285" s="4"/>
      <c r="BB285" s="3"/>
      <c r="BC285" s="2"/>
      <c r="BV285" s="1"/>
    </row>
    <row r="286" spans="17:74" ht="13.8" x14ac:dyDescent="0.3">
      <c r="Q286" s="4"/>
      <c r="BB286" s="3"/>
      <c r="BC286" s="2"/>
      <c r="BV286" s="1"/>
    </row>
    <row r="287" spans="17:74" ht="13.8" x14ac:dyDescent="0.3">
      <c r="Q287" s="4"/>
      <c r="BB287" s="3"/>
      <c r="BC287" s="2"/>
      <c r="BV287" s="1"/>
    </row>
    <row r="288" spans="17:74" ht="13.8" x14ac:dyDescent="0.3">
      <c r="Q288" s="4"/>
      <c r="BB288" s="3"/>
      <c r="BC288" s="2"/>
      <c r="BV288" s="1"/>
    </row>
    <row r="289" spans="17:74" ht="13.8" x14ac:dyDescent="0.3">
      <c r="Q289" s="4"/>
      <c r="BB289" s="3"/>
      <c r="BC289" s="2"/>
      <c r="BV289" s="1"/>
    </row>
    <row r="290" spans="17:74" ht="13.8" x14ac:dyDescent="0.3">
      <c r="Q290" s="4"/>
      <c r="BB290" s="3"/>
      <c r="BC290" s="2"/>
      <c r="BV290" s="1"/>
    </row>
    <row r="291" spans="17:74" ht="13.8" x14ac:dyDescent="0.3">
      <c r="Q291" s="4"/>
      <c r="BB291" s="3"/>
      <c r="BC291" s="2"/>
      <c r="BV291" s="1"/>
    </row>
    <row r="292" spans="17:74" ht="13.8" x14ac:dyDescent="0.3">
      <c r="Q292" s="4"/>
      <c r="BB292" s="3"/>
      <c r="BC292" s="2"/>
      <c r="BV292" s="1"/>
    </row>
    <row r="293" spans="17:74" ht="13.8" x14ac:dyDescent="0.3">
      <c r="Q293" s="4"/>
      <c r="BB293" s="3"/>
      <c r="BC293" s="2"/>
      <c r="BV293" s="1"/>
    </row>
    <row r="294" spans="17:74" ht="13.8" x14ac:dyDescent="0.3">
      <c r="Q294" s="4"/>
      <c r="BB294" s="3"/>
      <c r="BC294" s="2"/>
      <c r="BV294" s="1"/>
    </row>
    <row r="295" spans="17:74" ht="13.8" x14ac:dyDescent="0.3">
      <c r="Q295" s="4"/>
      <c r="BB295" s="3"/>
      <c r="BC295" s="2"/>
      <c r="BV295" s="1"/>
    </row>
    <row r="296" spans="17:74" ht="13.8" x14ac:dyDescent="0.3">
      <c r="Q296" s="4"/>
      <c r="BB296" s="3"/>
      <c r="BC296" s="2"/>
      <c r="BV296" s="1"/>
    </row>
    <row r="297" spans="17:74" ht="13.8" x14ac:dyDescent="0.3">
      <c r="Q297" s="4"/>
      <c r="BB297" s="3"/>
      <c r="BC297" s="2"/>
      <c r="BV297" s="1"/>
    </row>
    <row r="298" spans="17:74" ht="13.8" x14ac:dyDescent="0.3">
      <c r="Q298" s="4"/>
      <c r="BB298" s="3"/>
      <c r="BC298" s="2"/>
      <c r="BV298" s="1"/>
    </row>
    <row r="299" spans="17:74" ht="13.8" x14ac:dyDescent="0.3">
      <c r="Q299" s="4"/>
      <c r="BB299" s="3"/>
      <c r="BC299" s="2"/>
      <c r="BV299" s="1"/>
    </row>
    <row r="300" spans="17:74" ht="13.8" x14ac:dyDescent="0.3">
      <c r="Q300" s="4"/>
      <c r="BB300" s="3"/>
      <c r="BC300" s="2"/>
      <c r="BV300" s="1"/>
    </row>
    <row r="301" spans="17:74" ht="13.8" x14ac:dyDescent="0.3">
      <c r="Q301" s="4"/>
      <c r="BB301" s="3"/>
      <c r="BC301" s="2"/>
      <c r="BV301" s="1"/>
    </row>
    <row r="302" spans="17:74" ht="13.8" x14ac:dyDescent="0.3">
      <c r="Q302" s="4"/>
      <c r="BB302" s="3"/>
      <c r="BC302" s="2"/>
      <c r="BV302" s="1"/>
    </row>
    <row r="303" spans="17:74" ht="13.8" x14ac:dyDescent="0.3">
      <c r="Q303" s="4"/>
      <c r="BB303" s="3"/>
      <c r="BC303" s="2"/>
      <c r="BV303" s="1"/>
    </row>
    <row r="304" spans="17:74" ht="13.8" x14ac:dyDescent="0.3">
      <c r="Q304" s="4"/>
      <c r="BB304" s="3"/>
      <c r="BC304" s="2"/>
      <c r="BV304" s="1"/>
    </row>
    <row r="305" spans="17:74" ht="13.8" x14ac:dyDescent="0.3">
      <c r="Q305" s="4"/>
      <c r="BB305" s="3"/>
      <c r="BC305" s="2"/>
      <c r="BV305" s="1"/>
    </row>
    <row r="306" spans="17:74" ht="13.8" x14ac:dyDescent="0.3">
      <c r="Q306" s="4"/>
      <c r="BB306" s="3"/>
      <c r="BC306" s="2"/>
      <c r="BV306" s="1"/>
    </row>
    <row r="307" spans="17:74" ht="13.8" x14ac:dyDescent="0.3">
      <c r="Q307" s="4"/>
      <c r="BB307" s="3"/>
      <c r="BC307" s="2"/>
      <c r="BV307" s="1"/>
    </row>
    <row r="308" spans="17:74" ht="13.8" x14ac:dyDescent="0.3">
      <c r="Q308" s="4"/>
      <c r="BB308" s="3"/>
      <c r="BC308" s="2"/>
      <c r="BV308" s="1"/>
    </row>
    <row r="309" spans="17:74" ht="13.8" x14ac:dyDescent="0.3">
      <c r="Q309" s="4"/>
      <c r="BB309" s="3"/>
      <c r="BC309" s="2"/>
      <c r="BV309" s="1"/>
    </row>
    <row r="310" spans="17:74" ht="13.8" x14ac:dyDescent="0.3">
      <c r="Q310" s="4"/>
      <c r="BB310" s="3"/>
      <c r="BC310" s="2"/>
      <c r="BV310" s="1"/>
    </row>
    <row r="311" spans="17:74" ht="13.8" x14ac:dyDescent="0.3">
      <c r="Q311" s="4"/>
      <c r="BB311" s="3"/>
      <c r="BC311" s="2"/>
      <c r="BV311" s="1"/>
    </row>
    <row r="312" spans="17:74" ht="13.8" x14ac:dyDescent="0.3">
      <c r="Q312" s="4"/>
      <c r="BB312" s="3"/>
      <c r="BC312" s="2"/>
      <c r="BV312" s="1"/>
    </row>
    <row r="313" spans="17:74" ht="13.8" x14ac:dyDescent="0.3">
      <c r="Q313" s="4"/>
      <c r="BB313" s="3"/>
      <c r="BC313" s="2"/>
      <c r="BV313" s="1"/>
    </row>
    <row r="314" spans="17:74" ht="13.8" x14ac:dyDescent="0.3">
      <c r="Q314" s="4"/>
      <c r="BB314" s="3"/>
      <c r="BC314" s="2"/>
      <c r="BV314" s="1"/>
    </row>
    <row r="315" spans="17:74" ht="13.8" x14ac:dyDescent="0.3">
      <c r="Q315" s="4"/>
      <c r="BB315" s="3"/>
      <c r="BC315" s="2"/>
      <c r="BV315" s="1"/>
    </row>
    <row r="316" spans="17:74" ht="13.8" x14ac:dyDescent="0.3">
      <c r="Q316" s="4"/>
      <c r="BB316" s="3"/>
      <c r="BC316" s="2"/>
      <c r="BV316" s="1"/>
    </row>
    <row r="317" spans="17:74" ht="13.8" x14ac:dyDescent="0.3">
      <c r="Q317" s="4"/>
      <c r="BB317" s="3"/>
      <c r="BC317" s="2"/>
      <c r="BV317" s="1"/>
    </row>
    <row r="318" spans="17:74" ht="13.8" x14ac:dyDescent="0.3">
      <c r="Q318" s="4"/>
      <c r="BB318" s="3"/>
      <c r="BC318" s="2"/>
      <c r="BV318" s="1"/>
    </row>
    <row r="319" spans="17:74" ht="13.8" x14ac:dyDescent="0.3">
      <c r="Q319" s="4"/>
      <c r="BB319" s="3"/>
      <c r="BC319" s="2"/>
      <c r="BV319" s="1"/>
    </row>
    <row r="320" spans="17:74" ht="13.8" x14ac:dyDescent="0.3">
      <c r="Q320" s="4"/>
      <c r="BB320" s="3"/>
      <c r="BC320" s="2"/>
      <c r="BV320" s="1"/>
    </row>
    <row r="321" spans="17:74" ht="13.8" x14ac:dyDescent="0.3">
      <c r="Q321" s="4"/>
      <c r="BB321" s="3"/>
      <c r="BC321" s="2"/>
      <c r="BV321" s="1"/>
    </row>
    <row r="322" spans="17:74" ht="13.8" x14ac:dyDescent="0.3">
      <c r="Q322" s="4"/>
      <c r="BB322" s="3"/>
      <c r="BC322" s="2"/>
      <c r="BV322" s="1"/>
    </row>
    <row r="323" spans="17:74" ht="13.8" x14ac:dyDescent="0.3">
      <c r="Q323" s="4"/>
      <c r="BB323" s="3"/>
      <c r="BC323" s="2"/>
      <c r="BV323" s="1"/>
    </row>
    <row r="324" spans="17:74" ht="13.8" x14ac:dyDescent="0.3">
      <c r="Q324" s="4"/>
      <c r="BB324" s="3"/>
      <c r="BC324" s="2"/>
      <c r="BV324" s="1"/>
    </row>
    <row r="325" spans="17:74" ht="13.8" x14ac:dyDescent="0.3">
      <c r="Q325" s="4"/>
      <c r="BB325" s="3"/>
      <c r="BC325" s="2"/>
      <c r="BV325" s="1"/>
    </row>
    <row r="326" spans="17:74" ht="13.8" x14ac:dyDescent="0.3">
      <c r="Q326" s="4"/>
      <c r="BB326" s="3"/>
      <c r="BC326" s="2"/>
      <c r="BV326" s="1"/>
    </row>
    <row r="327" spans="17:74" ht="13.8" x14ac:dyDescent="0.3">
      <c r="Q327" s="4"/>
      <c r="BB327" s="3"/>
      <c r="BC327" s="2"/>
      <c r="BV327" s="1"/>
    </row>
    <row r="328" spans="17:74" ht="13.8" x14ac:dyDescent="0.3">
      <c r="Q328" s="4"/>
      <c r="BB328" s="3"/>
      <c r="BC328" s="2"/>
      <c r="BV328" s="1"/>
    </row>
    <row r="329" spans="17:74" ht="13.8" x14ac:dyDescent="0.3">
      <c r="Q329" s="4"/>
      <c r="BB329" s="3"/>
      <c r="BC329" s="2"/>
      <c r="BV329" s="1"/>
    </row>
    <row r="330" spans="17:74" ht="13.8" x14ac:dyDescent="0.3">
      <c r="Q330" s="4"/>
      <c r="BB330" s="3"/>
      <c r="BC330" s="2"/>
      <c r="BV330" s="1"/>
    </row>
    <row r="331" spans="17:74" ht="13.8" x14ac:dyDescent="0.3">
      <c r="Q331" s="4"/>
      <c r="BB331" s="3"/>
      <c r="BC331" s="2"/>
      <c r="BV331" s="1"/>
    </row>
    <row r="332" spans="17:74" ht="13.8" x14ac:dyDescent="0.3">
      <c r="Q332" s="4"/>
      <c r="BB332" s="3"/>
      <c r="BC332" s="2"/>
      <c r="BV332" s="1"/>
    </row>
    <row r="333" spans="17:74" ht="13.8" x14ac:dyDescent="0.3">
      <c r="Q333" s="4"/>
      <c r="BB333" s="3"/>
      <c r="BC333" s="2"/>
      <c r="BV333" s="1"/>
    </row>
    <row r="334" spans="17:74" ht="13.8" x14ac:dyDescent="0.3">
      <c r="Q334" s="4"/>
      <c r="BB334" s="3"/>
      <c r="BC334" s="2"/>
      <c r="BV334" s="1"/>
    </row>
    <row r="335" spans="17:74" ht="13.8" x14ac:dyDescent="0.3">
      <c r="Q335" s="4"/>
      <c r="BB335" s="3"/>
      <c r="BC335" s="2"/>
      <c r="BV335" s="1"/>
    </row>
    <row r="336" spans="17:74" ht="13.8" x14ac:dyDescent="0.3">
      <c r="Q336" s="4"/>
      <c r="BB336" s="3"/>
      <c r="BC336" s="2"/>
      <c r="BV336" s="1"/>
    </row>
    <row r="337" spans="17:74" ht="13.8" x14ac:dyDescent="0.3">
      <c r="Q337" s="4"/>
      <c r="BB337" s="3"/>
      <c r="BC337" s="2"/>
      <c r="BV337" s="1"/>
    </row>
    <row r="338" spans="17:74" ht="13.8" x14ac:dyDescent="0.3">
      <c r="Q338" s="4"/>
      <c r="BB338" s="3"/>
      <c r="BC338" s="2"/>
      <c r="BV338" s="1"/>
    </row>
    <row r="339" spans="17:74" ht="13.8" x14ac:dyDescent="0.3">
      <c r="Q339" s="4"/>
      <c r="BB339" s="3"/>
      <c r="BC339" s="2"/>
      <c r="BV339" s="1"/>
    </row>
    <row r="340" spans="17:74" ht="13.8" x14ac:dyDescent="0.3">
      <c r="Q340" s="4"/>
      <c r="BB340" s="3"/>
      <c r="BC340" s="2"/>
      <c r="BV340" s="1"/>
    </row>
    <row r="341" spans="17:74" ht="13.8" x14ac:dyDescent="0.3">
      <c r="Q341" s="4"/>
      <c r="BB341" s="3"/>
      <c r="BC341" s="2"/>
      <c r="BV341" s="1"/>
    </row>
    <row r="342" spans="17:74" ht="13.8" x14ac:dyDescent="0.3">
      <c r="Q342" s="4"/>
      <c r="BB342" s="3"/>
      <c r="BC342" s="2"/>
      <c r="BV342" s="1"/>
    </row>
    <row r="343" spans="17:74" ht="13.8" x14ac:dyDescent="0.3">
      <c r="Q343" s="4"/>
      <c r="BB343" s="3"/>
      <c r="BC343" s="2"/>
      <c r="BV343" s="1"/>
    </row>
    <row r="344" spans="17:74" ht="13.8" x14ac:dyDescent="0.3">
      <c r="Q344" s="4"/>
      <c r="BB344" s="3"/>
      <c r="BC344" s="2"/>
      <c r="BV344" s="1"/>
    </row>
    <row r="345" spans="17:74" ht="13.8" x14ac:dyDescent="0.3">
      <c r="Q345" s="4"/>
      <c r="BB345" s="3"/>
      <c r="BC345" s="2"/>
      <c r="BV345" s="1"/>
    </row>
    <row r="346" spans="17:74" ht="13.8" x14ac:dyDescent="0.3">
      <c r="Q346" s="4"/>
      <c r="BB346" s="3"/>
      <c r="BC346" s="2"/>
      <c r="BV346" s="1"/>
    </row>
    <row r="347" spans="17:74" ht="13.8" x14ac:dyDescent="0.3">
      <c r="Q347" s="4"/>
      <c r="BB347" s="3"/>
      <c r="BC347" s="2"/>
      <c r="BV347" s="1"/>
    </row>
    <row r="348" spans="17:74" ht="13.8" x14ac:dyDescent="0.3">
      <c r="Q348" s="4"/>
      <c r="BB348" s="3"/>
      <c r="BC348" s="2"/>
      <c r="BV348" s="1"/>
    </row>
    <row r="349" spans="17:74" ht="13.8" x14ac:dyDescent="0.3">
      <c r="Q349" s="4"/>
      <c r="BB349" s="3"/>
      <c r="BC349" s="2"/>
      <c r="BV349" s="1"/>
    </row>
    <row r="350" spans="17:74" ht="13.8" x14ac:dyDescent="0.3">
      <c r="Q350" s="4"/>
      <c r="BB350" s="3"/>
      <c r="BC350" s="2"/>
      <c r="BV350" s="1"/>
    </row>
    <row r="351" spans="17:74" ht="13.8" x14ac:dyDescent="0.3">
      <c r="Q351" s="4"/>
      <c r="BB351" s="3"/>
      <c r="BC351" s="2"/>
      <c r="BV351" s="1"/>
    </row>
    <row r="352" spans="17:74" ht="13.8" x14ac:dyDescent="0.3">
      <c r="Q352" s="4"/>
      <c r="BB352" s="3"/>
      <c r="BC352" s="2"/>
      <c r="BV352" s="1"/>
    </row>
    <row r="353" spans="17:74" ht="13.8" x14ac:dyDescent="0.3">
      <c r="Q353" s="4"/>
      <c r="BB353" s="3"/>
      <c r="BC353" s="2"/>
      <c r="BV353" s="1"/>
    </row>
    <row r="354" spans="17:74" ht="13.8" x14ac:dyDescent="0.3">
      <c r="Q354" s="4"/>
      <c r="BB354" s="3"/>
      <c r="BC354" s="2"/>
      <c r="BV354" s="1"/>
    </row>
    <row r="355" spans="17:74" ht="13.8" x14ac:dyDescent="0.3">
      <c r="Q355" s="4"/>
      <c r="BB355" s="3"/>
      <c r="BC355" s="2"/>
      <c r="BV355" s="1"/>
    </row>
    <row r="356" spans="17:74" ht="13.8" x14ac:dyDescent="0.3">
      <c r="Q356" s="4"/>
      <c r="BB356" s="3"/>
      <c r="BC356" s="2"/>
      <c r="BV356" s="1"/>
    </row>
    <row r="357" spans="17:74" ht="13.8" x14ac:dyDescent="0.3">
      <c r="Q357" s="4"/>
      <c r="BB357" s="3"/>
      <c r="BC357" s="2"/>
      <c r="BV357" s="1"/>
    </row>
    <row r="358" spans="17:74" ht="13.8" x14ac:dyDescent="0.3">
      <c r="Q358" s="4"/>
      <c r="BB358" s="3"/>
      <c r="BC358" s="2"/>
      <c r="BV358" s="1"/>
    </row>
    <row r="359" spans="17:74" ht="13.8" x14ac:dyDescent="0.3">
      <c r="Q359" s="4"/>
      <c r="BB359" s="3"/>
      <c r="BC359" s="2"/>
      <c r="BV359" s="1"/>
    </row>
    <row r="360" spans="17:74" ht="13.8" x14ac:dyDescent="0.3">
      <c r="Q360" s="4"/>
      <c r="BB360" s="3"/>
      <c r="BC360" s="2"/>
      <c r="BV360" s="1"/>
    </row>
    <row r="361" spans="17:74" ht="13.8" x14ac:dyDescent="0.3">
      <c r="Q361" s="4"/>
      <c r="BB361" s="3"/>
      <c r="BC361" s="2"/>
      <c r="BV361" s="1"/>
    </row>
    <row r="362" spans="17:74" ht="13.8" x14ac:dyDescent="0.3">
      <c r="Q362" s="4"/>
      <c r="BB362" s="3"/>
      <c r="BC362" s="2"/>
      <c r="BV362" s="1"/>
    </row>
    <row r="363" spans="17:74" ht="13.8" x14ac:dyDescent="0.3">
      <c r="Q363" s="4"/>
      <c r="BB363" s="3"/>
      <c r="BC363" s="2"/>
      <c r="BV363" s="1"/>
    </row>
    <row r="364" spans="17:74" ht="13.8" x14ac:dyDescent="0.3">
      <c r="Q364" s="4"/>
      <c r="BB364" s="3"/>
      <c r="BC364" s="2"/>
      <c r="BV364" s="1"/>
    </row>
    <row r="365" spans="17:74" ht="13.8" x14ac:dyDescent="0.3">
      <c r="Q365" s="4"/>
      <c r="BB365" s="3"/>
      <c r="BC365" s="2"/>
      <c r="BV365" s="1"/>
    </row>
    <row r="366" spans="17:74" ht="13.8" x14ac:dyDescent="0.3">
      <c r="Q366" s="4"/>
      <c r="BB366" s="3"/>
      <c r="BC366" s="2"/>
      <c r="BV366" s="1"/>
    </row>
    <row r="367" spans="17:74" ht="13.8" x14ac:dyDescent="0.3">
      <c r="Q367" s="4"/>
      <c r="BB367" s="3"/>
      <c r="BC367" s="2"/>
      <c r="BV367" s="1"/>
    </row>
    <row r="368" spans="17:74" ht="13.8" x14ac:dyDescent="0.3">
      <c r="Q368" s="4"/>
      <c r="BB368" s="3"/>
      <c r="BC368" s="2"/>
      <c r="BV368" s="1"/>
    </row>
    <row r="369" spans="17:74" ht="13.8" x14ac:dyDescent="0.3">
      <c r="Q369" s="4"/>
      <c r="BB369" s="3"/>
      <c r="BC369" s="2"/>
      <c r="BV369" s="1"/>
    </row>
    <row r="370" spans="17:74" ht="13.8" x14ac:dyDescent="0.3">
      <c r="Q370" s="4"/>
      <c r="BB370" s="3"/>
      <c r="BC370" s="2"/>
      <c r="BV370" s="1"/>
    </row>
    <row r="371" spans="17:74" ht="13.8" x14ac:dyDescent="0.3">
      <c r="Q371" s="4"/>
      <c r="BB371" s="3"/>
      <c r="BC371" s="2"/>
      <c r="BV371" s="1"/>
    </row>
    <row r="372" spans="17:74" ht="13.8" x14ac:dyDescent="0.3">
      <c r="Q372" s="4"/>
      <c r="BB372" s="3"/>
      <c r="BC372" s="2"/>
      <c r="BV372" s="1"/>
    </row>
    <row r="373" spans="17:74" ht="13.8" x14ac:dyDescent="0.3">
      <c r="Q373" s="4"/>
      <c r="BB373" s="3"/>
      <c r="BC373" s="2"/>
      <c r="BV373" s="1"/>
    </row>
    <row r="374" spans="17:74" ht="13.8" x14ac:dyDescent="0.3">
      <c r="Q374" s="4"/>
      <c r="BB374" s="3"/>
      <c r="BC374" s="2"/>
      <c r="BV374" s="1"/>
    </row>
    <row r="375" spans="17:74" ht="13.8" x14ac:dyDescent="0.3">
      <c r="Q375" s="4"/>
      <c r="BB375" s="3"/>
      <c r="BC375" s="2"/>
      <c r="BV375" s="1"/>
    </row>
    <row r="376" spans="17:74" ht="13.8" x14ac:dyDescent="0.3">
      <c r="Q376" s="4"/>
      <c r="BB376" s="3"/>
      <c r="BC376" s="2"/>
      <c r="BV376" s="1"/>
    </row>
    <row r="377" spans="17:74" ht="13.8" x14ac:dyDescent="0.3">
      <c r="Q377" s="4"/>
      <c r="BB377" s="3"/>
      <c r="BC377" s="2"/>
      <c r="BV377" s="1"/>
    </row>
    <row r="378" spans="17:74" ht="13.8" x14ac:dyDescent="0.3">
      <c r="Q378" s="4"/>
      <c r="BB378" s="3"/>
      <c r="BC378" s="2"/>
      <c r="BV378" s="1"/>
    </row>
    <row r="379" spans="17:74" ht="13.8" x14ac:dyDescent="0.3">
      <c r="Q379" s="4"/>
      <c r="BB379" s="3"/>
      <c r="BC379" s="2"/>
      <c r="BV379" s="1"/>
    </row>
    <row r="380" spans="17:74" ht="13.8" x14ac:dyDescent="0.3">
      <c r="Q380" s="4"/>
      <c r="BB380" s="3"/>
      <c r="BC380" s="2"/>
      <c r="BV380" s="1"/>
    </row>
    <row r="381" spans="17:74" ht="13.8" x14ac:dyDescent="0.3">
      <c r="Q381" s="4"/>
      <c r="BB381" s="3"/>
      <c r="BC381" s="2"/>
      <c r="BV381" s="1"/>
    </row>
    <row r="382" spans="17:74" ht="13.8" x14ac:dyDescent="0.3">
      <c r="Q382" s="4"/>
      <c r="BB382" s="3"/>
      <c r="BC382" s="2"/>
      <c r="BV382" s="1"/>
    </row>
    <row r="383" spans="17:74" ht="13.8" x14ac:dyDescent="0.3">
      <c r="Q383" s="4"/>
      <c r="BB383" s="3"/>
      <c r="BC383" s="2"/>
      <c r="BV383" s="1"/>
    </row>
    <row r="384" spans="17:74" ht="13.8" x14ac:dyDescent="0.3">
      <c r="Q384" s="4"/>
      <c r="BB384" s="3"/>
      <c r="BC384" s="2"/>
      <c r="BV384" s="1"/>
    </row>
    <row r="385" spans="17:74" ht="13.8" x14ac:dyDescent="0.3">
      <c r="Q385" s="4"/>
      <c r="BB385" s="3"/>
      <c r="BC385" s="2"/>
      <c r="BV385" s="1"/>
    </row>
    <row r="386" spans="17:74" ht="13.8" x14ac:dyDescent="0.3">
      <c r="Q386" s="4"/>
      <c r="BB386" s="3"/>
      <c r="BC386" s="2"/>
      <c r="BV386" s="1"/>
    </row>
    <row r="387" spans="17:74" ht="13.8" x14ac:dyDescent="0.3">
      <c r="Q387" s="4"/>
      <c r="BB387" s="3"/>
      <c r="BC387" s="2"/>
      <c r="BV387" s="1"/>
    </row>
    <row r="388" spans="17:74" ht="13.8" x14ac:dyDescent="0.3">
      <c r="Q388" s="4"/>
      <c r="BB388" s="3"/>
      <c r="BC388" s="2"/>
      <c r="BV388" s="1"/>
    </row>
    <row r="389" spans="17:74" ht="13.8" x14ac:dyDescent="0.3">
      <c r="Q389" s="4"/>
      <c r="BB389" s="3"/>
      <c r="BC389" s="2"/>
      <c r="BV389" s="1"/>
    </row>
    <row r="390" spans="17:74" ht="13.8" x14ac:dyDescent="0.3">
      <c r="Q390" s="4"/>
      <c r="BB390" s="3"/>
      <c r="BC390" s="2"/>
      <c r="BV390" s="1"/>
    </row>
    <row r="391" spans="17:74" ht="13.8" x14ac:dyDescent="0.3">
      <c r="Q391" s="4"/>
      <c r="BB391" s="3"/>
      <c r="BC391" s="2"/>
      <c r="BV391" s="1"/>
    </row>
    <row r="392" spans="17:74" ht="13.8" x14ac:dyDescent="0.3">
      <c r="Q392" s="4"/>
      <c r="BB392" s="3"/>
      <c r="BC392" s="2"/>
      <c r="BV392" s="1"/>
    </row>
    <row r="393" spans="17:74" ht="13.8" x14ac:dyDescent="0.3">
      <c r="Q393" s="4"/>
      <c r="BB393" s="3"/>
      <c r="BC393" s="2"/>
      <c r="BV393" s="1"/>
    </row>
    <row r="394" spans="17:74" ht="13.8" x14ac:dyDescent="0.3">
      <c r="Q394" s="4"/>
      <c r="BB394" s="3"/>
      <c r="BC394" s="2"/>
      <c r="BV394" s="1"/>
    </row>
    <row r="395" spans="17:74" ht="13.8" x14ac:dyDescent="0.3">
      <c r="Q395" s="4"/>
      <c r="BB395" s="3"/>
      <c r="BC395" s="2"/>
      <c r="BV395" s="1"/>
    </row>
    <row r="396" spans="17:74" ht="13.8" x14ac:dyDescent="0.3">
      <c r="Q396" s="4"/>
      <c r="BB396" s="3"/>
      <c r="BC396" s="2"/>
      <c r="BV396" s="1"/>
    </row>
    <row r="397" spans="17:74" ht="13.8" x14ac:dyDescent="0.3">
      <c r="Q397" s="4"/>
      <c r="BB397" s="3"/>
      <c r="BC397" s="2"/>
      <c r="BV397" s="1"/>
    </row>
    <row r="398" spans="17:74" ht="13.8" x14ac:dyDescent="0.3">
      <c r="Q398" s="4"/>
      <c r="BB398" s="3"/>
      <c r="BC398" s="2"/>
      <c r="BV398" s="1"/>
    </row>
    <row r="399" spans="17:74" ht="13.8" x14ac:dyDescent="0.3">
      <c r="Q399" s="4"/>
      <c r="BB399" s="3"/>
      <c r="BC399" s="2"/>
      <c r="BV399" s="1"/>
    </row>
    <row r="400" spans="17:74" ht="13.8" x14ac:dyDescent="0.3">
      <c r="Q400" s="4"/>
      <c r="BB400" s="3"/>
      <c r="BC400" s="2"/>
      <c r="BV400" s="1"/>
    </row>
    <row r="401" spans="17:74" ht="13.8" x14ac:dyDescent="0.3">
      <c r="Q401" s="4"/>
      <c r="BB401" s="3"/>
      <c r="BC401" s="2"/>
      <c r="BV401" s="1"/>
    </row>
    <row r="402" spans="17:74" ht="13.8" x14ac:dyDescent="0.3">
      <c r="Q402" s="4"/>
      <c r="BB402" s="3"/>
      <c r="BC402" s="2"/>
      <c r="BV402" s="1"/>
    </row>
    <row r="403" spans="17:74" ht="13.8" x14ac:dyDescent="0.3">
      <c r="Q403" s="4"/>
      <c r="BB403" s="3"/>
      <c r="BC403" s="2"/>
      <c r="BV403" s="1"/>
    </row>
    <row r="404" spans="17:74" ht="13.8" x14ac:dyDescent="0.3">
      <c r="Q404" s="4"/>
      <c r="BB404" s="3"/>
      <c r="BC404" s="2"/>
      <c r="BV404" s="1"/>
    </row>
    <row r="405" spans="17:74" ht="13.8" x14ac:dyDescent="0.3">
      <c r="Q405" s="4"/>
      <c r="BB405" s="3"/>
      <c r="BC405" s="2"/>
      <c r="BV405" s="1"/>
    </row>
    <row r="406" spans="17:74" ht="13.8" x14ac:dyDescent="0.3">
      <c r="Q406" s="4"/>
      <c r="BB406" s="3"/>
      <c r="BC406" s="2"/>
      <c r="BV406" s="1"/>
    </row>
    <row r="407" spans="17:74" ht="13.8" x14ac:dyDescent="0.3">
      <c r="Q407" s="4"/>
      <c r="BB407" s="3"/>
      <c r="BC407" s="2"/>
      <c r="BV407" s="1"/>
    </row>
    <row r="408" spans="17:74" ht="13.8" x14ac:dyDescent="0.3">
      <c r="Q408" s="4"/>
      <c r="BB408" s="3"/>
      <c r="BC408" s="2"/>
      <c r="BV408" s="1"/>
    </row>
    <row r="409" spans="17:74" ht="13.8" x14ac:dyDescent="0.3">
      <c r="Q409" s="4"/>
      <c r="BB409" s="3"/>
      <c r="BC409" s="2"/>
      <c r="BV409" s="1"/>
    </row>
    <row r="410" spans="17:74" ht="13.8" x14ac:dyDescent="0.3">
      <c r="Q410" s="4"/>
      <c r="BB410" s="3"/>
      <c r="BC410" s="2"/>
      <c r="BV410" s="1"/>
    </row>
    <row r="411" spans="17:74" ht="13.8" x14ac:dyDescent="0.3">
      <c r="Q411" s="4"/>
      <c r="BB411" s="3"/>
      <c r="BC411" s="2"/>
      <c r="BV411" s="1"/>
    </row>
    <row r="412" spans="17:74" ht="13.8" x14ac:dyDescent="0.3">
      <c r="Q412" s="4"/>
      <c r="BB412" s="3"/>
      <c r="BC412" s="2"/>
      <c r="BV412" s="1"/>
    </row>
    <row r="413" spans="17:74" ht="13.8" x14ac:dyDescent="0.3">
      <c r="Q413" s="4"/>
      <c r="BB413" s="3"/>
      <c r="BC413" s="2"/>
      <c r="BV413" s="1"/>
    </row>
    <row r="414" spans="17:74" ht="13.8" x14ac:dyDescent="0.3">
      <c r="Q414" s="4"/>
      <c r="BB414" s="3"/>
      <c r="BC414" s="2"/>
      <c r="BV414" s="1"/>
    </row>
    <row r="415" spans="17:74" ht="13.8" x14ac:dyDescent="0.3">
      <c r="Q415" s="4"/>
      <c r="BB415" s="3"/>
      <c r="BC415" s="2"/>
      <c r="BV415" s="1"/>
    </row>
    <row r="416" spans="17:74" ht="13.8" x14ac:dyDescent="0.3">
      <c r="Q416" s="4"/>
      <c r="BB416" s="3"/>
      <c r="BC416" s="2"/>
      <c r="BV416" s="1"/>
    </row>
    <row r="417" spans="17:74" ht="13.8" x14ac:dyDescent="0.3">
      <c r="Q417" s="4"/>
      <c r="BB417" s="3"/>
      <c r="BC417" s="2"/>
      <c r="BV417" s="1"/>
    </row>
    <row r="418" spans="17:74" ht="13.8" x14ac:dyDescent="0.3">
      <c r="Q418" s="4"/>
      <c r="BB418" s="3"/>
      <c r="BC418" s="2"/>
      <c r="BV418" s="1"/>
    </row>
    <row r="419" spans="17:74" ht="13.8" x14ac:dyDescent="0.3">
      <c r="Q419" s="4"/>
      <c r="BB419" s="3"/>
      <c r="BC419" s="2"/>
      <c r="BV419" s="1"/>
    </row>
    <row r="420" spans="17:74" ht="13.8" x14ac:dyDescent="0.3">
      <c r="Q420" s="4"/>
      <c r="BB420" s="3"/>
      <c r="BC420" s="2"/>
      <c r="BV420" s="1"/>
    </row>
    <row r="421" spans="17:74" ht="13.8" x14ac:dyDescent="0.3">
      <c r="Q421" s="4"/>
      <c r="BB421" s="3"/>
      <c r="BC421" s="2"/>
      <c r="BV421" s="1"/>
    </row>
    <row r="422" spans="17:74" ht="13.8" x14ac:dyDescent="0.3">
      <c r="Q422" s="4"/>
      <c r="BB422" s="3"/>
      <c r="BC422" s="2"/>
      <c r="BV422" s="1"/>
    </row>
    <row r="423" spans="17:74" ht="13.8" x14ac:dyDescent="0.3">
      <c r="Q423" s="4"/>
      <c r="BB423" s="3"/>
      <c r="BC423" s="2"/>
      <c r="BV423" s="1"/>
    </row>
    <row r="424" spans="17:74" ht="13.8" x14ac:dyDescent="0.3">
      <c r="Q424" s="4"/>
      <c r="BB424" s="3"/>
      <c r="BC424" s="2"/>
      <c r="BV424" s="1"/>
    </row>
    <row r="425" spans="17:74" ht="13.8" x14ac:dyDescent="0.3">
      <c r="Q425" s="4"/>
      <c r="BB425" s="3"/>
      <c r="BC425" s="2"/>
      <c r="BV425" s="1"/>
    </row>
    <row r="426" spans="17:74" ht="13.8" x14ac:dyDescent="0.3">
      <c r="Q426" s="4"/>
      <c r="BB426" s="3"/>
      <c r="BC426" s="2"/>
      <c r="BV426" s="1"/>
    </row>
    <row r="427" spans="17:74" ht="13.8" x14ac:dyDescent="0.3">
      <c r="Q427" s="4"/>
      <c r="BB427" s="3"/>
      <c r="BC427" s="2"/>
      <c r="BV427" s="1"/>
    </row>
    <row r="428" spans="17:74" ht="13.8" x14ac:dyDescent="0.3">
      <c r="Q428" s="4"/>
      <c r="BB428" s="3"/>
      <c r="BC428" s="2"/>
      <c r="BV428" s="1"/>
    </row>
    <row r="429" spans="17:74" ht="13.8" x14ac:dyDescent="0.3">
      <c r="Q429" s="4"/>
      <c r="BB429" s="3"/>
      <c r="BC429" s="2"/>
      <c r="BV429" s="1"/>
    </row>
    <row r="430" spans="17:74" ht="13.8" x14ac:dyDescent="0.3">
      <c r="Q430" s="4"/>
      <c r="BB430" s="3"/>
      <c r="BC430" s="2"/>
      <c r="BV430" s="1"/>
    </row>
    <row r="431" spans="17:74" ht="13.8" x14ac:dyDescent="0.3">
      <c r="Q431" s="4"/>
      <c r="BB431" s="3"/>
      <c r="BC431" s="2"/>
      <c r="BV431" s="1"/>
    </row>
    <row r="432" spans="17:74" ht="13.8" x14ac:dyDescent="0.3">
      <c r="Q432" s="4"/>
      <c r="BB432" s="3"/>
      <c r="BC432" s="2"/>
      <c r="BV432" s="1"/>
    </row>
    <row r="433" spans="17:74" ht="13.8" x14ac:dyDescent="0.3">
      <c r="Q433" s="4"/>
      <c r="BB433" s="3"/>
      <c r="BC433" s="2"/>
      <c r="BV433" s="1"/>
    </row>
    <row r="434" spans="17:74" ht="13.8" x14ac:dyDescent="0.3">
      <c r="Q434" s="4"/>
      <c r="BB434" s="3"/>
      <c r="BC434" s="2"/>
      <c r="BV434" s="1"/>
    </row>
    <row r="435" spans="17:74" ht="13.8" x14ac:dyDescent="0.3">
      <c r="Q435" s="4"/>
      <c r="BB435" s="3"/>
      <c r="BC435" s="2"/>
      <c r="BV435" s="1"/>
    </row>
    <row r="436" spans="17:74" ht="13.8" x14ac:dyDescent="0.3">
      <c r="Q436" s="4"/>
      <c r="BB436" s="3"/>
      <c r="BC436" s="2"/>
      <c r="BV436" s="1"/>
    </row>
    <row r="437" spans="17:74" ht="13.8" x14ac:dyDescent="0.3">
      <c r="Q437" s="4"/>
      <c r="BB437" s="3"/>
      <c r="BC437" s="2"/>
      <c r="BV437" s="1"/>
    </row>
    <row r="438" spans="17:74" ht="13.8" x14ac:dyDescent="0.3">
      <c r="Q438" s="4"/>
      <c r="BB438" s="3"/>
      <c r="BC438" s="2"/>
      <c r="BV438" s="1"/>
    </row>
    <row r="439" spans="17:74" ht="13.8" x14ac:dyDescent="0.3">
      <c r="Q439" s="4"/>
      <c r="BB439" s="3"/>
      <c r="BC439" s="2"/>
      <c r="BV439" s="1"/>
    </row>
    <row r="440" spans="17:74" ht="13.8" x14ac:dyDescent="0.3">
      <c r="Q440" s="4"/>
      <c r="BB440" s="3"/>
      <c r="BC440" s="2"/>
      <c r="BV440" s="1"/>
    </row>
    <row r="441" spans="17:74" ht="13.8" x14ac:dyDescent="0.3">
      <c r="Q441" s="4"/>
      <c r="BB441" s="3"/>
      <c r="BC441" s="2"/>
      <c r="BV441" s="1"/>
    </row>
    <row r="442" spans="17:74" ht="13.8" x14ac:dyDescent="0.3">
      <c r="Q442" s="4"/>
      <c r="BB442" s="3"/>
      <c r="BC442" s="2"/>
      <c r="BV442" s="1"/>
    </row>
    <row r="443" spans="17:74" ht="13.8" x14ac:dyDescent="0.3">
      <c r="Q443" s="4"/>
      <c r="BB443" s="3"/>
      <c r="BC443" s="2"/>
      <c r="BV443" s="1"/>
    </row>
    <row r="444" spans="17:74" ht="13.8" x14ac:dyDescent="0.3">
      <c r="Q444" s="4"/>
      <c r="BB444" s="3"/>
      <c r="BC444" s="2"/>
      <c r="BV444" s="1"/>
    </row>
    <row r="445" spans="17:74" ht="13.8" x14ac:dyDescent="0.3">
      <c r="Q445" s="4"/>
      <c r="BB445" s="3"/>
      <c r="BC445" s="2"/>
      <c r="BV445" s="1"/>
    </row>
    <row r="446" spans="17:74" ht="13.8" x14ac:dyDescent="0.3">
      <c r="Q446" s="4"/>
      <c r="BB446" s="3"/>
      <c r="BC446" s="2"/>
      <c r="BV446" s="1"/>
    </row>
    <row r="447" spans="17:74" ht="13.8" x14ac:dyDescent="0.3">
      <c r="Q447" s="4"/>
      <c r="BB447" s="3"/>
      <c r="BC447" s="2"/>
      <c r="BV447" s="1"/>
    </row>
    <row r="448" spans="17:74" ht="13.8" x14ac:dyDescent="0.3">
      <c r="Q448" s="4"/>
      <c r="BB448" s="3"/>
      <c r="BC448" s="2"/>
      <c r="BV448" s="1"/>
    </row>
    <row r="449" spans="17:74" ht="13.8" x14ac:dyDescent="0.3">
      <c r="Q449" s="4"/>
      <c r="BB449" s="3"/>
      <c r="BC449" s="2"/>
      <c r="BV449" s="1"/>
    </row>
    <row r="450" spans="17:74" ht="13.8" x14ac:dyDescent="0.3">
      <c r="Q450" s="4"/>
      <c r="BB450" s="3"/>
      <c r="BC450" s="2"/>
      <c r="BV450" s="1"/>
    </row>
    <row r="451" spans="17:74" ht="13.8" x14ac:dyDescent="0.3">
      <c r="Q451" s="4"/>
      <c r="BB451" s="3"/>
      <c r="BC451" s="2"/>
      <c r="BV451" s="1"/>
    </row>
    <row r="452" spans="17:74" ht="13.8" x14ac:dyDescent="0.3">
      <c r="Q452" s="4"/>
      <c r="BB452" s="3"/>
      <c r="BC452" s="2"/>
      <c r="BV452" s="1"/>
    </row>
    <row r="453" spans="17:74" ht="13.8" x14ac:dyDescent="0.3">
      <c r="Q453" s="4"/>
      <c r="BB453" s="3"/>
      <c r="BC453" s="2"/>
      <c r="BV453" s="1"/>
    </row>
    <row r="454" spans="17:74" ht="13.8" x14ac:dyDescent="0.3">
      <c r="Q454" s="4"/>
      <c r="BB454" s="3"/>
      <c r="BC454" s="2"/>
      <c r="BV454" s="1"/>
    </row>
    <row r="455" spans="17:74" ht="13.8" x14ac:dyDescent="0.3">
      <c r="Q455" s="4"/>
      <c r="BB455" s="3"/>
      <c r="BC455" s="2"/>
      <c r="BV455" s="1"/>
    </row>
    <row r="456" spans="17:74" ht="13.8" x14ac:dyDescent="0.3">
      <c r="Q456" s="4"/>
      <c r="BB456" s="3"/>
      <c r="BC456" s="2"/>
      <c r="BV456" s="1"/>
    </row>
    <row r="457" spans="17:74" ht="13.8" x14ac:dyDescent="0.3">
      <c r="Q457" s="4"/>
      <c r="BB457" s="3"/>
      <c r="BC457" s="2"/>
      <c r="BV457" s="1"/>
    </row>
    <row r="458" spans="17:74" ht="13.8" x14ac:dyDescent="0.3">
      <c r="Q458" s="4"/>
      <c r="BB458" s="3"/>
      <c r="BC458" s="2"/>
      <c r="BV458" s="1"/>
    </row>
    <row r="459" spans="17:74" ht="13.8" x14ac:dyDescent="0.3">
      <c r="Q459" s="4"/>
      <c r="BB459" s="3"/>
      <c r="BC459" s="2"/>
      <c r="BV459" s="1"/>
    </row>
    <row r="460" spans="17:74" ht="13.8" x14ac:dyDescent="0.3">
      <c r="Q460" s="4"/>
      <c r="BB460" s="3"/>
      <c r="BC460" s="2"/>
      <c r="BV460" s="1"/>
    </row>
    <row r="461" spans="17:74" ht="13.8" x14ac:dyDescent="0.3">
      <c r="Q461" s="4"/>
      <c r="BB461" s="3"/>
      <c r="BC461" s="2"/>
      <c r="BV461" s="1"/>
    </row>
    <row r="462" spans="17:74" ht="13.8" x14ac:dyDescent="0.3">
      <c r="Q462" s="4"/>
      <c r="BB462" s="3"/>
      <c r="BC462" s="2"/>
      <c r="BV462" s="1"/>
    </row>
    <row r="463" spans="17:74" ht="13.8" x14ac:dyDescent="0.3">
      <c r="Q463" s="4"/>
      <c r="BB463" s="3"/>
      <c r="BC463" s="2"/>
      <c r="BV463" s="1"/>
    </row>
    <row r="464" spans="17:74" ht="13.8" x14ac:dyDescent="0.3">
      <c r="Q464" s="4"/>
      <c r="BB464" s="3"/>
      <c r="BC464" s="2"/>
      <c r="BV464" s="1"/>
    </row>
    <row r="465" spans="17:74" ht="13.8" x14ac:dyDescent="0.3">
      <c r="Q465" s="4"/>
      <c r="BB465" s="3"/>
      <c r="BC465" s="2"/>
      <c r="BV465" s="1"/>
    </row>
    <row r="466" spans="17:74" ht="13.8" x14ac:dyDescent="0.3">
      <c r="Q466" s="4"/>
      <c r="BB466" s="3"/>
      <c r="BC466" s="2"/>
      <c r="BV466" s="1"/>
    </row>
    <row r="467" spans="17:74" ht="13.8" x14ac:dyDescent="0.3">
      <c r="Q467" s="4"/>
      <c r="BB467" s="3"/>
      <c r="BC467" s="2"/>
      <c r="BV467" s="1"/>
    </row>
    <row r="468" spans="17:74" ht="13.8" x14ac:dyDescent="0.3">
      <c r="Q468" s="4"/>
      <c r="BB468" s="3"/>
      <c r="BC468" s="2"/>
      <c r="BV468" s="1"/>
    </row>
    <row r="469" spans="17:74" ht="13.8" x14ac:dyDescent="0.3">
      <c r="Q469" s="4"/>
      <c r="BB469" s="3"/>
      <c r="BC469" s="2"/>
      <c r="BV469" s="1"/>
    </row>
    <row r="470" spans="17:74" ht="13.8" x14ac:dyDescent="0.3">
      <c r="Q470" s="4"/>
      <c r="BB470" s="3"/>
      <c r="BC470" s="2"/>
      <c r="BV470" s="1"/>
    </row>
    <row r="471" spans="17:74" ht="13.8" x14ac:dyDescent="0.3">
      <c r="Q471" s="4"/>
      <c r="BB471" s="3"/>
      <c r="BC471" s="2"/>
      <c r="BV471" s="1"/>
    </row>
    <row r="472" spans="17:74" ht="13.8" x14ac:dyDescent="0.3">
      <c r="Q472" s="4"/>
      <c r="BB472" s="3"/>
      <c r="BC472" s="2"/>
      <c r="BV472" s="1"/>
    </row>
    <row r="473" spans="17:74" ht="13.8" x14ac:dyDescent="0.3">
      <c r="Q473" s="4"/>
      <c r="BB473" s="3"/>
      <c r="BC473" s="2"/>
      <c r="BV473" s="1"/>
    </row>
    <row r="474" spans="17:74" ht="13.8" x14ac:dyDescent="0.3">
      <c r="Q474" s="4"/>
      <c r="BB474" s="3"/>
      <c r="BC474" s="2"/>
      <c r="BV474" s="1"/>
    </row>
    <row r="475" spans="17:74" ht="13.8" x14ac:dyDescent="0.3">
      <c r="Q475" s="4"/>
      <c r="BB475" s="3"/>
      <c r="BC475" s="2"/>
      <c r="BV475" s="1"/>
    </row>
    <row r="476" spans="17:74" ht="13.8" x14ac:dyDescent="0.3">
      <c r="Q476" s="4"/>
      <c r="BB476" s="3"/>
      <c r="BC476" s="2"/>
      <c r="BV476" s="1"/>
    </row>
    <row r="477" spans="17:74" ht="13.8" x14ac:dyDescent="0.3">
      <c r="Q477" s="4"/>
      <c r="BB477" s="3"/>
      <c r="BC477" s="2"/>
      <c r="BV477" s="1"/>
    </row>
    <row r="478" spans="17:74" ht="13.8" x14ac:dyDescent="0.3">
      <c r="Q478" s="4"/>
      <c r="BB478" s="3"/>
      <c r="BC478" s="2"/>
      <c r="BV478" s="1"/>
    </row>
    <row r="479" spans="17:74" ht="13.8" x14ac:dyDescent="0.3">
      <c r="Q479" s="4"/>
      <c r="BB479" s="3"/>
      <c r="BC479" s="2"/>
      <c r="BV479" s="1"/>
    </row>
    <row r="480" spans="17:74" ht="13.8" x14ac:dyDescent="0.3">
      <c r="Q480" s="4"/>
      <c r="BB480" s="3"/>
      <c r="BC480" s="2"/>
      <c r="BV480" s="1"/>
    </row>
    <row r="481" spans="17:74" ht="13.8" x14ac:dyDescent="0.3">
      <c r="Q481" s="4"/>
      <c r="BB481" s="3"/>
      <c r="BC481" s="2"/>
      <c r="BV481" s="1"/>
    </row>
    <row r="482" spans="17:74" ht="13.8" x14ac:dyDescent="0.3">
      <c r="Q482" s="4"/>
      <c r="BB482" s="3"/>
      <c r="BC482" s="2"/>
      <c r="BV482" s="1"/>
    </row>
    <row r="483" spans="17:74" ht="13.8" x14ac:dyDescent="0.3">
      <c r="Q483" s="4"/>
      <c r="BB483" s="3"/>
      <c r="BC483" s="2"/>
      <c r="BV483" s="1"/>
    </row>
    <row r="484" spans="17:74" ht="13.8" x14ac:dyDescent="0.3">
      <c r="Q484" s="4"/>
      <c r="BB484" s="3"/>
      <c r="BC484" s="2"/>
      <c r="BV484" s="1"/>
    </row>
    <row r="485" spans="17:74" ht="13.8" x14ac:dyDescent="0.3">
      <c r="Q485" s="4"/>
      <c r="BB485" s="3"/>
      <c r="BC485" s="2"/>
      <c r="BV485" s="1"/>
    </row>
    <row r="486" spans="17:74" ht="13.8" x14ac:dyDescent="0.3">
      <c r="Q486" s="4"/>
      <c r="BB486" s="3"/>
      <c r="BC486" s="2"/>
      <c r="BV486" s="1"/>
    </row>
    <row r="487" spans="17:74" ht="13.8" x14ac:dyDescent="0.3">
      <c r="Q487" s="4"/>
      <c r="BB487" s="3"/>
      <c r="BC487" s="2"/>
      <c r="BV487" s="1"/>
    </row>
    <row r="488" spans="17:74" ht="13.8" x14ac:dyDescent="0.3">
      <c r="Q488" s="4"/>
      <c r="BB488" s="3"/>
      <c r="BC488" s="2"/>
      <c r="BV488" s="1"/>
    </row>
    <row r="489" spans="17:74" ht="13.8" x14ac:dyDescent="0.3">
      <c r="Q489" s="4"/>
      <c r="BB489" s="3"/>
      <c r="BC489" s="2"/>
      <c r="BV489" s="1"/>
    </row>
    <row r="490" spans="17:74" ht="13.8" x14ac:dyDescent="0.3">
      <c r="Q490" s="4"/>
      <c r="BB490" s="3"/>
      <c r="BC490" s="2"/>
      <c r="BV490" s="1"/>
    </row>
    <row r="491" spans="17:74" ht="13.8" x14ac:dyDescent="0.3">
      <c r="Q491" s="4"/>
      <c r="BB491" s="3"/>
      <c r="BC491" s="2"/>
      <c r="BV491" s="1"/>
    </row>
    <row r="492" spans="17:74" ht="13.8" x14ac:dyDescent="0.3">
      <c r="Q492" s="4"/>
      <c r="BB492" s="3"/>
      <c r="BC492" s="2"/>
      <c r="BV492" s="1"/>
    </row>
    <row r="493" spans="17:74" ht="13.8" x14ac:dyDescent="0.3">
      <c r="Q493" s="4"/>
      <c r="BB493" s="3"/>
      <c r="BC493" s="2"/>
      <c r="BV493" s="1"/>
    </row>
    <row r="494" spans="17:74" ht="13.8" x14ac:dyDescent="0.3">
      <c r="Q494" s="4"/>
      <c r="BB494" s="3"/>
      <c r="BC494" s="2"/>
      <c r="BV494" s="1"/>
    </row>
    <row r="495" spans="17:74" ht="13.8" x14ac:dyDescent="0.3">
      <c r="Q495" s="4"/>
      <c r="BB495" s="3"/>
      <c r="BC495" s="2"/>
      <c r="BV495" s="1"/>
    </row>
    <row r="496" spans="17:74" ht="13.8" x14ac:dyDescent="0.3">
      <c r="Q496" s="4"/>
      <c r="BB496" s="3"/>
      <c r="BC496" s="2"/>
      <c r="BV496" s="1"/>
    </row>
    <row r="497" spans="17:74" ht="13.8" x14ac:dyDescent="0.3">
      <c r="Q497" s="4"/>
      <c r="BB497" s="3"/>
      <c r="BC497" s="2"/>
      <c r="BV497" s="1"/>
    </row>
    <row r="498" spans="17:74" ht="13.8" x14ac:dyDescent="0.3">
      <c r="Q498" s="4"/>
      <c r="BB498" s="3"/>
      <c r="BC498" s="2"/>
      <c r="BV498" s="1"/>
    </row>
    <row r="499" spans="17:74" ht="13.8" x14ac:dyDescent="0.3">
      <c r="Q499" s="4"/>
      <c r="BB499" s="3"/>
      <c r="BC499" s="2"/>
      <c r="BV499" s="1"/>
    </row>
    <row r="500" spans="17:74" ht="13.8" x14ac:dyDescent="0.3">
      <c r="Q500" s="4"/>
      <c r="BB500" s="3"/>
      <c r="BC500" s="2"/>
      <c r="BV500" s="1"/>
    </row>
    <row r="501" spans="17:74" ht="13.8" x14ac:dyDescent="0.3">
      <c r="Q501" s="4"/>
      <c r="BB501" s="3"/>
      <c r="BC501" s="2"/>
      <c r="BV501" s="1"/>
    </row>
    <row r="502" spans="17:74" ht="13.8" x14ac:dyDescent="0.3">
      <c r="Q502" s="4"/>
      <c r="BB502" s="3"/>
      <c r="BC502" s="2"/>
      <c r="BV502" s="1"/>
    </row>
    <row r="503" spans="17:74" ht="13.8" x14ac:dyDescent="0.3">
      <c r="Q503" s="4"/>
      <c r="BB503" s="3"/>
      <c r="BC503" s="2"/>
      <c r="BV503" s="1"/>
    </row>
    <row r="504" spans="17:74" ht="13.8" x14ac:dyDescent="0.3">
      <c r="Q504" s="4"/>
      <c r="BB504" s="3"/>
      <c r="BC504" s="2"/>
      <c r="BV504" s="1"/>
    </row>
    <row r="505" spans="17:74" ht="13.8" x14ac:dyDescent="0.3">
      <c r="Q505" s="4"/>
      <c r="BB505" s="3"/>
      <c r="BC505" s="2"/>
      <c r="BV505" s="1"/>
    </row>
    <row r="506" spans="17:74" ht="13.8" x14ac:dyDescent="0.3">
      <c r="Q506" s="4"/>
      <c r="BB506" s="3"/>
      <c r="BC506" s="2"/>
      <c r="BV506" s="1"/>
    </row>
    <row r="507" spans="17:74" ht="13.8" x14ac:dyDescent="0.3">
      <c r="Q507" s="4"/>
      <c r="BB507" s="3"/>
      <c r="BC507" s="2"/>
      <c r="BV507" s="1"/>
    </row>
    <row r="508" spans="17:74" ht="13.8" x14ac:dyDescent="0.3">
      <c r="Q508" s="4"/>
      <c r="BB508" s="3"/>
      <c r="BC508" s="2"/>
      <c r="BV508" s="1"/>
    </row>
    <row r="509" spans="17:74" ht="13.8" x14ac:dyDescent="0.3">
      <c r="Q509" s="4"/>
      <c r="BB509" s="3"/>
      <c r="BC509" s="2"/>
      <c r="BV509" s="1"/>
    </row>
    <row r="510" spans="17:74" ht="13.8" x14ac:dyDescent="0.3">
      <c r="Q510" s="4"/>
      <c r="BB510" s="3"/>
      <c r="BC510" s="2"/>
      <c r="BV510" s="1"/>
    </row>
    <row r="511" spans="17:74" ht="13.8" x14ac:dyDescent="0.3">
      <c r="Q511" s="4"/>
      <c r="BB511" s="3"/>
      <c r="BC511" s="2"/>
      <c r="BV511" s="1"/>
    </row>
    <row r="512" spans="17:74" ht="13.8" x14ac:dyDescent="0.3">
      <c r="Q512" s="4"/>
      <c r="BB512" s="3"/>
      <c r="BC512" s="2"/>
      <c r="BV512" s="1"/>
    </row>
    <row r="513" spans="17:74" ht="13.8" x14ac:dyDescent="0.3">
      <c r="Q513" s="4"/>
      <c r="BB513" s="3"/>
      <c r="BC513" s="2"/>
      <c r="BV513" s="1"/>
    </row>
    <row r="514" spans="17:74" ht="13.8" x14ac:dyDescent="0.3">
      <c r="Q514" s="4"/>
      <c r="BB514" s="3"/>
      <c r="BC514" s="2"/>
      <c r="BV514" s="1"/>
    </row>
    <row r="515" spans="17:74" ht="13.8" x14ac:dyDescent="0.3">
      <c r="Q515" s="4"/>
      <c r="BB515" s="3"/>
      <c r="BC515" s="2"/>
      <c r="BV515" s="1"/>
    </row>
    <row r="516" spans="17:74" ht="13.8" x14ac:dyDescent="0.3">
      <c r="Q516" s="4"/>
      <c r="BB516" s="3"/>
      <c r="BC516" s="2"/>
      <c r="BV516" s="1"/>
    </row>
    <row r="517" spans="17:74" ht="13.8" x14ac:dyDescent="0.3">
      <c r="Q517" s="4"/>
      <c r="BB517" s="3"/>
      <c r="BC517" s="2"/>
      <c r="BV517" s="1"/>
    </row>
    <row r="518" spans="17:74" ht="13.8" x14ac:dyDescent="0.3">
      <c r="Q518" s="4"/>
      <c r="BB518" s="3"/>
      <c r="BC518" s="2"/>
      <c r="BV518" s="1"/>
    </row>
    <row r="519" spans="17:74" ht="13.8" x14ac:dyDescent="0.3">
      <c r="Q519" s="4"/>
      <c r="BB519" s="3"/>
      <c r="BC519" s="2"/>
      <c r="BV519" s="1"/>
    </row>
    <row r="520" spans="17:74" ht="13.8" x14ac:dyDescent="0.3">
      <c r="Q520" s="4"/>
      <c r="BB520" s="3"/>
      <c r="BC520" s="2"/>
      <c r="BV520" s="1"/>
    </row>
    <row r="521" spans="17:74" ht="13.8" x14ac:dyDescent="0.3">
      <c r="Q521" s="4"/>
      <c r="BB521" s="3"/>
      <c r="BC521" s="2"/>
      <c r="BV521" s="1"/>
    </row>
    <row r="522" spans="17:74" ht="13.8" x14ac:dyDescent="0.3">
      <c r="Q522" s="4"/>
      <c r="BB522" s="3"/>
      <c r="BC522" s="2"/>
      <c r="BV522" s="1"/>
    </row>
    <row r="523" spans="17:74" ht="13.8" x14ac:dyDescent="0.3">
      <c r="Q523" s="4"/>
      <c r="BB523" s="3"/>
      <c r="BC523" s="2"/>
      <c r="BV523" s="1"/>
    </row>
    <row r="524" spans="17:74" ht="13.8" x14ac:dyDescent="0.3">
      <c r="Q524" s="4"/>
      <c r="BB524" s="3"/>
      <c r="BC524" s="2"/>
      <c r="BV524" s="1"/>
    </row>
    <row r="525" spans="17:74" ht="13.8" x14ac:dyDescent="0.3">
      <c r="Q525" s="4"/>
      <c r="BB525" s="3"/>
      <c r="BC525" s="2"/>
      <c r="BV525" s="1"/>
    </row>
    <row r="526" spans="17:74" ht="13.8" x14ac:dyDescent="0.3">
      <c r="Q526" s="4"/>
      <c r="BB526" s="3"/>
      <c r="BC526" s="2"/>
      <c r="BV526" s="1"/>
    </row>
    <row r="527" spans="17:74" ht="13.8" x14ac:dyDescent="0.3">
      <c r="Q527" s="4"/>
      <c r="BB527" s="3"/>
      <c r="BC527" s="2"/>
      <c r="BV527" s="1"/>
    </row>
    <row r="528" spans="17:74" ht="13.8" x14ac:dyDescent="0.3">
      <c r="Q528" s="4"/>
      <c r="BB528" s="3"/>
      <c r="BC528" s="2"/>
      <c r="BV528" s="1"/>
    </row>
    <row r="529" spans="17:74" ht="13.8" x14ac:dyDescent="0.3">
      <c r="Q529" s="4"/>
      <c r="BB529" s="3"/>
      <c r="BC529" s="2"/>
      <c r="BV529" s="1"/>
    </row>
    <row r="530" spans="17:74" ht="13.8" x14ac:dyDescent="0.3">
      <c r="Q530" s="4"/>
      <c r="BB530" s="3"/>
      <c r="BC530" s="2"/>
      <c r="BV530" s="1"/>
    </row>
    <row r="531" spans="17:74" ht="13.8" x14ac:dyDescent="0.3">
      <c r="Q531" s="4"/>
      <c r="BB531" s="3"/>
      <c r="BC531" s="2"/>
      <c r="BV531" s="1"/>
    </row>
    <row r="532" spans="17:74" ht="13.8" x14ac:dyDescent="0.3">
      <c r="Q532" s="4"/>
      <c r="BB532" s="3"/>
      <c r="BC532" s="2"/>
      <c r="BV532" s="1"/>
    </row>
    <row r="533" spans="17:74" ht="13.8" x14ac:dyDescent="0.3">
      <c r="Q533" s="4"/>
      <c r="BB533" s="3"/>
      <c r="BC533" s="2"/>
      <c r="BV533" s="1"/>
    </row>
    <row r="534" spans="17:74" ht="13.8" x14ac:dyDescent="0.3">
      <c r="Q534" s="4"/>
      <c r="BB534" s="3"/>
      <c r="BC534" s="2"/>
      <c r="BV534" s="1"/>
    </row>
    <row r="535" spans="17:74" ht="13.8" x14ac:dyDescent="0.3">
      <c r="Q535" s="4"/>
      <c r="BB535" s="3"/>
      <c r="BC535" s="2"/>
      <c r="BV535" s="1"/>
    </row>
    <row r="536" spans="17:74" ht="13.8" x14ac:dyDescent="0.3">
      <c r="Q536" s="4"/>
      <c r="BB536" s="3"/>
      <c r="BC536" s="2"/>
      <c r="BV536" s="1"/>
    </row>
    <row r="537" spans="17:74" ht="13.8" x14ac:dyDescent="0.3">
      <c r="Q537" s="4"/>
      <c r="BB537" s="3"/>
      <c r="BC537" s="2"/>
      <c r="BV537" s="1"/>
    </row>
    <row r="538" spans="17:74" ht="13.8" x14ac:dyDescent="0.3">
      <c r="Q538" s="4"/>
      <c r="BB538" s="3"/>
      <c r="BC538" s="2"/>
      <c r="BV538" s="1"/>
    </row>
    <row r="539" spans="17:74" ht="13.8" x14ac:dyDescent="0.3">
      <c r="Q539" s="4"/>
      <c r="BB539" s="3"/>
      <c r="BC539" s="2"/>
      <c r="BV539" s="1"/>
    </row>
    <row r="540" spans="17:74" ht="13.8" x14ac:dyDescent="0.3">
      <c r="Q540" s="4"/>
      <c r="BB540" s="3"/>
      <c r="BC540" s="2"/>
      <c r="BV540" s="1"/>
    </row>
    <row r="541" spans="17:74" ht="13.8" x14ac:dyDescent="0.3">
      <c r="Q541" s="4"/>
      <c r="BB541" s="3"/>
      <c r="BC541" s="2"/>
      <c r="BV541" s="1"/>
    </row>
    <row r="542" spans="17:74" ht="13.8" x14ac:dyDescent="0.3">
      <c r="Q542" s="4"/>
      <c r="BB542" s="3"/>
      <c r="BC542" s="2"/>
      <c r="BV542" s="1"/>
    </row>
    <row r="543" spans="17:74" ht="13.8" x14ac:dyDescent="0.3">
      <c r="Q543" s="4"/>
      <c r="BB543" s="3"/>
      <c r="BC543" s="2"/>
      <c r="BV543" s="1"/>
    </row>
    <row r="544" spans="17:74" ht="13.8" x14ac:dyDescent="0.3">
      <c r="Q544" s="4"/>
      <c r="BB544" s="3"/>
      <c r="BC544" s="2"/>
      <c r="BV544" s="1"/>
    </row>
    <row r="545" spans="17:74" ht="13.8" x14ac:dyDescent="0.3">
      <c r="Q545" s="4"/>
      <c r="BB545" s="3"/>
      <c r="BC545" s="2"/>
      <c r="BV545" s="1"/>
    </row>
    <row r="546" spans="17:74" ht="13.8" x14ac:dyDescent="0.3">
      <c r="Q546" s="4"/>
      <c r="BB546" s="3"/>
      <c r="BC546" s="2"/>
      <c r="BV546" s="1"/>
    </row>
    <row r="547" spans="17:74" ht="13.8" x14ac:dyDescent="0.3">
      <c r="Q547" s="4"/>
      <c r="BB547" s="3"/>
      <c r="BC547" s="2"/>
      <c r="BV547" s="1"/>
    </row>
    <row r="548" spans="17:74" ht="13.8" x14ac:dyDescent="0.3">
      <c r="Q548" s="4"/>
      <c r="BB548" s="3"/>
      <c r="BC548" s="2"/>
      <c r="BV548" s="1"/>
    </row>
    <row r="549" spans="17:74" ht="13.8" x14ac:dyDescent="0.3">
      <c r="Q549" s="4"/>
      <c r="BB549" s="3"/>
      <c r="BC549" s="2"/>
      <c r="BV549" s="1"/>
    </row>
    <row r="550" spans="17:74" ht="13.8" x14ac:dyDescent="0.3">
      <c r="Q550" s="4"/>
      <c r="BB550" s="3"/>
      <c r="BC550" s="2"/>
      <c r="BV550" s="1"/>
    </row>
    <row r="551" spans="17:74" ht="13.8" x14ac:dyDescent="0.3">
      <c r="Q551" s="4"/>
      <c r="BB551" s="3"/>
      <c r="BC551" s="2"/>
      <c r="BV551" s="1"/>
    </row>
    <row r="552" spans="17:74" ht="13.8" x14ac:dyDescent="0.3">
      <c r="Q552" s="4"/>
      <c r="BB552" s="3"/>
      <c r="BC552" s="2"/>
      <c r="BV552" s="1"/>
    </row>
    <row r="553" spans="17:74" ht="13.8" x14ac:dyDescent="0.3">
      <c r="Q553" s="4"/>
      <c r="BB553" s="3"/>
      <c r="BC553" s="2"/>
      <c r="BV553" s="1"/>
    </row>
    <row r="554" spans="17:74" ht="13.8" x14ac:dyDescent="0.3">
      <c r="Q554" s="4"/>
      <c r="BB554" s="3"/>
      <c r="BC554" s="2"/>
      <c r="BV554" s="1"/>
    </row>
    <row r="555" spans="17:74" ht="13.8" x14ac:dyDescent="0.3">
      <c r="Q555" s="4"/>
      <c r="BB555" s="3"/>
      <c r="BC555" s="2"/>
      <c r="BV555" s="1"/>
    </row>
    <row r="556" spans="17:74" ht="13.8" x14ac:dyDescent="0.3">
      <c r="Q556" s="4"/>
      <c r="BB556" s="3"/>
      <c r="BC556" s="2"/>
      <c r="BV556" s="1"/>
    </row>
    <row r="557" spans="17:74" ht="13.8" x14ac:dyDescent="0.3">
      <c r="Q557" s="4"/>
      <c r="BB557" s="3"/>
      <c r="BC557" s="2"/>
      <c r="BV557" s="1"/>
    </row>
    <row r="558" spans="17:74" ht="13.8" x14ac:dyDescent="0.3">
      <c r="Q558" s="4"/>
      <c r="BB558" s="3"/>
      <c r="BC558" s="2"/>
      <c r="BV558" s="1"/>
    </row>
    <row r="559" spans="17:74" ht="13.8" x14ac:dyDescent="0.3">
      <c r="Q559" s="4"/>
      <c r="BB559" s="3"/>
      <c r="BC559" s="2"/>
      <c r="BV559" s="1"/>
    </row>
    <row r="560" spans="17:74" ht="13.8" x14ac:dyDescent="0.3">
      <c r="Q560" s="4"/>
      <c r="BB560" s="3"/>
      <c r="BC560" s="2"/>
      <c r="BV560" s="1"/>
    </row>
    <row r="561" spans="17:74" ht="13.8" x14ac:dyDescent="0.3">
      <c r="Q561" s="4"/>
      <c r="BB561" s="3"/>
      <c r="BC561" s="2"/>
      <c r="BV561" s="1"/>
    </row>
    <row r="562" spans="17:74" ht="13.8" x14ac:dyDescent="0.3">
      <c r="Q562" s="4"/>
      <c r="BB562" s="3"/>
      <c r="BC562" s="2"/>
      <c r="BV562" s="1"/>
    </row>
    <row r="563" spans="17:74" ht="13.8" x14ac:dyDescent="0.3">
      <c r="Q563" s="4"/>
      <c r="BB563" s="3"/>
      <c r="BC563" s="2"/>
      <c r="BV563" s="1"/>
    </row>
    <row r="564" spans="17:74" ht="13.8" x14ac:dyDescent="0.3">
      <c r="Q564" s="4"/>
      <c r="BB564" s="3"/>
      <c r="BC564" s="2"/>
      <c r="BV564" s="1"/>
    </row>
    <row r="565" spans="17:74" ht="13.8" x14ac:dyDescent="0.3">
      <c r="Q565" s="4"/>
      <c r="BB565" s="3"/>
      <c r="BC565" s="2"/>
      <c r="BV565" s="1"/>
    </row>
    <row r="566" spans="17:74" ht="13.8" x14ac:dyDescent="0.3">
      <c r="Q566" s="4"/>
      <c r="BB566" s="3"/>
      <c r="BC566" s="2"/>
      <c r="BV566" s="1"/>
    </row>
    <row r="567" spans="17:74" ht="13.8" x14ac:dyDescent="0.3">
      <c r="Q567" s="4"/>
      <c r="BB567" s="3"/>
      <c r="BC567" s="2"/>
      <c r="BV567" s="1"/>
    </row>
    <row r="568" spans="17:74" ht="13.8" x14ac:dyDescent="0.3">
      <c r="Q568" s="4"/>
      <c r="BB568" s="3"/>
      <c r="BC568" s="2"/>
      <c r="BV568" s="1"/>
    </row>
    <row r="569" spans="17:74" ht="13.8" x14ac:dyDescent="0.3">
      <c r="Q569" s="4"/>
      <c r="BB569" s="3"/>
      <c r="BC569" s="2"/>
      <c r="BV569" s="1"/>
    </row>
    <row r="570" spans="17:74" ht="13.8" x14ac:dyDescent="0.3">
      <c r="Q570" s="4"/>
      <c r="BB570" s="3"/>
      <c r="BC570" s="2"/>
      <c r="BV570" s="1"/>
    </row>
    <row r="571" spans="17:74" ht="13.8" x14ac:dyDescent="0.3">
      <c r="Q571" s="4"/>
      <c r="BB571" s="3"/>
      <c r="BC571" s="2"/>
      <c r="BV571" s="1"/>
    </row>
    <row r="572" spans="17:74" ht="13.8" x14ac:dyDescent="0.3">
      <c r="Q572" s="4"/>
      <c r="BB572" s="3"/>
      <c r="BC572" s="2"/>
      <c r="BV572" s="1"/>
    </row>
    <row r="573" spans="17:74" ht="13.8" x14ac:dyDescent="0.3">
      <c r="Q573" s="4"/>
      <c r="BB573" s="3"/>
      <c r="BC573" s="2"/>
      <c r="BV573" s="1"/>
    </row>
    <row r="574" spans="17:74" ht="13.8" x14ac:dyDescent="0.3">
      <c r="Q574" s="4"/>
      <c r="BB574" s="3"/>
      <c r="BC574" s="2"/>
      <c r="BV574" s="1"/>
    </row>
    <row r="575" spans="17:74" ht="13.8" x14ac:dyDescent="0.3">
      <c r="Q575" s="4"/>
      <c r="BB575" s="3"/>
      <c r="BC575" s="2"/>
      <c r="BV575" s="1"/>
    </row>
    <row r="576" spans="17:74" ht="13.8" x14ac:dyDescent="0.3">
      <c r="Q576" s="4"/>
      <c r="BB576" s="3"/>
      <c r="BC576" s="2"/>
      <c r="BV576" s="1"/>
    </row>
    <row r="577" spans="17:74" ht="13.8" x14ac:dyDescent="0.3">
      <c r="Q577" s="4"/>
      <c r="BB577" s="3"/>
      <c r="BC577" s="2"/>
      <c r="BV577" s="1"/>
    </row>
    <row r="578" spans="17:74" ht="13.8" x14ac:dyDescent="0.3">
      <c r="Q578" s="4"/>
      <c r="BB578" s="3"/>
      <c r="BC578" s="2"/>
      <c r="BV578" s="1"/>
    </row>
    <row r="579" spans="17:74" ht="13.8" x14ac:dyDescent="0.3">
      <c r="Q579" s="4"/>
      <c r="BB579" s="3"/>
      <c r="BC579" s="2"/>
      <c r="BV579" s="1"/>
    </row>
    <row r="580" spans="17:74" ht="13.8" x14ac:dyDescent="0.3">
      <c r="Q580" s="4"/>
      <c r="BB580" s="3"/>
      <c r="BC580" s="2"/>
      <c r="BV580" s="1"/>
    </row>
    <row r="581" spans="17:74" ht="13.8" x14ac:dyDescent="0.3">
      <c r="Q581" s="4"/>
      <c r="BB581" s="3"/>
      <c r="BC581" s="2"/>
      <c r="BV581" s="1"/>
    </row>
    <row r="582" spans="17:74" ht="13.8" x14ac:dyDescent="0.3">
      <c r="Q582" s="4"/>
      <c r="BB582" s="3"/>
      <c r="BC582" s="2"/>
      <c r="BV582" s="1"/>
    </row>
    <row r="583" spans="17:74" ht="13.8" x14ac:dyDescent="0.3">
      <c r="Q583" s="4"/>
      <c r="BB583" s="3"/>
      <c r="BC583" s="2"/>
      <c r="BV583" s="1"/>
    </row>
    <row r="584" spans="17:74" ht="13.8" x14ac:dyDescent="0.3">
      <c r="Q584" s="4"/>
      <c r="BB584" s="3"/>
      <c r="BC584" s="2"/>
      <c r="BV584" s="1"/>
    </row>
    <row r="585" spans="17:74" ht="13.8" x14ac:dyDescent="0.3">
      <c r="Q585" s="4"/>
      <c r="BB585" s="3"/>
      <c r="BC585" s="2"/>
      <c r="BV585" s="1"/>
    </row>
    <row r="586" spans="17:74" ht="13.8" x14ac:dyDescent="0.3">
      <c r="Q586" s="4"/>
      <c r="BB586" s="3"/>
      <c r="BC586" s="2"/>
      <c r="BV586" s="1"/>
    </row>
    <row r="587" spans="17:74" ht="13.8" x14ac:dyDescent="0.3">
      <c r="Q587" s="4"/>
      <c r="BB587" s="3"/>
      <c r="BC587" s="2"/>
      <c r="BV587" s="1"/>
    </row>
    <row r="588" spans="17:74" ht="13.8" x14ac:dyDescent="0.3">
      <c r="Q588" s="4"/>
      <c r="BB588" s="3"/>
      <c r="BC588" s="2"/>
      <c r="BV588" s="1"/>
    </row>
    <row r="589" spans="17:74" ht="13.8" x14ac:dyDescent="0.3">
      <c r="Q589" s="4"/>
      <c r="BB589" s="3"/>
      <c r="BC589" s="2"/>
      <c r="BV589" s="1"/>
    </row>
    <row r="590" spans="17:74" ht="13.8" x14ac:dyDescent="0.3">
      <c r="Q590" s="4"/>
      <c r="BB590" s="3"/>
      <c r="BC590" s="2"/>
      <c r="BV590" s="1"/>
    </row>
    <row r="591" spans="17:74" ht="13.8" x14ac:dyDescent="0.3">
      <c r="Q591" s="4"/>
      <c r="BB591" s="3"/>
      <c r="BC591" s="2"/>
      <c r="BV591" s="1"/>
    </row>
    <row r="592" spans="17:74" ht="13.8" x14ac:dyDescent="0.3">
      <c r="Q592" s="4"/>
      <c r="BB592" s="3"/>
      <c r="BC592" s="2"/>
      <c r="BV592" s="1"/>
    </row>
    <row r="593" spans="17:74" ht="13.8" x14ac:dyDescent="0.3">
      <c r="Q593" s="4"/>
      <c r="BB593" s="3"/>
      <c r="BC593" s="2"/>
      <c r="BV593" s="1"/>
    </row>
    <row r="594" spans="17:74" ht="13.8" x14ac:dyDescent="0.3">
      <c r="Q594" s="4"/>
      <c r="BB594" s="3"/>
      <c r="BC594" s="2"/>
      <c r="BV594" s="1"/>
    </row>
    <row r="595" spans="17:74" ht="13.8" x14ac:dyDescent="0.3">
      <c r="Q595" s="4"/>
      <c r="BB595" s="3"/>
      <c r="BC595" s="2"/>
      <c r="BV595" s="1"/>
    </row>
    <row r="596" spans="17:74" ht="13.8" x14ac:dyDescent="0.3">
      <c r="Q596" s="4"/>
      <c r="BB596" s="3"/>
      <c r="BC596" s="2"/>
      <c r="BV596" s="1"/>
    </row>
    <row r="597" spans="17:74" ht="13.8" x14ac:dyDescent="0.3">
      <c r="Q597" s="4"/>
      <c r="BB597" s="3"/>
      <c r="BC597" s="2"/>
      <c r="BV597" s="1"/>
    </row>
    <row r="598" spans="17:74" ht="13.8" x14ac:dyDescent="0.3">
      <c r="Q598" s="4"/>
      <c r="BB598" s="3"/>
      <c r="BC598" s="2"/>
      <c r="BV598" s="1"/>
    </row>
    <row r="599" spans="17:74" ht="13.8" x14ac:dyDescent="0.3">
      <c r="Q599" s="4"/>
      <c r="BB599" s="3"/>
      <c r="BC599" s="2"/>
      <c r="BV599" s="1"/>
    </row>
    <row r="600" spans="17:74" ht="13.8" x14ac:dyDescent="0.3">
      <c r="Q600" s="4"/>
      <c r="BB600" s="3"/>
      <c r="BC600" s="2"/>
      <c r="BV600" s="1"/>
    </row>
    <row r="601" spans="17:74" ht="13.8" x14ac:dyDescent="0.3">
      <c r="Q601" s="4"/>
      <c r="BB601" s="3"/>
      <c r="BC601" s="2"/>
      <c r="BV601" s="1"/>
    </row>
    <row r="602" spans="17:74" ht="13.8" x14ac:dyDescent="0.3">
      <c r="Q602" s="4"/>
      <c r="BB602" s="3"/>
      <c r="BC602" s="2"/>
      <c r="BV602" s="1"/>
    </row>
    <row r="603" spans="17:74" ht="13.8" x14ac:dyDescent="0.3">
      <c r="Q603" s="4"/>
      <c r="BB603" s="3"/>
      <c r="BC603" s="2"/>
      <c r="BV603" s="1"/>
    </row>
    <row r="604" spans="17:74" ht="13.8" x14ac:dyDescent="0.3">
      <c r="Q604" s="4"/>
      <c r="BB604" s="3"/>
      <c r="BC604" s="2"/>
      <c r="BV604" s="1"/>
    </row>
    <row r="605" spans="17:74" ht="13.8" x14ac:dyDescent="0.3">
      <c r="Q605" s="4"/>
      <c r="BB605" s="3"/>
      <c r="BC605" s="2"/>
      <c r="BV605" s="1"/>
    </row>
    <row r="606" spans="17:74" ht="13.8" x14ac:dyDescent="0.3">
      <c r="Q606" s="4"/>
      <c r="BB606" s="3"/>
      <c r="BC606" s="2"/>
      <c r="BV606" s="1"/>
    </row>
    <row r="607" spans="17:74" ht="13.8" x14ac:dyDescent="0.3">
      <c r="Q607" s="4"/>
      <c r="BB607" s="3"/>
      <c r="BC607" s="2"/>
      <c r="BV607" s="1"/>
    </row>
    <row r="608" spans="17:74" ht="13.8" x14ac:dyDescent="0.3">
      <c r="Q608" s="4"/>
      <c r="BB608" s="3"/>
      <c r="BC608" s="2"/>
      <c r="BV608" s="1"/>
    </row>
    <row r="609" spans="17:74" ht="13.8" x14ac:dyDescent="0.3">
      <c r="Q609" s="4"/>
      <c r="BB609" s="3"/>
      <c r="BC609" s="2"/>
      <c r="BV609" s="1"/>
    </row>
    <row r="610" spans="17:74" ht="13.8" x14ac:dyDescent="0.3">
      <c r="Q610" s="4"/>
      <c r="BB610" s="3"/>
      <c r="BC610" s="2"/>
      <c r="BV610" s="1"/>
    </row>
    <row r="611" spans="17:74" ht="13.8" x14ac:dyDescent="0.3">
      <c r="Q611" s="4"/>
      <c r="BB611" s="3"/>
      <c r="BC611" s="2"/>
      <c r="BV611" s="1"/>
    </row>
    <row r="612" spans="17:74" ht="13.8" x14ac:dyDescent="0.3">
      <c r="Q612" s="4"/>
      <c r="BB612" s="3"/>
      <c r="BC612" s="2"/>
      <c r="BV612" s="1"/>
    </row>
    <row r="613" spans="17:74" ht="13.8" x14ac:dyDescent="0.3">
      <c r="Q613" s="4"/>
      <c r="BB613" s="3"/>
      <c r="BC613" s="2"/>
      <c r="BV613" s="1"/>
    </row>
    <row r="614" spans="17:74" ht="13.8" x14ac:dyDescent="0.3">
      <c r="Q614" s="4"/>
      <c r="BB614" s="3"/>
      <c r="BC614" s="2"/>
      <c r="BV614" s="1"/>
    </row>
    <row r="615" spans="17:74" ht="13.8" x14ac:dyDescent="0.3">
      <c r="Q615" s="4"/>
      <c r="BB615" s="3"/>
      <c r="BC615" s="2"/>
      <c r="BV615" s="1"/>
    </row>
    <row r="616" spans="17:74" ht="13.8" x14ac:dyDescent="0.3">
      <c r="Q616" s="4"/>
      <c r="BB616" s="3"/>
      <c r="BC616" s="2"/>
      <c r="BV616" s="1"/>
    </row>
    <row r="617" spans="17:74" ht="13.8" x14ac:dyDescent="0.3">
      <c r="Q617" s="4"/>
      <c r="BB617" s="3"/>
      <c r="BC617" s="2"/>
      <c r="BV617" s="1"/>
    </row>
    <row r="618" spans="17:74" ht="13.8" x14ac:dyDescent="0.3">
      <c r="Q618" s="4"/>
      <c r="BB618" s="3"/>
      <c r="BC618" s="2"/>
      <c r="BV618" s="1"/>
    </row>
    <row r="619" spans="17:74" ht="13.8" x14ac:dyDescent="0.3">
      <c r="Q619" s="4"/>
      <c r="BB619" s="3"/>
      <c r="BC619" s="2"/>
      <c r="BV619" s="1"/>
    </row>
    <row r="620" spans="17:74" ht="13.8" x14ac:dyDescent="0.3">
      <c r="Q620" s="4"/>
      <c r="BB620" s="3"/>
      <c r="BC620" s="2"/>
      <c r="BV620" s="1"/>
    </row>
    <row r="621" spans="17:74" ht="13.8" x14ac:dyDescent="0.3">
      <c r="Q621" s="4"/>
      <c r="BB621" s="3"/>
      <c r="BC621" s="2"/>
      <c r="BV621" s="1"/>
    </row>
    <row r="622" spans="17:74" ht="13.8" x14ac:dyDescent="0.3">
      <c r="Q622" s="4"/>
      <c r="BB622" s="3"/>
      <c r="BC622" s="2"/>
      <c r="BV622" s="1"/>
    </row>
    <row r="623" spans="17:74" ht="13.8" x14ac:dyDescent="0.3">
      <c r="Q623" s="4"/>
      <c r="BB623" s="3"/>
      <c r="BC623" s="2"/>
      <c r="BV623" s="1"/>
    </row>
    <row r="624" spans="17:74" ht="13.8" x14ac:dyDescent="0.3">
      <c r="Q624" s="4"/>
      <c r="BB624" s="3"/>
      <c r="BC624" s="2"/>
      <c r="BV624" s="1"/>
    </row>
    <row r="625" spans="17:74" ht="13.8" x14ac:dyDescent="0.3">
      <c r="Q625" s="4"/>
      <c r="BB625" s="3"/>
      <c r="BC625" s="2"/>
      <c r="BV625" s="1"/>
    </row>
    <row r="626" spans="17:74" ht="13.8" x14ac:dyDescent="0.3">
      <c r="Q626" s="4"/>
      <c r="BB626" s="3"/>
      <c r="BC626" s="2"/>
      <c r="BV626" s="1"/>
    </row>
    <row r="627" spans="17:74" ht="13.8" x14ac:dyDescent="0.3">
      <c r="Q627" s="4"/>
      <c r="BB627" s="3"/>
      <c r="BC627" s="2"/>
      <c r="BV627" s="1"/>
    </row>
    <row r="628" spans="17:74" ht="13.8" x14ac:dyDescent="0.3">
      <c r="Q628" s="4"/>
      <c r="BB628" s="3"/>
      <c r="BC628" s="2"/>
      <c r="BV628" s="1"/>
    </row>
    <row r="629" spans="17:74" ht="13.8" x14ac:dyDescent="0.3">
      <c r="Q629" s="4"/>
      <c r="BB629" s="3"/>
      <c r="BC629" s="2"/>
      <c r="BV629" s="1"/>
    </row>
    <row r="630" spans="17:74" ht="13.8" x14ac:dyDescent="0.3">
      <c r="Q630" s="4"/>
      <c r="BB630" s="3"/>
      <c r="BC630" s="2"/>
      <c r="BV630" s="1"/>
    </row>
    <row r="631" spans="17:74" ht="13.8" x14ac:dyDescent="0.3">
      <c r="Q631" s="4"/>
      <c r="BB631" s="3"/>
      <c r="BC631" s="2"/>
      <c r="BV631" s="1"/>
    </row>
    <row r="632" spans="17:74" ht="13.8" x14ac:dyDescent="0.3">
      <c r="Q632" s="4"/>
      <c r="BB632" s="3"/>
      <c r="BC632" s="2"/>
      <c r="BV632" s="1"/>
    </row>
    <row r="633" spans="17:74" ht="13.8" x14ac:dyDescent="0.3">
      <c r="Q633" s="4"/>
      <c r="BB633" s="3"/>
      <c r="BC633" s="2"/>
      <c r="BV633" s="1"/>
    </row>
    <row r="634" spans="17:74" ht="13.8" x14ac:dyDescent="0.3">
      <c r="Q634" s="4"/>
      <c r="BB634" s="3"/>
      <c r="BC634" s="2"/>
      <c r="BV634" s="1"/>
    </row>
    <row r="635" spans="17:74" ht="13.8" x14ac:dyDescent="0.3">
      <c r="Q635" s="4"/>
      <c r="BB635" s="3"/>
      <c r="BC635" s="2"/>
      <c r="BV635" s="1"/>
    </row>
    <row r="636" spans="17:74" ht="13.8" x14ac:dyDescent="0.3">
      <c r="Q636" s="4"/>
      <c r="BB636" s="3"/>
      <c r="BC636" s="2"/>
      <c r="BV636" s="1"/>
    </row>
    <row r="637" spans="17:74" ht="13.8" x14ac:dyDescent="0.3">
      <c r="Q637" s="4"/>
      <c r="BB637" s="3"/>
      <c r="BC637" s="2"/>
      <c r="BV637" s="1"/>
    </row>
    <row r="638" spans="17:74" ht="13.8" x14ac:dyDescent="0.3">
      <c r="Q638" s="4"/>
      <c r="BB638" s="3"/>
      <c r="BC638" s="2"/>
      <c r="BV638" s="1"/>
    </row>
    <row r="639" spans="17:74" ht="13.8" x14ac:dyDescent="0.3">
      <c r="Q639" s="4"/>
      <c r="BB639" s="3"/>
      <c r="BC639" s="2"/>
      <c r="BV639" s="1"/>
    </row>
    <row r="640" spans="17:74" ht="13.8" x14ac:dyDescent="0.3">
      <c r="Q640" s="4"/>
      <c r="BB640" s="3"/>
      <c r="BC640" s="2"/>
      <c r="BV640" s="1"/>
    </row>
    <row r="641" spans="17:74" ht="13.8" x14ac:dyDescent="0.3">
      <c r="Q641" s="4"/>
      <c r="BB641" s="3"/>
      <c r="BC641" s="2"/>
      <c r="BV641" s="1"/>
    </row>
    <row r="642" spans="17:74" ht="13.8" x14ac:dyDescent="0.3">
      <c r="Q642" s="4"/>
      <c r="BB642" s="3"/>
      <c r="BC642" s="2"/>
      <c r="BV642" s="1"/>
    </row>
    <row r="643" spans="17:74" ht="13.8" x14ac:dyDescent="0.3">
      <c r="Q643" s="4"/>
      <c r="BB643" s="3"/>
      <c r="BC643" s="2"/>
      <c r="BV643" s="1"/>
    </row>
    <row r="644" spans="17:74" ht="13.8" x14ac:dyDescent="0.3">
      <c r="Q644" s="4"/>
      <c r="BB644" s="3"/>
      <c r="BC644" s="2"/>
      <c r="BV644" s="1"/>
    </row>
    <row r="645" spans="17:74" ht="13.8" x14ac:dyDescent="0.3">
      <c r="Q645" s="4"/>
      <c r="BB645" s="3"/>
      <c r="BC645" s="2"/>
      <c r="BV645" s="1"/>
    </row>
    <row r="646" spans="17:74" ht="13.8" x14ac:dyDescent="0.3">
      <c r="Q646" s="4"/>
      <c r="BB646" s="3"/>
      <c r="BC646" s="2"/>
      <c r="BV646" s="1"/>
    </row>
    <row r="647" spans="17:74" ht="13.8" x14ac:dyDescent="0.3">
      <c r="Q647" s="4"/>
      <c r="BB647" s="3"/>
      <c r="BC647" s="2"/>
      <c r="BV647" s="1"/>
    </row>
    <row r="648" spans="17:74" ht="13.8" x14ac:dyDescent="0.3">
      <c r="Q648" s="4"/>
      <c r="BB648" s="3"/>
      <c r="BC648" s="2"/>
      <c r="BV648" s="1"/>
    </row>
    <row r="649" spans="17:74" ht="13.8" x14ac:dyDescent="0.3">
      <c r="Q649" s="4"/>
      <c r="BB649" s="3"/>
      <c r="BC649" s="2"/>
      <c r="BV649" s="1"/>
    </row>
    <row r="650" spans="17:74" ht="13.8" x14ac:dyDescent="0.3">
      <c r="Q650" s="4"/>
      <c r="BB650" s="3"/>
      <c r="BC650" s="2"/>
      <c r="BV650" s="1"/>
    </row>
    <row r="651" spans="17:74" ht="13.8" x14ac:dyDescent="0.3">
      <c r="Q651" s="4"/>
      <c r="BB651" s="3"/>
      <c r="BC651" s="2"/>
      <c r="BV651" s="1"/>
    </row>
    <row r="652" spans="17:74" ht="13.8" x14ac:dyDescent="0.3">
      <c r="Q652" s="4"/>
      <c r="BB652" s="3"/>
      <c r="BC652" s="2"/>
      <c r="BV652" s="1"/>
    </row>
    <row r="653" spans="17:74" ht="13.8" x14ac:dyDescent="0.3">
      <c r="Q653" s="4"/>
      <c r="BB653" s="3"/>
      <c r="BC653" s="2"/>
      <c r="BV653" s="1"/>
    </row>
    <row r="654" spans="17:74" ht="13.8" x14ac:dyDescent="0.3">
      <c r="Q654" s="4"/>
      <c r="BB654" s="3"/>
      <c r="BC654" s="2"/>
      <c r="BV654" s="1"/>
    </row>
    <row r="655" spans="17:74" ht="13.8" x14ac:dyDescent="0.3">
      <c r="Q655" s="4"/>
      <c r="BB655" s="3"/>
      <c r="BC655" s="2"/>
      <c r="BV655" s="1"/>
    </row>
    <row r="656" spans="17:74" ht="13.8" x14ac:dyDescent="0.3">
      <c r="Q656" s="4"/>
      <c r="BB656" s="3"/>
      <c r="BC656" s="2"/>
      <c r="BV656" s="1"/>
    </row>
    <row r="657" spans="17:74" ht="13.8" x14ac:dyDescent="0.3">
      <c r="Q657" s="4"/>
      <c r="BB657" s="3"/>
      <c r="BC657" s="2"/>
      <c r="BV657" s="1"/>
    </row>
    <row r="658" spans="17:74" ht="13.8" x14ac:dyDescent="0.3">
      <c r="Q658" s="4"/>
      <c r="BB658" s="3"/>
      <c r="BC658" s="2"/>
      <c r="BV658" s="1"/>
    </row>
    <row r="659" spans="17:74" ht="13.8" x14ac:dyDescent="0.3">
      <c r="Q659" s="4"/>
      <c r="BB659" s="3"/>
      <c r="BC659" s="2"/>
      <c r="BV659" s="1"/>
    </row>
    <row r="660" spans="17:74" ht="13.8" x14ac:dyDescent="0.3">
      <c r="Q660" s="4"/>
      <c r="BB660" s="3"/>
      <c r="BC660" s="2"/>
      <c r="BV660" s="1"/>
    </row>
    <row r="661" spans="17:74" ht="13.8" x14ac:dyDescent="0.3">
      <c r="Q661" s="4"/>
      <c r="BB661" s="3"/>
      <c r="BC661" s="2"/>
      <c r="BV661" s="1"/>
    </row>
    <row r="662" spans="17:74" ht="13.8" x14ac:dyDescent="0.3">
      <c r="Q662" s="4"/>
      <c r="BB662" s="3"/>
      <c r="BC662" s="2"/>
      <c r="BV662" s="1"/>
    </row>
    <row r="663" spans="17:74" ht="13.8" x14ac:dyDescent="0.3">
      <c r="Q663" s="4"/>
      <c r="BB663" s="3"/>
      <c r="BC663" s="2"/>
      <c r="BV663" s="1"/>
    </row>
    <row r="664" spans="17:74" ht="13.8" x14ac:dyDescent="0.3">
      <c r="Q664" s="4"/>
      <c r="BB664" s="3"/>
      <c r="BC664" s="2"/>
      <c r="BV664" s="1"/>
    </row>
    <row r="665" spans="17:74" ht="13.8" x14ac:dyDescent="0.3">
      <c r="Q665" s="4"/>
      <c r="BB665" s="3"/>
      <c r="BC665" s="2"/>
      <c r="BV665" s="1"/>
    </row>
    <row r="666" spans="17:74" ht="13.8" x14ac:dyDescent="0.3">
      <c r="Q666" s="4"/>
      <c r="BB666" s="3"/>
      <c r="BC666" s="2"/>
      <c r="BV666" s="1"/>
    </row>
    <row r="667" spans="17:74" ht="13.8" x14ac:dyDescent="0.3">
      <c r="Q667" s="4"/>
      <c r="BB667" s="3"/>
      <c r="BC667" s="2"/>
      <c r="BV667" s="1"/>
    </row>
    <row r="668" spans="17:74" ht="13.8" x14ac:dyDescent="0.3">
      <c r="Q668" s="4"/>
      <c r="BB668" s="3"/>
      <c r="BC668" s="2"/>
      <c r="BV668" s="1"/>
    </row>
    <row r="669" spans="17:74" ht="13.8" x14ac:dyDescent="0.3">
      <c r="Q669" s="4"/>
      <c r="BB669" s="3"/>
      <c r="BC669" s="2"/>
      <c r="BV669" s="1"/>
    </row>
    <row r="670" spans="17:74" ht="13.8" x14ac:dyDescent="0.3">
      <c r="Q670" s="4"/>
      <c r="BB670" s="3"/>
      <c r="BC670" s="2"/>
      <c r="BV670" s="1"/>
    </row>
    <row r="671" spans="17:74" ht="13.8" x14ac:dyDescent="0.3">
      <c r="Q671" s="4"/>
      <c r="BB671" s="3"/>
      <c r="BC671" s="2"/>
      <c r="BV671" s="1"/>
    </row>
    <row r="672" spans="17:74" ht="13.8" x14ac:dyDescent="0.3">
      <c r="Q672" s="4"/>
      <c r="BB672" s="3"/>
      <c r="BC672" s="2"/>
      <c r="BV672" s="1"/>
    </row>
    <row r="673" spans="17:74" ht="13.8" x14ac:dyDescent="0.3">
      <c r="Q673" s="4"/>
      <c r="BB673" s="3"/>
      <c r="BC673" s="2"/>
      <c r="BV673" s="1"/>
    </row>
    <row r="674" spans="17:74" ht="13.8" x14ac:dyDescent="0.3">
      <c r="Q674" s="4"/>
      <c r="BB674" s="3"/>
      <c r="BC674" s="2"/>
      <c r="BV674" s="1"/>
    </row>
    <row r="675" spans="17:74" ht="13.8" x14ac:dyDescent="0.3">
      <c r="Q675" s="4"/>
      <c r="BB675" s="3"/>
      <c r="BC675" s="2"/>
      <c r="BV675" s="1"/>
    </row>
    <row r="676" spans="17:74" ht="13.8" x14ac:dyDescent="0.3">
      <c r="Q676" s="4"/>
      <c r="BB676" s="3"/>
      <c r="BC676" s="2"/>
      <c r="BV676" s="1"/>
    </row>
    <row r="677" spans="17:74" ht="13.8" x14ac:dyDescent="0.3">
      <c r="Q677" s="4"/>
      <c r="BB677" s="3"/>
      <c r="BC677" s="2"/>
      <c r="BV677" s="1"/>
    </row>
    <row r="678" spans="17:74" ht="13.8" x14ac:dyDescent="0.3">
      <c r="Q678" s="4"/>
      <c r="BB678" s="3"/>
      <c r="BC678" s="2"/>
      <c r="BV678" s="1"/>
    </row>
    <row r="679" spans="17:74" ht="13.8" x14ac:dyDescent="0.3">
      <c r="Q679" s="4"/>
      <c r="BB679" s="3"/>
      <c r="BC679" s="2"/>
      <c r="BV679" s="1"/>
    </row>
    <row r="680" spans="17:74" ht="13.8" x14ac:dyDescent="0.3">
      <c r="Q680" s="4"/>
      <c r="BB680" s="3"/>
      <c r="BC680" s="2"/>
      <c r="BV680" s="1"/>
    </row>
    <row r="681" spans="17:74" ht="13.8" x14ac:dyDescent="0.3">
      <c r="Q681" s="4"/>
      <c r="BB681" s="3"/>
      <c r="BC681" s="2"/>
      <c r="BV681" s="1"/>
    </row>
    <row r="682" spans="17:74" ht="13.8" x14ac:dyDescent="0.3">
      <c r="Q682" s="4"/>
      <c r="BB682" s="3"/>
      <c r="BC682" s="2"/>
      <c r="BV682" s="1"/>
    </row>
    <row r="683" spans="17:74" ht="13.8" x14ac:dyDescent="0.3">
      <c r="Q683" s="4"/>
      <c r="BB683" s="3"/>
      <c r="BC683" s="2"/>
      <c r="BV683" s="1"/>
    </row>
    <row r="684" spans="17:74" ht="13.8" x14ac:dyDescent="0.3">
      <c r="Q684" s="4"/>
      <c r="BB684" s="3"/>
      <c r="BC684" s="2"/>
      <c r="BV684" s="1"/>
    </row>
    <row r="685" spans="17:74" ht="13.8" x14ac:dyDescent="0.3">
      <c r="Q685" s="4"/>
      <c r="BB685" s="3"/>
      <c r="BC685" s="2"/>
      <c r="BV685" s="1"/>
    </row>
    <row r="686" spans="17:74" ht="13.8" x14ac:dyDescent="0.3">
      <c r="Q686" s="4"/>
      <c r="BB686" s="3"/>
      <c r="BC686" s="2"/>
      <c r="BV686" s="1"/>
    </row>
    <row r="687" spans="17:74" ht="13.8" x14ac:dyDescent="0.3">
      <c r="Q687" s="4"/>
      <c r="BB687" s="3"/>
      <c r="BC687" s="2"/>
      <c r="BV687" s="1"/>
    </row>
    <row r="688" spans="17:74" ht="13.8" x14ac:dyDescent="0.3">
      <c r="Q688" s="4"/>
      <c r="BB688" s="3"/>
      <c r="BC688" s="2"/>
      <c r="BV688" s="1"/>
    </row>
    <row r="689" spans="17:74" ht="13.8" x14ac:dyDescent="0.3">
      <c r="Q689" s="4"/>
      <c r="BB689" s="3"/>
      <c r="BC689" s="2"/>
      <c r="BV689" s="1"/>
    </row>
    <row r="690" spans="17:74" ht="13.8" x14ac:dyDescent="0.3">
      <c r="Q690" s="4"/>
      <c r="BB690" s="3"/>
      <c r="BC690" s="2"/>
      <c r="BV690" s="1"/>
    </row>
    <row r="691" spans="17:74" ht="13.8" x14ac:dyDescent="0.3">
      <c r="Q691" s="4"/>
      <c r="BB691" s="3"/>
      <c r="BC691" s="2"/>
      <c r="BV691" s="1"/>
    </row>
    <row r="692" spans="17:74" ht="13.8" x14ac:dyDescent="0.3">
      <c r="Q692" s="4"/>
      <c r="BB692" s="3"/>
      <c r="BC692" s="2"/>
      <c r="BV692" s="1"/>
    </row>
    <row r="693" spans="17:74" ht="13.8" x14ac:dyDescent="0.3">
      <c r="Q693" s="4"/>
      <c r="BB693" s="3"/>
      <c r="BC693" s="2"/>
      <c r="BV693" s="1"/>
    </row>
    <row r="694" spans="17:74" ht="13.8" x14ac:dyDescent="0.3">
      <c r="Q694" s="4"/>
      <c r="BB694" s="3"/>
      <c r="BC694" s="2"/>
      <c r="BV694" s="1"/>
    </row>
    <row r="695" spans="17:74" ht="13.8" x14ac:dyDescent="0.3">
      <c r="Q695" s="4"/>
      <c r="BB695" s="3"/>
      <c r="BC695" s="2"/>
      <c r="BV695" s="1"/>
    </row>
    <row r="696" spans="17:74" ht="13.8" x14ac:dyDescent="0.3">
      <c r="Q696" s="4"/>
      <c r="BB696" s="3"/>
      <c r="BC696" s="2"/>
      <c r="BV696" s="1"/>
    </row>
    <row r="697" spans="17:74" ht="13.8" x14ac:dyDescent="0.3">
      <c r="Q697" s="4"/>
      <c r="BB697" s="3"/>
      <c r="BC697" s="2"/>
      <c r="BV697" s="1"/>
    </row>
    <row r="698" spans="17:74" ht="13.8" x14ac:dyDescent="0.3">
      <c r="Q698" s="4"/>
      <c r="BB698" s="3"/>
      <c r="BC698" s="2"/>
      <c r="BV698" s="1"/>
    </row>
    <row r="699" spans="17:74" ht="13.8" x14ac:dyDescent="0.3">
      <c r="Q699" s="4"/>
      <c r="BB699" s="3"/>
      <c r="BC699" s="2"/>
      <c r="BV699" s="1"/>
    </row>
    <row r="700" spans="17:74" ht="13.8" x14ac:dyDescent="0.3">
      <c r="Q700" s="4"/>
      <c r="BB700" s="3"/>
      <c r="BC700" s="2"/>
      <c r="BV700" s="1"/>
    </row>
    <row r="701" spans="17:74" ht="13.8" x14ac:dyDescent="0.3">
      <c r="Q701" s="4"/>
      <c r="BB701" s="3"/>
      <c r="BC701" s="2"/>
      <c r="BV701" s="1"/>
    </row>
    <row r="702" spans="17:74" ht="13.8" x14ac:dyDescent="0.3">
      <c r="Q702" s="4"/>
      <c r="BB702" s="3"/>
      <c r="BC702" s="2"/>
      <c r="BV702" s="1"/>
    </row>
    <row r="703" spans="17:74" ht="13.8" x14ac:dyDescent="0.3">
      <c r="Q703" s="4"/>
      <c r="BB703" s="3"/>
      <c r="BC703" s="2"/>
      <c r="BV703" s="1"/>
    </row>
    <row r="704" spans="17:74" ht="13.8" x14ac:dyDescent="0.3">
      <c r="Q704" s="4"/>
      <c r="BB704" s="3"/>
      <c r="BC704" s="2"/>
      <c r="BV704" s="1"/>
    </row>
    <row r="705" spans="17:74" ht="13.8" x14ac:dyDescent="0.3">
      <c r="Q705" s="4"/>
      <c r="BB705" s="3"/>
      <c r="BC705" s="2"/>
      <c r="BV705" s="1"/>
    </row>
    <row r="706" spans="17:74" ht="13.8" x14ac:dyDescent="0.3">
      <c r="Q706" s="4"/>
      <c r="BB706" s="3"/>
      <c r="BC706" s="2"/>
      <c r="BV706" s="1"/>
    </row>
    <row r="707" spans="17:74" ht="13.8" x14ac:dyDescent="0.3">
      <c r="Q707" s="4"/>
      <c r="BB707" s="3"/>
      <c r="BC707" s="2"/>
      <c r="BV707" s="1"/>
    </row>
    <row r="708" spans="17:74" ht="13.8" x14ac:dyDescent="0.3">
      <c r="Q708" s="4"/>
      <c r="BB708" s="3"/>
      <c r="BC708" s="2"/>
      <c r="BV708" s="1"/>
    </row>
    <row r="709" spans="17:74" ht="13.8" x14ac:dyDescent="0.3">
      <c r="Q709" s="4"/>
      <c r="BB709" s="3"/>
      <c r="BC709" s="2"/>
      <c r="BV709" s="1"/>
    </row>
    <row r="710" spans="17:74" ht="13.8" x14ac:dyDescent="0.3">
      <c r="Q710" s="4"/>
      <c r="BB710" s="3"/>
      <c r="BC710" s="2"/>
      <c r="BV710" s="1"/>
    </row>
    <row r="711" spans="17:74" ht="13.8" x14ac:dyDescent="0.3">
      <c r="Q711" s="4"/>
      <c r="BB711" s="3"/>
      <c r="BC711" s="2"/>
      <c r="BV711" s="1"/>
    </row>
    <row r="712" spans="17:74" ht="13.8" x14ac:dyDescent="0.3">
      <c r="Q712" s="4"/>
      <c r="BB712" s="3"/>
      <c r="BC712" s="2"/>
      <c r="BV712" s="1"/>
    </row>
    <row r="713" spans="17:74" ht="13.8" x14ac:dyDescent="0.3">
      <c r="Q713" s="4"/>
      <c r="BB713" s="3"/>
      <c r="BC713" s="2"/>
      <c r="BV713" s="1"/>
    </row>
    <row r="714" spans="17:74" ht="13.8" x14ac:dyDescent="0.3">
      <c r="Q714" s="4"/>
      <c r="BB714" s="3"/>
      <c r="BC714" s="2"/>
      <c r="BV714" s="1"/>
    </row>
    <row r="715" spans="17:74" ht="13.8" x14ac:dyDescent="0.3">
      <c r="Q715" s="4"/>
      <c r="BB715" s="3"/>
      <c r="BC715" s="2"/>
      <c r="BV715" s="1"/>
    </row>
    <row r="716" spans="17:74" ht="13.8" x14ac:dyDescent="0.3">
      <c r="Q716" s="4"/>
      <c r="BB716" s="3"/>
      <c r="BC716" s="2"/>
      <c r="BV716" s="1"/>
    </row>
    <row r="717" spans="17:74" ht="13.8" x14ac:dyDescent="0.3">
      <c r="Q717" s="4"/>
      <c r="BB717" s="3"/>
      <c r="BC717" s="2"/>
      <c r="BV717" s="1"/>
    </row>
    <row r="718" spans="17:74" ht="13.8" x14ac:dyDescent="0.3">
      <c r="Q718" s="4"/>
      <c r="BB718" s="3"/>
      <c r="BC718" s="2"/>
      <c r="BV718" s="1"/>
    </row>
    <row r="719" spans="17:74" ht="13.8" x14ac:dyDescent="0.3">
      <c r="Q719" s="4"/>
      <c r="BB719" s="3"/>
      <c r="BC719" s="2"/>
      <c r="BV719" s="1"/>
    </row>
    <row r="720" spans="17:74" ht="13.8" x14ac:dyDescent="0.3">
      <c r="Q720" s="4"/>
      <c r="BB720" s="3"/>
      <c r="BC720" s="2"/>
      <c r="BV720" s="1"/>
    </row>
    <row r="721" spans="17:74" ht="13.8" x14ac:dyDescent="0.3">
      <c r="Q721" s="4"/>
      <c r="BB721" s="3"/>
      <c r="BC721" s="2"/>
      <c r="BV721" s="1"/>
    </row>
    <row r="722" spans="17:74" ht="13.8" x14ac:dyDescent="0.3">
      <c r="Q722" s="4"/>
      <c r="BB722" s="3"/>
      <c r="BC722" s="2"/>
      <c r="BV722" s="1"/>
    </row>
    <row r="723" spans="17:74" ht="13.8" x14ac:dyDescent="0.3">
      <c r="Q723" s="4"/>
      <c r="BB723" s="3"/>
      <c r="BC723" s="2"/>
      <c r="BV723" s="1"/>
    </row>
    <row r="724" spans="17:74" ht="13.8" x14ac:dyDescent="0.3">
      <c r="Q724" s="4"/>
      <c r="BB724" s="3"/>
      <c r="BC724" s="2"/>
      <c r="BV724" s="1"/>
    </row>
    <row r="725" spans="17:74" ht="13.8" x14ac:dyDescent="0.3">
      <c r="Q725" s="4"/>
      <c r="BB725" s="3"/>
      <c r="BC725" s="2"/>
      <c r="BV725" s="1"/>
    </row>
    <row r="726" spans="17:74" ht="13.8" x14ac:dyDescent="0.3">
      <c r="Q726" s="4"/>
      <c r="BB726" s="3"/>
      <c r="BC726" s="2"/>
      <c r="BV726" s="1"/>
    </row>
    <row r="727" spans="17:74" ht="13.8" x14ac:dyDescent="0.3">
      <c r="Q727" s="4"/>
      <c r="BB727" s="3"/>
      <c r="BC727" s="2"/>
      <c r="BV727" s="1"/>
    </row>
    <row r="728" spans="17:74" ht="13.8" x14ac:dyDescent="0.3">
      <c r="Q728" s="4"/>
      <c r="BB728" s="3"/>
      <c r="BC728" s="2"/>
      <c r="BV728" s="1"/>
    </row>
    <row r="729" spans="17:74" ht="13.8" x14ac:dyDescent="0.3">
      <c r="Q729" s="4"/>
      <c r="BB729" s="3"/>
      <c r="BC729" s="2"/>
      <c r="BV729" s="1"/>
    </row>
    <row r="730" spans="17:74" ht="13.8" x14ac:dyDescent="0.3">
      <c r="Q730" s="4"/>
      <c r="BB730" s="3"/>
      <c r="BC730" s="2"/>
      <c r="BV730" s="1"/>
    </row>
    <row r="731" spans="17:74" ht="13.8" x14ac:dyDescent="0.3">
      <c r="Q731" s="4"/>
      <c r="BB731" s="3"/>
      <c r="BC731" s="2"/>
      <c r="BV731" s="1"/>
    </row>
    <row r="732" spans="17:74" ht="13.8" x14ac:dyDescent="0.3">
      <c r="Q732" s="4"/>
      <c r="BB732" s="3"/>
      <c r="BC732" s="2"/>
      <c r="BV732" s="1"/>
    </row>
    <row r="733" spans="17:74" ht="13.8" x14ac:dyDescent="0.3">
      <c r="Q733" s="4"/>
      <c r="BB733" s="3"/>
      <c r="BC733" s="2"/>
      <c r="BV733" s="1"/>
    </row>
    <row r="734" spans="17:74" ht="13.8" x14ac:dyDescent="0.3">
      <c r="Q734" s="4"/>
      <c r="BB734" s="3"/>
      <c r="BC734" s="2"/>
      <c r="BV734" s="1"/>
    </row>
    <row r="735" spans="17:74" ht="13.8" x14ac:dyDescent="0.3">
      <c r="Q735" s="4"/>
      <c r="BB735" s="3"/>
      <c r="BC735" s="2"/>
      <c r="BV735" s="1"/>
    </row>
    <row r="736" spans="17:74" ht="13.8" x14ac:dyDescent="0.3">
      <c r="Q736" s="4"/>
      <c r="BB736" s="3"/>
      <c r="BC736" s="2"/>
      <c r="BV736" s="1"/>
    </row>
    <row r="737" spans="17:74" ht="13.8" x14ac:dyDescent="0.3">
      <c r="Q737" s="4"/>
      <c r="BB737" s="3"/>
      <c r="BC737" s="2"/>
      <c r="BV737" s="1"/>
    </row>
    <row r="738" spans="17:74" ht="13.8" x14ac:dyDescent="0.3">
      <c r="Q738" s="4"/>
      <c r="BB738" s="3"/>
      <c r="BC738" s="2"/>
      <c r="BV738" s="1"/>
    </row>
    <row r="739" spans="17:74" ht="13.8" x14ac:dyDescent="0.3">
      <c r="Q739" s="4"/>
      <c r="BB739" s="3"/>
      <c r="BC739" s="2"/>
      <c r="BV739" s="1"/>
    </row>
    <row r="740" spans="17:74" ht="13.8" x14ac:dyDescent="0.3">
      <c r="Q740" s="4"/>
      <c r="BB740" s="3"/>
      <c r="BC740" s="2"/>
      <c r="BV740" s="1"/>
    </row>
    <row r="741" spans="17:74" ht="13.8" x14ac:dyDescent="0.3">
      <c r="Q741" s="4"/>
      <c r="BB741" s="3"/>
      <c r="BC741" s="2"/>
      <c r="BV741" s="1"/>
    </row>
    <row r="742" spans="17:74" ht="13.8" x14ac:dyDescent="0.3">
      <c r="Q742" s="4"/>
      <c r="BB742" s="3"/>
      <c r="BC742" s="2"/>
      <c r="BV742" s="1"/>
    </row>
    <row r="743" spans="17:74" ht="13.8" x14ac:dyDescent="0.3">
      <c r="Q743" s="4"/>
      <c r="BB743" s="3"/>
      <c r="BC743" s="2"/>
      <c r="BV743" s="1"/>
    </row>
    <row r="744" spans="17:74" ht="13.8" x14ac:dyDescent="0.3">
      <c r="Q744" s="4"/>
      <c r="BB744" s="3"/>
      <c r="BC744" s="2"/>
      <c r="BV744" s="1"/>
    </row>
    <row r="745" spans="17:74" ht="13.8" x14ac:dyDescent="0.3">
      <c r="Q745" s="4"/>
      <c r="BB745" s="3"/>
      <c r="BC745" s="2"/>
      <c r="BV745" s="1"/>
    </row>
    <row r="746" spans="17:74" ht="13.8" x14ac:dyDescent="0.3">
      <c r="Q746" s="4"/>
      <c r="BB746" s="3"/>
      <c r="BC746" s="2"/>
      <c r="BV746" s="1"/>
    </row>
    <row r="747" spans="17:74" ht="13.8" x14ac:dyDescent="0.3">
      <c r="Q747" s="4"/>
      <c r="BB747" s="3"/>
      <c r="BC747" s="2"/>
      <c r="BV747" s="1"/>
    </row>
    <row r="748" spans="17:74" ht="13.8" x14ac:dyDescent="0.3">
      <c r="Q748" s="4"/>
      <c r="BB748" s="3"/>
      <c r="BC748" s="2"/>
      <c r="BV748" s="1"/>
    </row>
    <row r="749" spans="17:74" ht="13.8" x14ac:dyDescent="0.3">
      <c r="Q749" s="4"/>
      <c r="BB749" s="3"/>
      <c r="BC749" s="2"/>
      <c r="BV749" s="1"/>
    </row>
    <row r="750" spans="17:74" ht="13.8" x14ac:dyDescent="0.3">
      <c r="Q750" s="4"/>
      <c r="BB750" s="3"/>
      <c r="BC750" s="2"/>
      <c r="BV750" s="1"/>
    </row>
    <row r="751" spans="17:74" ht="13.8" x14ac:dyDescent="0.3">
      <c r="Q751" s="4"/>
      <c r="BB751" s="3"/>
      <c r="BC751" s="2"/>
      <c r="BV751" s="1"/>
    </row>
    <row r="752" spans="17:74" ht="13.8" x14ac:dyDescent="0.3">
      <c r="Q752" s="4"/>
      <c r="BB752" s="3"/>
      <c r="BC752" s="2"/>
      <c r="BV752" s="1"/>
    </row>
    <row r="753" spans="17:74" ht="13.8" x14ac:dyDescent="0.3">
      <c r="Q753" s="4"/>
      <c r="BB753" s="3"/>
      <c r="BC753" s="2"/>
      <c r="BV753" s="1"/>
    </row>
    <row r="754" spans="17:74" ht="13.8" x14ac:dyDescent="0.3">
      <c r="Q754" s="4"/>
      <c r="BB754" s="3"/>
      <c r="BC754" s="2"/>
      <c r="BV754" s="1"/>
    </row>
    <row r="755" spans="17:74" ht="13.8" x14ac:dyDescent="0.3">
      <c r="Q755" s="4"/>
      <c r="BB755" s="3"/>
      <c r="BC755" s="2"/>
      <c r="BV755" s="1"/>
    </row>
    <row r="756" spans="17:74" ht="13.8" x14ac:dyDescent="0.3">
      <c r="Q756" s="4"/>
      <c r="BB756" s="3"/>
      <c r="BC756" s="2"/>
      <c r="BV756" s="1"/>
    </row>
    <row r="757" spans="17:74" ht="13.8" x14ac:dyDescent="0.3">
      <c r="Q757" s="4"/>
      <c r="BB757" s="3"/>
      <c r="BC757" s="2"/>
      <c r="BV757" s="1"/>
    </row>
    <row r="758" spans="17:74" ht="13.8" x14ac:dyDescent="0.3">
      <c r="Q758" s="4"/>
      <c r="BB758" s="3"/>
      <c r="BC758" s="2"/>
      <c r="BV758" s="1"/>
    </row>
    <row r="759" spans="17:74" ht="13.8" x14ac:dyDescent="0.3">
      <c r="Q759" s="4"/>
      <c r="BB759" s="3"/>
      <c r="BC759" s="2"/>
      <c r="BV759" s="1"/>
    </row>
    <row r="760" spans="17:74" ht="13.8" x14ac:dyDescent="0.3">
      <c r="Q760" s="4"/>
      <c r="BB760" s="3"/>
      <c r="BC760" s="2"/>
      <c r="BV760" s="1"/>
    </row>
    <row r="761" spans="17:74" ht="13.8" x14ac:dyDescent="0.3">
      <c r="Q761" s="4"/>
      <c r="BB761" s="3"/>
      <c r="BC761" s="2"/>
      <c r="BV761" s="1"/>
    </row>
    <row r="762" spans="17:74" ht="13.8" x14ac:dyDescent="0.3">
      <c r="Q762" s="4"/>
      <c r="BB762" s="3"/>
      <c r="BC762" s="2"/>
      <c r="BV762" s="1"/>
    </row>
    <row r="763" spans="17:74" ht="13.8" x14ac:dyDescent="0.3">
      <c r="Q763" s="4"/>
      <c r="BB763" s="3"/>
      <c r="BC763" s="2"/>
      <c r="BV763" s="1"/>
    </row>
    <row r="764" spans="17:74" ht="13.8" x14ac:dyDescent="0.3">
      <c r="Q764" s="4"/>
      <c r="BB764" s="3"/>
      <c r="BC764" s="2"/>
      <c r="BV764" s="1"/>
    </row>
    <row r="765" spans="17:74" ht="13.8" x14ac:dyDescent="0.3">
      <c r="Q765" s="4"/>
      <c r="BB765" s="3"/>
      <c r="BC765" s="2"/>
      <c r="BV765" s="1"/>
    </row>
    <row r="766" spans="17:74" ht="13.8" x14ac:dyDescent="0.3">
      <c r="Q766" s="4"/>
      <c r="BB766" s="3"/>
      <c r="BC766" s="2"/>
      <c r="BV766" s="1"/>
    </row>
    <row r="767" spans="17:74" ht="13.8" x14ac:dyDescent="0.3">
      <c r="Q767" s="4"/>
      <c r="BB767" s="3"/>
      <c r="BC767" s="2"/>
      <c r="BV767" s="1"/>
    </row>
    <row r="768" spans="17:74" ht="13.8" x14ac:dyDescent="0.3">
      <c r="Q768" s="4"/>
      <c r="BB768" s="3"/>
      <c r="BC768" s="2"/>
      <c r="BV768" s="1"/>
    </row>
    <row r="769" spans="17:74" ht="13.8" x14ac:dyDescent="0.3">
      <c r="Q769" s="4"/>
      <c r="BB769" s="3"/>
      <c r="BC769" s="2"/>
      <c r="BV769" s="1"/>
    </row>
    <row r="770" spans="17:74" ht="13.8" x14ac:dyDescent="0.3">
      <c r="Q770" s="4"/>
      <c r="BB770" s="3"/>
      <c r="BC770" s="2"/>
      <c r="BV770" s="1"/>
    </row>
    <row r="771" spans="17:74" ht="13.8" x14ac:dyDescent="0.3">
      <c r="Q771" s="4"/>
      <c r="BB771" s="3"/>
      <c r="BC771" s="2"/>
      <c r="BV771" s="1"/>
    </row>
    <row r="772" spans="17:74" ht="13.8" x14ac:dyDescent="0.3">
      <c r="Q772" s="4"/>
      <c r="BB772" s="3"/>
      <c r="BC772" s="2"/>
      <c r="BV772" s="1"/>
    </row>
    <row r="773" spans="17:74" ht="13.8" x14ac:dyDescent="0.3">
      <c r="Q773" s="4"/>
      <c r="BB773" s="3"/>
      <c r="BC773" s="2"/>
      <c r="BV773" s="1"/>
    </row>
    <row r="774" spans="17:74" ht="13.8" x14ac:dyDescent="0.3">
      <c r="Q774" s="4"/>
      <c r="BB774" s="3"/>
      <c r="BC774" s="2"/>
      <c r="BV774" s="1"/>
    </row>
    <row r="775" spans="17:74" ht="13.8" x14ac:dyDescent="0.3">
      <c r="Q775" s="4"/>
      <c r="BB775" s="3"/>
      <c r="BC775" s="2"/>
      <c r="BV775" s="1"/>
    </row>
    <row r="776" spans="17:74" ht="13.8" x14ac:dyDescent="0.3">
      <c r="Q776" s="4"/>
      <c r="BB776" s="3"/>
      <c r="BC776" s="2"/>
      <c r="BV776" s="1"/>
    </row>
    <row r="777" spans="17:74" ht="13.8" x14ac:dyDescent="0.3">
      <c r="Q777" s="4"/>
      <c r="BB777" s="3"/>
      <c r="BC777" s="2"/>
      <c r="BV777" s="1"/>
    </row>
    <row r="778" spans="17:74" ht="13.8" x14ac:dyDescent="0.3">
      <c r="Q778" s="4"/>
      <c r="BB778" s="3"/>
      <c r="BC778" s="2"/>
      <c r="BV778" s="1"/>
    </row>
    <row r="779" spans="17:74" ht="13.8" x14ac:dyDescent="0.3">
      <c r="Q779" s="4"/>
      <c r="BB779" s="3"/>
      <c r="BC779" s="2"/>
      <c r="BV779" s="1"/>
    </row>
    <row r="780" spans="17:74" ht="13.8" x14ac:dyDescent="0.3">
      <c r="Q780" s="4"/>
      <c r="BB780" s="3"/>
      <c r="BC780" s="2"/>
      <c r="BV780" s="1"/>
    </row>
    <row r="781" spans="17:74" ht="13.8" x14ac:dyDescent="0.3">
      <c r="Q781" s="4"/>
      <c r="BB781" s="3"/>
      <c r="BC781" s="2"/>
      <c r="BV781" s="1"/>
    </row>
    <row r="782" spans="17:74" ht="13.8" x14ac:dyDescent="0.3">
      <c r="Q782" s="4"/>
      <c r="BB782" s="3"/>
      <c r="BC782" s="2"/>
      <c r="BV782" s="1"/>
    </row>
    <row r="783" spans="17:74" ht="13.8" x14ac:dyDescent="0.3">
      <c r="Q783" s="4"/>
      <c r="BB783" s="3"/>
      <c r="BC783" s="2"/>
      <c r="BV783" s="1"/>
    </row>
    <row r="784" spans="17:74" ht="13.8" x14ac:dyDescent="0.3">
      <c r="Q784" s="4"/>
      <c r="BB784" s="3"/>
      <c r="BC784" s="2"/>
      <c r="BV784" s="1"/>
    </row>
    <row r="785" spans="17:74" ht="13.8" x14ac:dyDescent="0.3">
      <c r="Q785" s="4"/>
      <c r="BB785" s="3"/>
      <c r="BC785" s="2"/>
      <c r="BV785" s="1"/>
    </row>
    <row r="786" spans="17:74" ht="13.8" x14ac:dyDescent="0.3">
      <c r="Q786" s="4"/>
      <c r="BB786" s="3"/>
      <c r="BC786" s="2"/>
      <c r="BV786" s="1"/>
    </row>
    <row r="787" spans="17:74" ht="13.8" x14ac:dyDescent="0.3">
      <c r="Q787" s="4"/>
      <c r="BB787" s="3"/>
      <c r="BC787" s="2"/>
      <c r="BV787" s="1"/>
    </row>
    <row r="788" spans="17:74" ht="13.8" x14ac:dyDescent="0.3">
      <c r="Q788" s="4"/>
      <c r="BB788" s="3"/>
      <c r="BC788" s="2"/>
      <c r="BV788" s="1"/>
    </row>
    <row r="789" spans="17:74" ht="13.8" x14ac:dyDescent="0.3">
      <c r="Q789" s="4"/>
      <c r="BB789" s="3"/>
      <c r="BC789" s="2"/>
      <c r="BV789" s="1"/>
    </row>
    <row r="790" spans="17:74" ht="13.8" x14ac:dyDescent="0.3">
      <c r="Q790" s="4"/>
      <c r="BB790" s="3"/>
      <c r="BC790" s="2"/>
      <c r="BV790" s="1"/>
    </row>
    <row r="791" spans="17:74" ht="13.8" x14ac:dyDescent="0.3">
      <c r="Q791" s="4"/>
      <c r="BB791" s="3"/>
      <c r="BC791" s="2"/>
      <c r="BV791" s="1"/>
    </row>
    <row r="792" spans="17:74" ht="13.8" x14ac:dyDescent="0.3">
      <c r="Q792" s="4"/>
      <c r="BB792" s="3"/>
      <c r="BC792" s="2"/>
      <c r="BV792" s="1"/>
    </row>
    <row r="793" spans="17:74" ht="13.8" x14ac:dyDescent="0.3">
      <c r="Q793" s="4"/>
      <c r="BB793" s="3"/>
      <c r="BC793" s="2"/>
      <c r="BV793" s="1"/>
    </row>
    <row r="794" spans="17:74" ht="13.8" x14ac:dyDescent="0.3">
      <c r="Q794" s="4"/>
      <c r="BB794" s="3"/>
      <c r="BC794" s="2"/>
      <c r="BV794" s="1"/>
    </row>
    <row r="795" spans="17:74" ht="13.8" x14ac:dyDescent="0.3">
      <c r="Q795" s="4"/>
      <c r="BB795" s="3"/>
      <c r="BC795" s="2"/>
      <c r="BV795" s="1"/>
    </row>
    <row r="796" spans="17:74" ht="13.8" x14ac:dyDescent="0.3">
      <c r="Q796" s="4"/>
      <c r="BB796" s="3"/>
      <c r="BC796" s="2"/>
      <c r="BV796" s="1"/>
    </row>
    <row r="797" spans="17:74" ht="13.8" x14ac:dyDescent="0.3">
      <c r="Q797" s="4"/>
      <c r="BB797" s="3"/>
      <c r="BC797" s="2"/>
      <c r="BV797" s="1"/>
    </row>
    <row r="798" spans="17:74" ht="13.8" x14ac:dyDescent="0.3">
      <c r="Q798" s="4"/>
      <c r="BB798" s="3"/>
      <c r="BC798" s="2"/>
      <c r="BV798" s="1"/>
    </row>
    <row r="799" spans="17:74" ht="13.8" x14ac:dyDescent="0.3">
      <c r="Q799" s="4"/>
      <c r="BB799" s="3"/>
      <c r="BC799" s="2"/>
      <c r="BV799" s="1"/>
    </row>
    <row r="800" spans="17:74" ht="13.8" x14ac:dyDescent="0.3">
      <c r="Q800" s="4"/>
      <c r="BB800" s="3"/>
      <c r="BC800" s="2"/>
      <c r="BV800" s="1"/>
    </row>
    <row r="801" spans="17:74" ht="13.8" x14ac:dyDescent="0.3">
      <c r="Q801" s="4"/>
      <c r="BB801" s="3"/>
      <c r="BC801" s="2"/>
      <c r="BV801" s="1"/>
    </row>
    <row r="802" spans="17:74" ht="13.8" x14ac:dyDescent="0.3">
      <c r="Q802" s="4"/>
      <c r="BB802" s="3"/>
      <c r="BC802" s="2"/>
      <c r="BV802" s="1"/>
    </row>
    <row r="803" spans="17:74" ht="13.8" x14ac:dyDescent="0.3">
      <c r="Q803" s="4"/>
      <c r="BB803" s="3"/>
      <c r="BC803" s="2"/>
      <c r="BV803" s="1"/>
    </row>
    <row r="804" spans="17:74" ht="13.8" x14ac:dyDescent="0.3">
      <c r="Q804" s="4"/>
      <c r="BB804" s="3"/>
      <c r="BC804" s="2"/>
      <c r="BV804" s="1"/>
    </row>
    <row r="805" spans="17:74" ht="13.8" x14ac:dyDescent="0.3">
      <c r="Q805" s="4"/>
      <c r="BB805" s="3"/>
      <c r="BC805" s="2"/>
      <c r="BV805" s="1"/>
    </row>
    <row r="806" spans="17:74" ht="13.8" x14ac:dyDescent="0.3">
      <c r="Q806" s="4"/>
      <c r="BB806" s="3"/>
      <c r="BC806" s="2"/>
      <c r="BV806" s="1"/>
    </row>
    <row r="807" spans="17:74" ht="13.8" x14ac:dyDescent="0.3">
      <c r="Q807" s="4"/>
      <c r="BB807" s="3"/>
      <c r="BC807" s="2"/>
      <c r="BV807" s="1"/>
    </row>
    <row r="808" spans="17:74" ht="13.8" x14ac:dyDescent="0.3">
      <c r="Q808" s="4"/>
      <c r="BB808" s="3"/>
      <c r="BC808" s="2"/>
      <c r="BV808" s="1"/>
    </row>
    <row r="809" spans="17:74" ht="13.8" x14ac:dyDescent="0.3">
      <c r="Q809" s="4"/>
      <c r="BB809" s="3"/>
      <c r="BC809" s="2"/>
      <c r="BV809" s="1"/>
    </row>
    <row r="810" spans="17:74" ht="13.8" x14ac:dyDescent="0.3">
      <c r="Q810" s="4"/>
      <c r="BB810" s="3"/>
      <c r="BC810" s="2"/>
      <c r="BV810" s="1"/>
    </row>
    <row r="811" spans="17:74" ht="13.8" x14ac:dyDescent="0.3">
      <c r="Q811" s="4"/>
      <c r="BB811" s="3"/>
      <c r="BC811" s="2"/>
      <c r="BV811" s="1"/>
    </row>
    <row r="812" spans="17:74" ht="13.8" x14ac:dyDescent="0.3">
      <c r="Q812" s="4"/>
      <c r="BB812" s="3"/>
      <c r="BC812" s="2"/>
      <c r="BV812" s="1"/>
    </row>
    <row r="813" spans="17:74" ht="13.8" x14ac:dyDescent="0.3">
      <c r="Q813" s="4"/>
      <c r="BB813" s="3"/>
      <c r="BC813" s="2"/>
      <c r="BV813" s="1"/>
    </row>
    <row r="814" spans="17:74" ht="13.8" x14ac:dyDescent="0.3">
      <c r="Q814" s="4"/>
      <c r="BB814" s="3"/>
      <c r="BC814" s="2"/>
      <c r="BV814" s="1"/>
    </row>
    <row r="815" spans="17:74" ht="13.8" x14ac:dyDescent="0.3">
      <c r="Q815" s="4"/>
      <c r="BB815" s="3"/>
      <c r="BC815" s="2"/>
      <c r="BV815" s="1"/>
    </row>
    <row r="816" spans="17:74" ht="13.8" x14ac:dyDescent="0.3">
      <c r="Q816" s="4"/>
      <c r="BB816" s="3"/>
      <c r="BC816" s="2"/>
      <c r="BV816" s="1"/>
    </row>
    <row r="817" spans="17:74" ht="13.8" x14ac:dyDescent="0.3">
      <c r="Q817" s="4"/>
      <c r="BB817" s="3"/>
      <c r="BC817" s="2"/>
      <c r="BV817" s="1"/>
    </row>
    <row r="818" spans="17:74" ht="13.8" x14ac:dyDescent="0.3">
      <c r="Q818" s="4"/>
      <c r="BB818" s="3"/>
      <c r="BC818" s="2"/>
      <c r="BV818" s="1"/>
    </row>
    <row r="819" spans="17:74" ht="13.8" x14ac:dyDescent="0.3">
      <c r="Q819" s="4"/>
      <c r="BB819" s="3"/>
      <c r="BC819" s="2"/>
      <c r="BV819" s="1"/>
    </row>
    <row r="820" spans="17:74" ht="13.8" x14ac:dyDescent="0.3">
      <c r="Q820" s="4"/>
      <c r="BB820" s="3"/>
      <c r="BC820" s="2"/>
      <c r="BV820" s="1"/>
    </row>
    <row r="821" spans="17:74" ht="13.8" x14ac:dyDescent="0.3">
      <c r="Q821" s="4"/>
      <c r="BB821" s="3"/>
      <c r="BC821" s="2"/>
      <c r="BV821" s="1"/>
    </row>
    <row r="822" spans="17:74" ht="13.8" x14ac:dyDescent="0.3">
      <c r="Q822" s="4"/>
      <c r="BB822" s="3"/>
      <c r="BC822" s="2"/>
      <c r="BV822" s="1"/>
    </row>
    <row r="823" spans="17:74" ht="13.8" x14ac:dyDescent="0.3">
      <c r="Q823" s="4"/>
      <c r="BB823" s="3"/>
      <c r="BC823" s="2"/>
      <c r="BV823" s="1"/>
    </row>
    <row r="824" spans="17:74" ht="13.8" x14ac:dyDescent="0.3">
      <c r="Q824" s="4"/>
      <c r="BB824" s="3"/>
      <c r="BC824" s="2"/>
      <c r="BV824" s="1"/>
    </row>
    <row r="825" spans="17:74" ht="13.8" x14ac:dyDescent="0.3">
      <c r="Q825" s="4"/>
      <c r="BB825" s="3"/>
      <c r="BC825" s="2"/>
      <c r="BV825" s="1"/>
    </row>
  </sheetData>
  <autoFilter ref="A1:CX5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A59-B41A-4C17-B670-A851B250B0F0}">
  <dimension ref="A1:B58"/>
  <sheetViews>
    <sheetView tabSelected="1" workbookViewId="0">
      <selection activeCell="H1" sqref="H1:N1048576"/>
    </sheetView>
  </sheetViews>
  <sheetFormatPr defaultRowHeight="13.8" x14ac:dyDescent="0.3"/>
  <cols>
    <col min="1" max="1" width="56.6640625" bestFit="1" customWidth="1"/>
  </cols>
  <sheetData>
    <row r="1" spans="1:2" x14ac:dyDescent="0.3">
      <c r="A1" t="s">
        <v>545</v>
      </c>
    </row>
    <row r="2" spans="1:2" x14ac:dyDescent="0.3">
      <c r="A2" t="s">
        <v>441</v>
      </c>
      <c r="B2">
        <v>0</v>
      </c>
    </row>
    <row r="3" spans="1:2" x14ac:dyDescent="0.3">
      <c r="A3" s="58" t="s">
        <v>435</v>
      </c>
      <c r="B3">
        <v>1</v>
      </c>
    </row>
    <row r="4" spans="1:2" x14ac:dyDescent="0.3">
      <c r="A4" t="s">
        <v>429</v>
      </c>
      <c r="B4">
        <v>0</v>
      </c>
    </row>
    <row r="5" spans="1:2" x14ac:dyDescent="0.3">
      <c r="A5" t="s">
        <v>372</v>
      </c>
      <c r="B5">
        <v>0</v>
      </c>
    </row>
    <row r="6" spans="1:2" x14ac:dyDescent="0.3">
      <c r="A6" t="s">
        <v>421</v>
      </c>
      <c r="B6">
        <v>0</v>
      </c>
    </row>
    <row r="7" spans="1:2" x14ac:dyDescent="0.3">
      <c r="A7" t="s">
        <v>414</v>
      </c>
      <c r="B7">
        <v>0</v>
      </c>
    </row>
    <row r="8" spans="1:2" x14ac:dyDescent="0.3">
      <c r="A8" t="s">
        <v>408</v>
      </c>
      <c r="B8">
        <v>0</v>
      </c>
    </row>
    <row r="9" spans="1:2" x14ac:dyDescent="0.3">
      <c r="A9" s="58" t="s">
        <v>404</v>
      </c>
      <c r="B9">
        <v>1</v>
      </c>
    </row>
    <row r="10" spans="1:2" x14ac:dyDescent="0.3">
      <c r="A10" t="s">
        <v>399</v>
      </c>
      <c r="B10">
        <v>0</v>
      </c>
    </row>
    <row r="11" spans="1:2" x14ac:dyDescent="0.3">
      <c r="A11" s="58" t="s">
        <v>393</v>
      </c>
      <c r="B11">
        <v>1</v>
      </c>
    </row>
    <row r="12" spans="1:2" x14ac:dyDescent="0.3">
      <c r="A12" t="s">
        <v>388</v>
      </c>
      <c r="B12">
        <v>0</v>
      </c>
    </row>
    <row r="13" spans="1:2" x14ac:dyDescent="0.3">
      <c r="A13" t="s">
        <v>303</v>
      </c>
      <c r="B13">
        <v>0</v>
      </c>
    </row>
    <row r="14" spans="1:2" x14ac:dyDescent="0.3">
      <c r="A14" t="s">
        <v>307</v>
      </c>
      <c r="B14">
        <v>0</v>
      </c>
    </row>
    <row r="15" spans="1:2" x14ac:dyDescent="0.3">
      <c r="A15" t="s">
        <v>378</v>
      </c>
      <c r="B15">
        <v>0</v>
      </c>
    </row>
    <row r="16" spans="1:2" x14ac:dyDescent="0.3">
      <c r="A16" t="s">
        <v>372</v>
      </c>
      <c r="B16">
        <v>0</v>
      </c>
    </row>
    <row r="17" spans="1:2" x14ac:dyDescent="0.3">
      <c r="A17" t="s">
        <v>366</v>
      </c>
      <c r="B17">
        <v>0</v>
      </c>
    </row>
    <row r="18" spans="1:2" x14ac:dyDescent="0.3">
      <c r="A18" t="s">
        <v>360</v>
      </c>
      <c r="B18">
        <v>0</v>
      </c>
    </row>
    <row r="19" spans="1:2" x14ac:dyDescent="0.3">
      <c r="A19" t="s">
        <v>356</v>
      </c>
      <c r="B19">
        <v>0</v>
      </c>
    </row>
    <row r="20" spans="1:2" x14ac:dyDescent="0.3">
      <c r="A20" t="s">
        <v>351</v>
      </c>
      <c r="B20">
        <v>0</v>
      </c>
    </row>
    <row r="21" spans="1:2" x14ac:dyDescent="0.3">
      <c r="A21" t="s">
        <v>324</v>
      </c>
      <c r="B21">
        <v>0</v>
      </c>
    </row>
    <row r="22" spans="1:2" x14ac:dyDescent="0.3">
      <c r="A22" t="s">
        <v>344</v>
      </c>
      <c r="B22">
        <v>0</v>
      </c>
    </row>
    <row r="23" spans="1:2" x14ac:dyDescent="0.3">
      <c r="A23" t="s">
        <v>338</v>
      </c>
      <c r="B23">
        <v>0</v>
      </c>
    </row>
    <row r="24" spans="1:2" x14ac:dyDescent="0.3">
      <c r="A24" t="s">
        <v>320</v>
      </c>
      <c r="B24">
        <v>0</v>
      </c>
    </row>
    <row r="25" spans="1:2" x14ac:dyDescent="0.3">
      <c r="A25" t="s">
        <v>320</v>
      </c>
      <c r="B25">
        <v>0</v>
      </c>
    </row>
    <row r="26" spans="1:2" x14ac:dyDescent="0.3">
      <c r="A26" t="s">
        <v>324</v>
      </c>
      <c r="B26">
        <v>0</v>
      </c>
    </row>
    <row r="27" spans="1:2" x14ac:dyDescent="0.3">
      <c r="A27" t="s">
        <v>320</v>
      </c>
      <c r="B27">
        <v>0</v>
      </c>
    </row>
    <row r="28" spans="1:2" x14ac:dyDescent="0.3">
      <c r="A28" t="s">
        <v>313</v>
      </c>
      <c r="B28">
        <v>0</v>
      </c>
    </row>
    <row r="29" spans="1:2" x14ac:dyDescent="0.3">
      <c r="A29" t="s">
        <v>307</v>
      </c>
      <c r="B29">
        <v>0</v>
      </c>
    </row>
    <row r="30" spans="1:2" x14ac:dyDescent="0.3">
      <c r="A30" t="s">
        <v>303</v>
      </c>
      <c r="B30">
        <v>0</v>
      </c>
    </row>
    <row r="31" spans="1:2" x14ac:dyDescent="0.3">
      <c r="A31" s="59" t="s">
        <v>296</v>
      </c>
      <c r="B31">
        <v>0</v>
      </c>
    </row>
    <row r="32" spans="1:2" x14ac:dyDescent="0.3">
      <c r="A32" t="s">
        <v>289</v>
      </c>
      <c r="B32">
        <v>0</v>
      </c>
    </row>
    <row r="33" spans="1:2" x14ac:dyDescent="0.3">
      <c r="A33" t="s">
        <v>282</v>
      </c>
      <c r="B33">
        <v>0</v>
      </c>
    </row>
    <row r="34" spans="1:2" x14ac:dyDescent="0.3">
      <c r="A34" t="s">
        <v>275</v>
      </c>
      <c r="B34">
        <v>0</v>
      </c>
    </row>
    <row r="35" spans="1:2" x14ac:dyDescent="0.3">
      <c r="A35" t="s">
        <v>271</v>
      </c>
      <c r="B35">
        <v>0</v>
      </c>
    </row>
    <row r="36" spans="1:2" x14ac:dyDescent="0.3">
      <c r="A36" t="s">
        <v>268</v>
      </c>
      <c r="B36">
        <v>0</v>
      </c>
    </row>
    <row r="37" spans="1:2" x14ac:dyDescent="0.3">
      <c r="A37" t="s">
        <v>262</v>
      </c>
      <c r="B37">
        <v>0</v>
      </c>
    </row>
    <row r="38" spans="1:2" x14ac:dyDescent="0.3">
      <c r="A38" t="s">
        <v>258</v>
      </c>
      <c r="B38">
        <v>0</v>
      </c>
    </row>
    <row r="39" spans="1:2" x14ac:dyDescent="0.3">
      <c r="A39" t="s">
        <v>246</v>
      </c>
      <c r="B39">
        <v>0</v>
      </c>
    </row>
    <row r="40" spans="1:2" x14ac:dyDescent="0.3">
      <c r="A40" s="58" t="s">
        <v>235</v>
      </c>
      <c r="B40">
        <v>1</v>
      </c>
    </row>
    <row r="41" spans="1:2" x14ac:dyDescent="0.3">
      <c r="A41" t="s">
        <v>229</v>
      </c>
      <c r="B41">
        <v>0</v>
      </c>
    </row>
    <row r="42" spans="1:2" x14ac:dyDescent="0.3">
      <c r="A42" t="s">
        <v>225</v>
      </c>
      <c r="B42">
        <v>0</v>
      </c>
    </row>
    <row r="43" spans="1:2" x14ac:dyDescent="0.3">
      <c r="A43" t="s">
        <v>219</v>
      </c>
      <c r="B43">
        <v>0</v>
      </c>
    </row>
    <row r="44" spans="1:2" x14ac:dyDescent="0.3">
      <c r="A44" t="s">
        <v>211</v>
      </c>
      <c r="B44">
        <v>0</v>
      </c>
    </row>
    <row r="45" spans="1:2" x14ac:dyDescent="0.3">
      <c r="A45" t="s">
        <v>199</v>
      </c>
      <c r="B45">
        <v>0</v>
      </c>
    </row>
    <row r="46" spans="1:2" x14ac:dyDescent="0.3">
      <c r="A46" t="s">
        <v>191</v>
      </c>
      <c r="B46">
        <v>0</v>
      </c>
    </row>
    <row r="47" spans="1:2" x14ac:dyDescent="0.3">
      <c r="A47" t="s">
        <v>186</v>
      </c>
      <c r="B47">
        <v>0</v>
      </c>
    </row>
    <row r="48" spans="1:2" x14ac:dyDescent="0.3">
      <c r="A48" t="s">
        <v>177</v>
      </c>
      <c r="B48">
        <v>0</v>
      </c>
    </row>
    <row r="49" spans="1:2" x14ac:dyDescent="0.3">
      <c r="A49" t="s">
        <v>170</v>
      </c>
      <c r="B49">
        <v>0</v>
      </c>
    </row>
    <row r="50" spans="1:2" x14ac:dyDescent="0.3">
      <c r="A50" t="s">
        <v>166</v>
      </c>
      <c r="B50">
        <v>0</v>
      </c>
    </row>
    <row r="51" spans="1:2" x14ac:dyDescent="0.3">
      <c r="A51" t="s">
        <v>132</v>
      </c>
      <c r="B51">
        <v>0</v>
      </c>
    </row>
    <row r="52" spans="1:2" x14ac:dyDescent="0.3">
      <c r="A52" t="s">
        <v>126</v>
      </c>
      <c r="B52">
        <v>0</v>
      </c>
    </row>
    <row r="53" spans="1:2" x14ac:dyDescent="0.3">
      <c r="A53" t="s">
        <v>119</v>
      </c>
      <c r="B53">
        <v>0</v>
      </c>
    </row>
    <row r="54" spans="1:2" x14ac:dyDescent="0.3">
      <c r="A54" t="s">
        <v>108</v>
      </c>
      <c r="B54">
        <v>0</v>
      </c>
    </row>
    <row r="55" spans="1:2" x14ac:dyDescent="0.3">
      <c r="A55" t="s">
        <v>100</v>
      </c>
      <c r="B55">
        <v>0</v>
      </c>
    </row>
    <row r="56" spans="1:2" x14ac:dyDescent="0.3">
      <c r="A56" t="s">
        <v>92</v>
      </c>
      <c r="B56">
        <v>0</v>
      </c>
    </row>
    <row r="57" spans="1:2" x14ac:dyDescent="0.3">
      <c r="A57" t="s">
        <v>62</v>
      </c>
      <c r="B57">
        <v>0</v>
      </c>
    </row>
    <row r="58" spans="1:2" x14ac:dyDescent="0.3">
      <c r="A58" t="s">
        <v>34</v>
      </c>
      <c r="B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Daza Ramirez</dc:creator>
  <cp:lastModifiedBy>Camilo Andres Daza Ramirez</cp:lastModifiedBy>
  <dcterms:created xsi:type="dcterms:W3CDTF">2025-04-25T07:39:04Z</dcterms:created>
  <dcterms:modified xsi:type="dcterms:W3CDTF">2025-06-06T18:36:46Z</dcterms:modified>
</cp:coreProperties>
</file>